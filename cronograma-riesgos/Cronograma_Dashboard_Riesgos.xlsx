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 Consolidado" sheetId="1" state="visible" r:id="rId1"/>
    <sheet xmlns:r="http://schemas.openxmlformats.org/officeDocument/2006/relationships" name="Cronograma R. Operacional" sheetId="2" state="visible" r:id="rId2"/>
    <sheet xmlns:r="http://schemas.openxmlformats.org/officeDocument/2006/relationships" name="Actividades R. Operacional" sheetId="3" state="visible" r:id="rId3"/>
    <sheet xmlns:r="http://schemas.openxmlformats.org/officeDocument/2006/relationships" name="Cronograma R. Normativo" sheetId="4" state="visible" r:id="rId4"/>
    <sheet xmlns:r="http://schemas.openxmlformats.org/officeDocument/2006/relationships" name="Actividades R. Normativo" sheetId="5" state="visible" r:id="rId5"/>
    <sheet xmlns:r="http://schemas.openxmlformats.org/officeDocument/2006/relationships" name="Cronograma R. Financiero" sheetId="6" state="visible" r:id="rId6"/>
    <sheet xmlns:r="http://schemas.openxmlformats.org/officeDocument/2006/relationships" name="Actividades R. Financiero" sheetId="7" state="visible" r:id="rId7"/>
    <sheet xmlns:r="http://schemas.openxmlformats.org/officeDocument/2006/relationships" name="Cronograma Asistente Técnico" sheetId="8" state="visible" r:id="rId8"/>
    <sheet xmlns:r="http://schemas.openxmlformats.org/officeDocument/2006/relationships" name="Actividades Asistente Técnico" sheetId="9" state="visible" r:id="rId9"/>
    <sheet xmlns:r="http://schemas.openxmlformats.org/officeDocument/2006/relationships" name="Instrucciones" sheetId="10" state="visible" r:id="rId10"/>
    <sheet xmlns:r="http://schemas.openxmlformats.org/officeDocument/2006/relationships" name="Configuración" sheetId="11" state="visible" r:id="rId11"/>
    <sheet xmlns:r="http://schemas.openxmlformats.org/officeDocument/2006/relationships" name="Calculos" sheetId="12" state="hidden" r:id="rId12"/>
  </sheets>
  <definedNames>
    <definedName name="MesCiclo">'Configuración'!$C$4</definedName>
    <definedName name="InicioCiclo">'Configuración'!$C$5</definedName>
    <definedName name="FechaRef">'Configuración'!$C$6</definedName>
    <definedName name="SemanaActual">'Configuración'!$C$7</definedName>
    <definedName name="SemanaManual">'Configuración'!$C$8</definedName>
    <definedName name="DiasAlerta">'Configuración'!$C$9</definedName>
    <definedName name="ObsObligatoria">'Configuración'!$C$10</definedName>
    <definedName name="MetaFinal">'Configuración'!$C$11</definedName>
    <definedName name="PlanRef">'Configuración'!$C$14:$C$17</definedName>
    <definedName name="ListaPuestos">'Configuración'!$B$21:$B$24</definedName>
    <definedName name="ListaEstados">'Configuración'!$B$27:$B$29</definedName>
    <definedName name="ListaSemanas">'Configuración'!$B$32:$B$35</definedName>
    <definedName name="ListaSiNo">'Configuración'!$B$38:$B$39</definedName>
    <definedName name="rFLim_RO">'Cronograma R. Operacional'!$E$5:$E$1000</definedName>
    <definedName name="rPeso_RO">'Cronograma R. Operacional'!$F$5:$F$1000</definedName>
    <definedName name="rS1_RO">'Cronograma R. Operacional'!$G$5:$G$1000</definedName>
    <definedName name="rS2_RO">'Cronograma R. Operacional'!$H$5:$H$1000</definedName>
    <definedName name="rS3_RO">'Cronograma R. Operacional'!$I$5:$I$1000</definedName>
    <definedName name="rS4_RO">'Cronograma R. Operacional'!$J$5:$J$1000</definedName>
    <definedName name="rAvance_RO">'Cronograma R. Operacional'!$K$5:$K$1000</definedName>
    <definedName name="rEstado_RO">'Cronograma R. Operacional'!$L$5:$L$1000</definedName>
    <definedName name="rValid_RO">'Cronograma R. Operacional'!$N$5:$N$1000</definedName>
    <definedName name="rFLim_RN">'Cronograma R. Normativo'!$E$5:$E$1000</definedName>
    <definedName name="rPeso_RN">'Cronograma R. Normativo'!$F$5:$F$1000</definedName>
    <definedName name="rS1_RN">'Cronograma R. Normativo'!$G$5:$G$1000</definedName>
    <definedName name="rS2_RN">'Cronograma R. Normativo'!$H$5:$H$1000</definedName>
    <definedName name="rS3_RN">'Cronograma R. Normativo'!$I$5:$I$1000</definedName>
    <definedName name="rS4_RN">'Cronograma R. Normativo'!$J$5:$J$1000</definedName>
    <definedName name="rAvance_RN">'Cronograma R. Normativo'!$K$5:$K$1000</definedName>
    <definedName name="rEstado_RN">'Cronograma R. Normativo'!$L$5:$L$1000</definedName>
    <definedName name="rValid_RN">'Cronograma R. Normativo'!$N$5:$N$1000</definedName>
    <definedName name="rFLim_RF">'Cronograma R. Financiero'!$E$5:$E$1000</definedName>
    <definedName name="rPeso_RF">'Cronograma R. Financiero'!$F$5:$F$1000</definedName>
    <definedName name="rS1_RF">'Cronograma R. Financiero'!$G$5:$G$1000</definedName>
    <definedName name="rS2_RF">'Cronograma R. Financiero'!$H$5:$H$1000</definedName>
    <definedName name="rS3_RF">'Cronograma R. Financiero'!$I$5:$I$1000</definedName>
    <definedName name="rS4_RF">'Cronograma R. Financiero'!$J$5:$J$1000</definedName>
    <definedName name="rAvance_RF">'Cronograma R. Financiero'!$K$5:$K$1000</definedName>
    <definedName name="rEstado_RF">'Cronograma R. Financiero'!$L$5:$L$1000</definedName>
    <definedName name="rValid_RF">'Cronograma R. Financiero'!$N$5:$N$1000</definedName>
    <definedName name="rFLim_ATR">'Cronograma Asistente Técnico'!$E$5:$E$1000</definedName>
    <definedName name="rPeso_ATR">'Cronograma Asistente Técnico'!$F$5:$F$1000</definedName>
    <definedName name="rS1_ATR">'Cronograma Asistente Técnico'!$G$5:$G$1000</definedName>
    <definedName name="rS2_ATR">'Cronograma Asistente Técnico'!$H$5:$H$1000</definedName>
    <definedName name="rS3_ATR">'Cronograma Asistente Técnico'!$I$5:$I$1000</definedName>
    <definedName name="rS4_ATR">'Cronograma Asistente Técnico'!$J$5:$J$1000</definedName>
    <definedName name="rAvance_ATR">'Cronograma Asistente Técnico'!$K$5:$K$1000</definedName>
    <definedName name="rEstado_ATR">'Cronograma Asistente Técnico'!$L$5:$L$1000</definedName>
    <definedName name="rValid_ATR">'Cronograma Asistente Técnico'!$N$5:$N$1000</definedName>
    <definedName name="hSemana_RO">'Actividades R. Operacional'!$F$5:$F$104</definedName>
    <definedName name="hEstado_RO">'Actividades R. Operacional'!$L$5:$L$104</definedName>
    <definedName name="hSemana_RN">'Actividades R. Normativo'!$F$5:$F$104</definedName>
    <definedName name="hEstado_RN">'Actividades R. Normativo'!$L$5:$L$104</definedName>
    <definedName name="hSemana_RF">'Actividades R. Financiero'!$F$5:$F$104</definedName>
    <definedName name="hEstado_RF">'Actividades R. Financiero'!$L$5:$L$104</definedName>
    <definedName name="hSemana_ATR">'Actividades Asistente Técnico'!$F$5:$F$104</definedName>
    <definedName name="hEstado_ATR">'Actividades Asistente Técnico'!$L$5:$L$104</definedName>
    <definedName name="_xlnm.Print_Titles" localSheetId="0">'Dashboard - Consolidado'!$1:$2</definedName>
    <definedName name="_xlnm.Print_Area" localSheetId="0">'Dashboard - Consolidado'!$A$1:$N$74</definedName>
    <definedName name="_xlnm.Print_Titles" localSheetId="1">'Cronograma R. Operacional'!$4:$4</definedName>
    <definedName name="_xlnm.Print_Area" localSheetId="1">'Cronograma R. Operacional'!$A$1:$N$104</definedName>
    <definedName name="_xlnm.Print_Titles" localSheetId="2">'Actividades R. Operacional'!$4:$4</definedName>
    <definedName name="_xlnm.Print_Area" localSheetId="2">'Actividades R. Operacional'!$A$1:$M$104</definedName>
    <definedName name="_xlnm.Print_Titles" localSheetId="3">'Cronograma R. Normativo'!$4:$4</definedName>
    <definedName name="_xlnm.Print_Area" localSheetId="3">'Cronograma R. Normativo'!$A$1:$N$104</definedName>
    <definedName name="_xlnm.Print_Titles" localSheetId="4">'Actividades R. Normativo'!$4:$4</definedName>
    <definedName name="_xlnm.Print_Area" localSheetId="4">'Actividades R. Normativo'!$A$1:$M$104</definedName>
    <definedName name="_xlnm.Print_Titles" localSheetId="5">'Cronograma R. Financiero'!$4:$4</definedName>
    <definedName name="_xlnm.Print_Area" localSheetId="5">'Cronograma R. Financiero'!$A$1:$N$104</definedName>
    <definedName name="_xlnm.Print_Titles" localSheetId="6">'Actividades R. Financiero'!$4:$4</definedName>
    <definedName name="_xlnm.Print_Area" localSheetId="6">'Actividades R. Financiero'!$A$1:$M$104</definedName>
    <definedName name="_xlnm.Print_Titles" localSheetId="7">'Cronograma Asistente Técnico'!$4:$4</definedName>
    <definedName name="_xlnm.Print_Area" localSheetId="7">'Cronograma Asistente Técnico'!$A$1:$N$104</definedName>
    <definedName name="_xlnm.Print_Titles" localSheetId="8">'Actividades Asistente Técnico'!$4:$4</definedName>
    <definedName name="_xlnm.Print_Area" localSheetId="8">'Actividades Asistente Técnico'!$A$1:$M$104</definedName>
  </definedNames>
  <calcPr calcId="124519" fullCalcOnLoad="1"/>
</workbook>
</file>

<file path=xl/styles.xml><?xml version="1.0" encoding="utf-8"?>
<styleSheet xmlns="http://schemas.openxmlformats.org/spreadsheetml/2006/main">
  <numFmts count="8">
    <numFmt numFmtId="164" formatCode="[$-440A]mmmm yyyy"/>
    <numFmt numFmtId="165" formatCode="dd/mm/yyyy"/>
    <numFmt numFmtId="166" formatCode="&quot;Semana &quot;0"/>
    <numFmt numFmtId="167" formatCode="0.0%"/>
    <numFmt numFmtId="168" formatCode="dd/mm"/>
    <numFmt numFmtId="169" formatCode="0&quot; de 4&quot;"/>
    <numFmt numFmtId="170" formatCode="0%;;&quot;&quot;"/>
    <numFmt numFmtId="171" formatCode="+0%;-0%;0%"/>
  </numFmts>
  <fonts count="27">
    <font>
      <name val="Calibri"/>
      <family val="2"/>
      <color theme="1"/>
      <sz val="11"/>
      <scheme val="minor"/>
    </font>
    <font>
      <name val="Arial"/>
      <b val="1"/>
      <color rgb="00FFFFFF"/>
      <sz val="14"/>
    </font>
    <font>
      <name val="Arial"/>
      <i val="1"/>
      <color rgb="001A1A1A"/>
      <sz val="9"/>
    </font>
    <font>
      <name val="Arial"/>
      <b val="1"/>
      <color rgb="00FFFFFF"/>
      <sz val="10"/>
    </font>
    <font>
      <name val="Arial"/>
      <b val="1"/>
      <color rgb="001A1A1A"/>
      <sz val="10"/>
    </font>
    <font>
      <name val="Arial"/>
      <b val="1"/>
      <color rgb="001F3864"/>
      <sz val="10"/>
    </font>
    <font>
      <name val="Arial"/>
      <color rgb="001A1A1A"/>
      <sz val="9"/>
    </font>
    <font>
      <name val="Arial"/>
      <b val="1"/>
      <color rgb="002E75B6"/>
      <sz val="10"/>
    </font>
    <font>
      <name val="Arial"/>
      <color rgb="001A1A1A"/>
      <sz val="10"/>
    </font>
    <font>
      <name val="Arial"/>
      <color rgb="001F3864"/>
      <sz val="9"/>
    </font>
    <font>
      <name val="Arial"/>
      <color rgb="001A1A1A"/>
      <sz val="8"/>
    </font>
    <font>
      <name val="Arial"/>
      <b val="1"/>
      <color rgb="001F3864"/>
      <sz val="9"/>
    </font>
    <font>
      <name val="Arial"/>
      <b val="1"/>
      <color rgb="001A1A1A"/>
      <sz val="9"/>
    </font>
    <font>
      <name val="Arial"/>
      <b val="1"/>
      <color rgb="001F3864"/>
      <sz val="8"/>
    </font>
    <font>
      <name val="Arial"/>
      <b val="1"/>
      <color rgb="00FFFFFF"/>
      <sz val="9"/>
    </font>
    <font>
      <name val="Arial"/>
      <i val="1"/>
      <color rgb="001A1A1A"/>
      <sz val="8"/>
    </font>
    <font>
      <name val="Arial"/>
      <b val="1"/>
      <color rgb="00FFFFFF"/>
      <sz val="16"/>
    </font>
    <font>
      <name val="Arial"/>
      <b val="1"/>
      <color rgb="001F3864"/>
      <sz val="11"/>
    </font>
    <font>
      <name val="Arial"/>
      <i val="1"/>
      <color rgb="001F3864"/>
      <sz val="8"/>
    </font>
    <font>
      <name val="Arial"/>
      <b val="1"/>
      <color rgb="001F3864"/>
      <sz val="24"/>
    </font>
    <font>
      <name val="Arial"/>
      <b val="1"/>
      <color rgb="00FFFFFF"/>
      <sz val="12"/>
    </font>
    <font>
      <name val="Arial"/>
      <color rgb="00FFFFFF"/>
      <sz val="9"/>
    </font>
    <font>
      <name val="Arial"/>
      <color rgb="00DDEBF7"/>
      <sz val="9"/>
    </font>
    <font>
      <name val="Arial"/>
      <i val="1"/>
      <color rgb="00404040"/>
      <sz val="9"/>
    </font>
    <font>
      <name val="Arial"/>
      <color rgb="00404040"/>
      <sz val="9"/>
    </font>
    <font>
      <name val="Arial"/>
      <i val="1"/>
      <color rgb="00404040"/>
      <sz val="8"/>
    </font>
    <font>
      <name val="Arial"/>
      <b val="1"/>
      <color rgb="00FFFFFF"/>
      <sz val="11"/>
    </font>
  </fonts>
  <fills count="11">
    <fill>
      <patternFill/>
    </fill>
    <fill>
      <patternFill patternType="gray125"/>
    </fill>
    <fill>
      <patternFill patternType="solid">
        <fgColor rgb="001F3864"/>
        <bgColor rgb="001F3864"/>
      </patternFill>
    </fill>
    <fill>
      <patternFill patternType="solid">
        <fgColor rgb="002E75B6"/>
        <bgColor rgb="002E75B6"/>
      </patternFill>
    </fill>
    <fill>
      <patternFill patternType="solid">
        <fgColor rgb="00FFF7D6"/>
        <bgColor rgb="00FFF7D6"/>
      </patternFill>
    </fill>
    <fill>
      <patternFill patternType="solid">
        <fgColor rgb="00F2F2F2"/>
        <bgColor rgb="00F2F2F2"/>
      </patternFill>
    </fill>
    <fill>
      <patternFill patternType="solid">
        <fgColor rgb="00DDEBF7"/>
        <bgColor rgb="00DDEBF7"/>
      </patternFill>
    </fill>
    <fill>
      <patternFill patternType="solid">
        <fgColor rgb="007030A0"/>
        <bgColor rgb="007030A0"/>
      </patternFill>
    </fill>
    <fill>
      <patternFill patternType="solid">
        <fgColor rgb="00548235"/>
        <bgColor rgb="00548235"/>
      </patternFill>
    </fill>
    <fill>
      <patternFill patternType="solid">
        <fgColor rgb="00C55A11"/>
        <bgColor rgb="00C55A11"/>
      </patternFill>
    </fill>
    <fill>
      <patternFill patternType="solid">
        <fgColor rgb="00FFFFFF"/>
        <bgColor rgb="00FFFFFF"/>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94">
    <xf numFmtId="0" fontId="0" fillId="0" borderId="0" pivotButton="0" quotePrefix="0" xfId="0"/>
    <xf numFmtId="0" fontId="16" fillId="2" borderId="0" applyAlignment="1" pivotButton="0" quotePrefix="0" xfId="0">
      <alignment horizontal="left" vertical="center" wrapText="1"/>
    </xf>
    <xf numFmtId="0" fontId="5" fillId="0" borderId="0" applyAlignment="1" pivotButton="0" quotePrefix="0" xfId="0">
      <alignment horizontal="right" vertical="center"/>
    </xf>
    <xf numFmtId="164" fontId="17" fillId="6" borderId="1" applyAlignment="1" pivotButton="0" quotePrefix="0" xfId="0">
      <alignment horizontal="center" vertical="center" wrapText="1"/>
    </xf>
    <xf numFmtId="169" fontId="17" fillId="6" borderId="1" applyAlignment="1" pivotButton="0" quotePrefix="0" xfId="0">
      <alignment horizontal="center" vertical="center" wrapText="1"/>
    </xf>
    <xf numFmtId="165" fontId="17" fillId="6" borderId="1" applyAlignment="1" pivotButton="0" quotePrefix="0" xfId="0">
      <alignment horizontal="center" vertical="center" wrapText="1"/>
    </xf>
    <xf numFmtId="0" fontId="18" fillId="0" borderId="0" applyAlignment="1" pivotButton="0" quotePrefix="0" xfId="0">
      <alignment horizontal="left" vertical="center" wrapText="1"/>
    </xf>
    <xf numFmtId="0" fontId="3" fillId="3" borderId="1" applyAlignment="1" pivotButton="0" quotePrefix="0" xfId="0">
      <alignment horizontal="center" vertical="center" wrapText="1"/>
    </xf>
    <xf numFmtId="9" fontId="19" fillId="10" borderId="1" applyAlignment="1" pivotButton="0" quotePrefix="0" xfId="0">
      <alignment horizontal="center" vertical="center" wrapText="1"/>
    </xf>
    <xf numFmtId="0" fontId="19" fillId="10" borderId="1" applyAlignment="1" pivotButton="0" quotePrefix="0" xfId="0">
      <alignment horizontal="center" vertical="center" wrapText="1"/>
    </xf>
    <xf numFmtId="1" fontId="19" fillId="10" borderId="1" applyAlignment="1" pivotButton="0" quotePrefix="0" xfId="0">
      <alignment horizontal="center" vertical="center" wrapText="1"/>
    </xf>
    <xf numFmtId="0" fontId="9" fillId="6" borderId="1" applyAlignment="1" pivotButton="0" quotePrefix="0" xfId="0">
      <alignment horizontal="center" vertical="center" wrapText="1"/>
    </xf>
    <xf numFmtId="169" fontId="19" fillId="10" borderId="1" applyAlignment="1" pivotButton="0" quotePrefix="0" xfId="0">
      <alignment horizontal="center" vertical="center" wrapText="1"/>
    </xf>
    <xf numFmtId="0" fontId="5" fillId="0" borderId="0" pivotButton="0" quotePrefix="0" xfId="0"/>
    <xf numFmtId="9" fontId="5" fillId="0" borderId="0" applyAlignment="1" pivotButton="0" quotePrefix="0" xfId="0">
      <alignment horizontal="left" vertical="center" wrapText="1"/>
    </xf>
    <xf numFmtId="0" fontId="5" fillId="0" borderId="0" applyAlignment="1" pivotButton="0" quotePrefix="0" xfId="0">
      <alignment horizontal="left" vertical="center" wrapText="1"/>
    </xf>
    <xf numFmtId="0" fontId="17" fillId="0" borderId="1" applyAlignment="1" pivotButton="0" quotePrefix="0" xfId="0">
      <alignment horizontal="center" vertical="center" wrapText="1"/>
    </xf>
    <xf numFmtId="0" fontId="20" fillId="2" borderId="0" applyAlignment="1" pivotButton="0" quotePrefix="0" xfId="0">
      <alignment horizontal="left" vertical="center" wrapText="1"/>
    </xf>
    <xf numFmtId="0" fontId="0" fillId="0" borderId="1" pivotButton="0" quotePrefix="0" xfId="0"/>
    <xf numFmtId="0" fontId="3" fillId="3" borderId="1" applyAlignment="1" pivotButton="0" quotePrefix="0" xfId="0">
      <alignment horizontal="left" vertical="center" wrapText="1"/>
    </xf>
    <xf numFmtId="9" fontId="8" fillId="0" borderId="1" applyAlignment="1" pivotButton="0" quotePrefix="0" xfId="0">
      <alignment horizontal="center" vertical="center" wrapText="1"/>
    </xf>
    <xf numFmtId="170" fontId="21"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3" fillId="7" borderId="1" applyAlignment="1" pivotButton="0" quotePrefix="0" xfId="0">
      <alignment horizontal="left" vertical="center" wrapText="1"/>
    </xf>
    <xf numFmtId="0" fontId="3" fillId="8" borderId="1" applyAlignment="1" pivotButton="0" quotePrefix="0" xfId="0">
      <alignment horizontal="left" vertical="center" wrapText="1"/>
    </xf>
    <xf numFmtId="0" fontId="3" fillId="9" borderId="1" applyAlignment="1" pivotButton="0" quotePrefix="0" xfId="0">
      <alignment horizontal="left" vertical="center" wrapText="1"/>
    </xf>
    <xf numFmtId="0" fontId="5" fillId="6" borderId="1" applyAlignment="1" pivotButton="0" quotePrefix="0" xfId="0">
      <alignment horizontal="left" vertical="center" wrapText="1"/>
    </xf>
    <xf numFmtId="9" fontId="5" fillId="6" borderId="1" applyAlignment="1" pivotButton="0" quotePrefix="0" xfId="0">
      <alignment horizontal="center" vertical="center" wrapText="1"/>
    </xf>
    <xf numFmtId="170" fontId="22"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14" fillId="3" borderId="1" applyAlignment="1" pivotButton="0" quotePrefix="0" xfId="0">
      <alignment horizontal="center" vertical="center" wrapText="1"/>
    </xf>
    <xf numFmtId="0" fontId="11" fillId="6" borderId="1" applyAlignment="1" pivotButton="0" quotePrefix="0" xfId="0">
      <alignment horizontal="center" vertical="center" wrapText="1"/>
    </xf>
    <xf numFmtId="171" fontId="8" fillId="0" borderId="1" applyAlignment="1" pivotButton="0" quotePrefix="0" xfId="0">
      <alignment horizontal="center" vertical="center" wrapText="1"/>
    </xf>
    <xf numFmtId="171" fontId="5" fillId="6" borderId="1" applyAlignment="1" pivotButton="0" quotePrefix="0" xfId="0">
      <alignment horizontal="center" vertical="center" wrapText="1"/>
    </xf>
    <xf numFmtId="0" fontId="23" fillId="10" borderId="1" applyAlignment="1" pivotButton="0" quotePrefix="0" xfId="0">
      <alignment horizontal="left" vertical="center" wrapText="1"/>
    </xf>
    <xf numFmtId="9" fontId="23" fillId="10" borderId="1" applyAlignment="1" pivotButton="0" quotePrefix="0" xfId="0">
      <alignment horizontal="center" vertical="center" wrapText="1"/>
    </xf>
    <xf numFmtId="171" fontId="5" fillId="10" borderId="1" applyAlignment="1" pivotButton="0" quotePrefix="0" xfId="0">
      <alignment horizontal="center" vertical="center" wrapText="1"/>
    </xf>
    <xf numFmtId="0" fontId="5" fillId="10" borderId="1" applyAlignment="1" pivotButton="0" quotePrefix="0" xfId="0">
      <alignment horizontal="center" vertical="center" wrapText="1"/>
    </xf>
    <xf numFmtId="0" fontId="24" fillId="10" borderId="1" applyAlignment="1" pivotButton="0" quotePrefix="0" xfId="0">
      <alignment horizontal="left" vertical="center" wrapText="1"/>
    </xf>
    <xf numFmtId="9" fontId="24" fillId="10" borderId="1" applyAlignment="1" pivotButton="0" quotePrefix="0" xfId="0">
      <alignment horizontal="center" vertical="center" wrapText="1"/>
    </xf>
    <xf numFmtId="0" fontId="25" fillId="0" borderId="0" applyAlignment="1" pivotButton="0" quotePrefix="0" xfId="0">
      <alignment horizontal="left" vertical="center" wrapText="1"/>
    </xf>
    <xf numFmtId="0" fontId="8" fillId="0" borderId="1" applyAlignment="1" pivotButton="0" quotePrefix="0" xfId="0">
      <alignment horizontal="left" vertical="center" wrapText="1"/>
    </xf>
    <xf numFmtId="1"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1" fillId="3" borderId="0" applyAlignment="1" pivotButton="0" quotePrefix="0" xfId="0">
      <alignment horizontal="left" vertical="center" wrapText="1"/>
    </xf>
    <xf numFmtId="0" fontId="9" fillId="6" borderId="0" applyAlignment="1" pivotButton="0" quotePrefix="0" xfId="0">
      <alignment horizontal="left" vertical="center" wrapText="1"/>
    </xf>
    <xf numFmtId="0" fontId="10" fillId="4" borderId="1" pivotButton="0" quotePrefix="0" xfId="0"/>
    <xf numFmtId="0" fontId="10" fillId="5" borderId="1" pivotButton="0" quotePrefix="0" xfId="0"/>
    <xf numFmtId="0" fontId="11" fillId="0" borderId="0" applyAlignment="1" pivotButton="0" quotePrefix="0" xfId="0">
      <alignment horizontal="right" vertical="center"/>
    </xf>
    <xf numFmtId="167" fontId="5" fillId="0" borderId="1" applyAlignment="1" pivotButton="0" quotePrefix="0" xfId="0">
      <alignment horizontal="center" vertical="center" wrapText="1"/>
    </xf>
    <xf numFmtId="0" fontId="12" fillId="0" borderId="0" applyAlignment="1" pivotButton="0" quotePrefix="0" xfId="0">
      <alignment horizontal="center" vertical="center" wrapText="1"/>
    </xf>
    <xf numFmtId="0" fontId="3" fillId="2"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4" borderId="1" applyAlignment="1" applyProtection="1" pivotButton="0" quotePrefix="0" xfId="0">
      <alignment horizontal="left" vertical="center" wrapText="1"/>
      <protection locked="0" hidden="0"/>
    </xf>
    <xf numFmtId="165" fontId="8" fillId="4" borderId="1" applyAlignment="1" applyProtection="1" pivotButton="0" quotePrefix="0" xfId="0">
      <alignment horizontal="center" vertical="center" wrapText="1"/>
      <protection locked="0" hidden="0"/>
    </xf>
    <xf numFmtId="167" fontId="8" fillId="4" borderId="1" applyAlignment="1" applyProtection="1" pivotButton="0" quotePrefix="0" xfId="0">
      <alignment horizontal="center" vertical="center" wrapText="1"/>
      <protection locked="0" hidden="0"/>
    </xf>
    <xf numFmtId="9" fontId="8" fillId="4" borderId="1" applyAlignment="1" applyProtection="1" pivotButton="0" quotePrefix="0" xfId="0">
      <alignment horizontal="center" vertical="center" wrapText="1"/>
      <protection locked="0" hidden="0"/>
    </xf>
    <xf numFmtId="9" fontId="8" fillId="5" borderId="1" applyAlignment="1" pivotButton="0" quotePrefix="0" xfId="0">
      <alignment horizontal="center" vertical="center" wrapText="1"/>
    </xf>
    <xf numFmtId="0" fontId="6" fillId="5" borderId="1" applyAlignment="1" pivotButton="0" quotePrefix="0" xfId="0">
      <alignment horizontal="left" vertical="center" wrapText="1"/>
    </xf>
    <xf numFmtId="0" fontId="11" fillId="6" borderId="0" applyAlignment="1" pivotButton="0" quotePrefix="0" xfId="0">
      <alignment horizontal="left" vertical="center" wrapText="1"/>
    </xf>
    <xf numFmtId="0" fontId="13" fillId="0" borderId="0" applyAlignment="1" pivotButton="0" quotePrefix="0" xfId="0">
      <alignment horizontal="right" vertical="center"/>
    </xf>
    <xf numFmtId="168" fontId="13" fillId="6" borderId="1" applyAlignment="1" pivotButton="0" quotePrefix="0" xfId="0">
      <alignment horizontal="center" vertical="center" wrapText="1"/>
    </xf>
    <xf numFmtId="165" fontId="8" fillId="0" borderId="1" applyAlignment="1" pivotButton="0" quotePrefix="0" xfId="0">
      <alignment horizontal="center" vertical="center" wrapText="1"/>
    </xf>
    <xf numFmtId="0" fontId="1" fillId="7" borderId="0" applyAlignment="1" pivotButton="0" quotePrefix="0" xfId="0">
      <alignment horizontal="left" vertical="center" wrapText="1"/>
    </xf>
    <xf numFmtId="0" fontId="3" fillId="7" borderId="1" applyAlignment="1" pivotButton="0" quotePrefix="0" xfId="0">
      <alignment horizontal="center" vertical="center" wrapText="1"/>
    </xf>
    <xf numFmtId="0" fontId="1" fillId="8" borderId="0" applyAlignment="1" pivotButton="0" quotePrefix="0" xfId="0">
      <alignment horizontal="left" vertical="center" wrapText="1"/>
    </xf>
    <xf numFmtId="0" fontId="3" fillId="8" borderId="1" applyAlignment="1" pivotButton="0" quotePrefix="0" xfId="0">
      <alignment horizontal="center" vertical="center" wrapText="1"/>
    </xf>
    <xf numFmtId="0" fontId="1" fillId="9" borderId="0" applyAlignment="1" pivotButton="0" quotePrefix="0" xfId="0">
      <alignment horizontal="left" vertical="center" wrapText="1"/>
    </xf>
    <xf numFmtId="0" fontId="3" fillId="9" borderId="1" applyAlignment="1" pivotButton="0" quotePrefix="0" xfId="0">
      <alignment horizontal="center" vertical="center" wrapText="1"/>
    </xf>
    <xf numFmtId="0" fontId="1" fillId="2" borderId="0" applyAlignment="1" pivotButton="0" quotePrefix="0" xfId="0">
      <alignment horizontal="left" vertical="center" wrapText="1"/>
    </xf>
    <xf numFmtId="0" fontId="26" fillId="3" borderId="0" applyAlignment="1" pivotButton="0" quotePrefix="0" xfId="0">
      <alignment horizontal="left" vertical="center" wrapText="1"/>
    </xf>
    <xf numFmtId="0" fontId="8" fillId="0" borderId="0" applyAlignment="1" pivotButton="0" quotePrefix="0" xfId="0">
      <alignment horizontal="left" vertical="top" wrapText="1"/>
    </xf>
    <xf numFmtId="0" fontId="2" fillId="0" borderId="0" pivotButton="0" quotePrefix="0" xfId="0"/>
    <xf numFmtId="0" fontId="4" fillId="0" borderId="1" applyAlignment="1" pivotButton="0" quotePrefix="0" xfId="0">
      <alignment horizontal="left" vertical="center" wrapText="1"/>
    </xf>
    <xf numFmtId="164" fontId="5" fillId="4" borderId="1" applyAlignment="1" applyProtection="1" pivotButton="0" quotePrefix="0" xfId="0">
      <alignment horizontal="center" vertical="center" wrapText="1"/>
      <protection locked="0" hidden="0"/>
    </xf>
    <xf numFmtId="165" fontId="5" fillId="4" borderId="1" applyAlignment="1" applyProtection="1" pivotButton="0" quotePrefix="0" xfId="0">
      <alignment horizontal="center" vertical="center" wrapText="1"/>
      <protection locked="0" hidden="0"/>
    </xf>
    <xf numFmtId="166" fontId="5" fillId="5" borderId="1" applyAlignment="1" pivotButton="0" quotePrefix="0" xfId="0">
      <alignment horizontal="center" vertical="center" wrapText="1"/>
    </xf>
    <xf numFmtId="1" fontId="5" fillId="4" borderId="1" applyAlignment="1" applyProtection="1" pivotButton="0" quotePrefix="0" xfId="0">
      <alignment horizontal="center" vertical="center" wrapText="1"/>
      <protection locked="0" hidden="0"/>
    </xf>
    <xf numFmtId="49" fontId="5" fillId="4" borderId="1" applyAlignment="1" applyProtection="1" pivotButton="0" quotePrefix="0" xfId="0">
      <alignment horizontal="center" vertical="center" wrapText="1"/>
      <protection locked="0" hidden="0"/>
    </xf>
    <xf numFmtId="9" fontId="5" fillId="5" borderId="1" applyAlignment="1" pivotButton="0" quotePrefix="0" xfId="0">
      <alignment horizontal="center" vertical="center" wrapText="1"/>
    </xf>
    <xf numFmtId="0" fontId="3" fillId="3" borderId="0" applyAlignment="1" pivotButton="0" quotePrefix="0" xfId="0">
      <alignment horizontal="left" vertical="center" wrapText="1"/>
    </xf>
    <xf numFmtId="0" fontId="4" fillId="0" borderId="1" pivotButton="0" quotePrefix="0" xfId="0"/>
    <xf numFmtId="9" fontId="5" fillId="4" borderId="1" applyAlignment="1" applyProtection="1" pivotButton="0" quotePrefix="0" xfId="0">
      <alignment horizontal="center" vertical="center" wrapText="1"/>
      <protection locked="0" hidden="0"/>
    </xf>
    <xf numFmtId="0" fontId="6" fillId="0" borderId="1" pivotButton="0" quotePrefix="0" xfId="0"/>
    <xf numFmtId="0" fontId="3" fillId="2" borderId="0" applyAlignment="1" pivotButton="0" quotePrefix="0" xfId="0">
      <alignment horizontal="left" vertical="center" wrapText="1"/>
    </xf>
    <xf numFmtId="0" fontId="7" fillId="0" borderId="0" pivotButton="0" quotePrefix="0" xfId="0"/>
    <xf numFmtId="0" fontId="8" fillId="0" borderId="1" pivotButton="0" quotePrefix="0" xfId="0"/>
    <xf numFmtId="0" fontId="6" fillId="0" borderId="0" applyAlignment="1" pivotButton="0" quotePrefix="0" xfId="0">
      <alignment horizontal="left" vertical="top" wrapText="1"/>
    </xf>
    <xf numFmtId="0" fontId="12" fillId="0" borderId="0" pivotButton="0" quotePrefix="0" xfId="0"/>
    <xf numFmtId="0" fontId="14" fillId="2" borderId="0" applyAlignment="1" pivotButton="0" quotePrefix="0" xfId="0">
      <alignment horizontal="center" vertical="center" wrapText="1"/>
    </xf>
    <xf numFmtId="167" fontId="0" fillId="0" borderId="0" pivotButton="0" quotePrefix="0" xfId="0"/>
    <xf numFmtId="1" fontId="0" fillId="0" borderId="0" pivotButton="0" quotePrefix="0" xfId="0"/>
    <xf numFmtId="0" fontId="15" fillId="0" borderId="0" pivotButton="0" quotePrefix="0" xfId="0"/>
  </cellXfs>
  <cellStyles count="1">
    <cellStyle name="Normal" xfId="0" builtinId="0" hidden="0"/>
  </cellStyles>
  <dxfs count="13">
    <dxf>
      <font>
        <b val="1"/>
        <color rgb="00006100"/>
      </font>
      <fill>
        <patternFill patternType="solid">
          <fgColor rgb="00C6EFCE"/>
          <bgColor rgb="00C6EFCE"/>
        </patternFill>
      </fill>
    </dxf>
    <dxf>
      <font>
        <b val="1"/>
        <color rgb="007F6000"/>
      </font>
      <fill>
        <patternFill patternType="solid">
          <fgColor rgb="00FFE699"/>
          <bgColor rgb="00FFE699"/>
        </patternFill>
      </fill>
    </dxf>
    <dxf>
      <font>
        <b val="1"/>
        <color rgb="009C0006"/>
      </font>
      <fill>
        <patternFill patternType="solid">
          <fgColor rgb="00FFC7CE"/>
          <bgColor rgb="00FFC7CE"/>
        </patternFill>
      </fill>
    </dxf>
    <dxf>
      <font>
        <b val="1"/>
        <color rgb="00FFFFFF"/>
      </font>
      <fill>
        <patternFill patternType="solid">
          <fgColor rgb="001E7B34"/>
          <bgColor rgb="001E7B34"/>
        </patternFill>
      </fill>
    </dxf>
    <dxf>
      <font>
        <b val="1"/>
        <color rgb="001F3864"/>
      </font>
      <fill>
        <patternFill patternType="solid">
          <fgColor rgb="00BDD7EE"/>
          <bgColor rgb="00BDD7EE"/>
        </patternFill>
      </fill>
    </dxf>
    <dxf>
      <font>
        <color rgb="009C0006"/>
      </font>
      <fill>
        <patternFill patternType="solid">
          <fgColor rgb="00FFC7CE"/>
          <bgColor rgb="00FFC7CE"/>
        </patternFill>
      </fill>
    </dxf>
    <dxf>
      <font>
        <b val="1"/>
        <color rgb="00833C0B"/>
      </font>
      <fill>
        <patternFill patternType="solid">
          <fgColor rgb="00F8CBAD"/>
          <bgColor rgb="00F8CBAD"/>
        </patternFill>
      </fill>
    </dxf>
    <dxf>
      <font>
        <color rgb="007F6000"/>
      </font>
      <fill>
        <patternFill patternType="solid">
          <fgColor rgb="00FFE699"/>
          <bgColor rgb="00FFE699"/>
        </patternFill>
      </fill>
    </dxf>
    <dxf>
      <font>
        <b val="1"/>
        <color rgb="00006100"/>
      </font>
    </dxf>
    <dxf>
      <font>
        <b val="1"/>
        <color rgb="00FFFFFF"/>
      </font>
      <fill>
        <patternFill patternType="solid">
          <fgColor rgb="002E75B6"/>
          <bgColor rgb="002E75B6"/>
        </patternFill>
      </fill>
    </dxf>
    <dxf>
      <font>
        <b val="1"/>
        <color rgb="00FFFFFF"/>
      </font>
      <fill>
        <patternFill patternType="solid">
          <fgColor rgb="007030A0"/>
          <bgColor rgb="007030A0"/>
        </patternFill>
      </fill>
    </dxf>
    <dxf>
      <font>
        <b val="1"/>
        <color rgb="00FFFFFF"/>
      </font>
      <fill>
        <patternFill patternType="solid">
          <fgColor rgb="00548235"/>
          <bgColor rgb="00548235"/>
        </patternFill>
      </fill>
    </dxf>
    <dxf>
      <font>
        <b val="1"/>
        <color rgb="00FFFFFF"/>
      </font>
      <fill>
        <patternFill patternType="solid">
          <fgColor rgb="00C55A11"/>
          <bgColor rgb="00C55A1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Avance ponderado por puesto</a:t>
            </a:r>
          </a:p>
        </rich>
      </tx>
    </title>
    <plotArea>
      <barChart>
        <barDir val="bar"/>
        <grouping val="clustered"/>
        <ser>
          <idx val="0"/>
          <order val="0"/>
          <spPr>
            <a:solidFill xmlns:a="http://schemas.openxmlformats.org/drawingml/2006/main">
              <a:srgbClr val="2E75B6"/>
            </a:solidFill>
            <a:ln xmlns:a="http://schemas.openxmlformats.org/drawingml/2006/main">
              <a:prstDash val="solid"/>
            </a:ln>
          </spPr>
          <dPt>
            <idx val="0"/>
            <spPr>
              <a:solidFill xmlns:a="http://schemas.openxmlformats.org/drawingml/2006/main">
                <a:srgbClr val="2E75B6"/>
              </a:solidFill>
              <a:ln xmlns:a="http://schemas.openxmlformats.org/drawingml/2006/main">
                <a:solidFill>
                  <a:srgbClr val="2E75B6"/>
                </a:solidFill>
                <a:prstDash val="solid"/>
              </a:ln>
            </spPr>
          </dPt>
          <dPt>
            <idx val="1"/>
            <spPr>
              <a:solidFill xmlns:a="http://schemas.openxmlformats.org/drawingml/2006/main">
                <a:srgbClr val="7030A0"/>
              </a:solidFill>
              <a:ln xmlns:a="http://schemas.openxmlformats.org/drawingml/2006/main">
                <a:solidFill>
                  <a:srgbClr val="7030A0"/>
                </a:solidFill>
                <a:prstDash val="solid"/>
              </a:ln>
            </spPr>
          </dPt>
          <dPt>
            <idx val="2"/>
            <spPr>
              <a:solidFill xmlns:a="http://schemas.openxmlformats.org/drawingml/2006/main">
                <a:srgbClr val="548235"/>
              </a:solidFill>
              <a:ln xmlns:a="http://schemas.openxmlformats.org/drawingml/2006/main">
                <a:solidFill>
                  <a:srgbClr val="548235"/>
                </a:solidFill>
                <a:prstDash val="solid"/>
              </a:ln>
            </spPr>
          </dPt>
          <dPt>
            <idx val="3"/>
            <spPr>
              <a:solidFill xmlns:a="http://schemas.openxmlformats.org/drawingml/2006/main">
                <a:srgbClr val="C55A11"/>
              </a:solidFill>
              <a:ln xmlns:a="http://schemas.openxmlformats.org/drawingml/2006/main">
                <a:solidFill>
                  <a:srgbClr val="C55A11"/>
                </a:solidFill>
                <a:prstDash val="solid"/>
              </a:ln>
            </spPr>
          </dPt>
          <cat>
            <numRef>
              <f>'Dashboard - Consolidado'!$B$16:$B$19</f>
            </numRef>
          </cat>
          <val>
            <numRef>
              <f>'Dashboard - Consolidado'!$D$16:$D$19</f>
            </numRef>
          </val>
        </ser>
        <dLbls>
          <numFmt formatCode="0%"/>
          <showLegendKey val="0"/>
          <showVal val="1"/>
          <showCatName val="0"/>
          <showSerName val="0"/>
          <showPercent val="0"/>
        </dLbls>
        <gapWidth val="15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Avance general acumulado vs plan de referencia</a:t>
            </a:r>
          </a:p>
        </rich>
      </tx>
    </title>
    <plotArea>
      <barChart>
        <barDir val="col"/>
        <grouping val="clustered"/>
        <ser>
          <idx val="0"/>
          <order val="0"/>
          <tx>
            <strRef>
              <f>'Dashboard - Consolidado'!B29</f>
            </strRef>
          </tx>
          <spPr>
            <a:solidFill xmlns:a="http://schemas.openxmlformats.org/drawingml/2006/main">
              <a:srgbClr val="1F3864"/>
            </a:solidFill>
            <a:ln xmlns:a="http://schemas.openxmlformats.org/drawingml/2006/main">
              <a:prstDash val="solid"/>
            </a:ln>
          </spPr>
          <cat>
            <numRef>
              <f>'Dashboard - Consolidado'!$C$24:$F$24</f>
            </numRef>
          </cat>
          <val>
            <numRef>
              <f>'Dashboard - Consolidado'!$C$29:$F$29</f>
            </numRef>
          </val>
        </ser>
        <ser>
          <idx val="1"/>
          <order val="1"/>
          <tx>
            <strRef>
              <f>'Dashboard - Consolidado'!B30</f>
            </strRef>
          </tx>
          <spPr>
            <a:solidFill xmlns:a="http://schemas.openxmlformats.org/drawingml/2006/main">
              <a:srgbClr val="BFBFBF"/>
            </a:solidFill>
            <a:ln xmlns:a="http://schemas.openxmlformats.org/drawingml/2006/main">
              <a:prstDash val="solid"/>
            </a:ln>
          </spPr>
          <cat>
            <numRef>
              <f>'Dashboard - Consolidado'!$C$24:$F$24</f>
            </numRef>
          </cat>
          <val>
            <numRef>
              <f>'Dashboard - Consolidado'!$C$30:$F$30</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col>
      <colOff>0</colOff>
      <row>34</row>
      <rowOff>0</rowOff>
    </from>
    <ext cx="5580000" cy="2592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34</row>
      <rowOff>0</rowOff>
    </from>
    <ext cx="6300000" cy="259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ables/table1.xml><?xml version="1.0" encoding="utf-8"?>
<table xmlns="http://schemas.openxmlformats.org/spreadsheetml/2006/main" id="1" name="tblAct_RO" displayName="tblAct_RO" ref="A4:N104" headerRowCount="1">
  <autoFilter ref="A4:N104"/>
  <tableColumns count="14">
    <tableColumn id="1" name="N°">
      <calculatedColumnFormula>IF(NOT((COUNTA(tblAct_RO[[#This Row],[Macro Actividad]:[Avance Semana 4 (%)]])+COUNTA(tblAct_RO[[#This Row],[Observaciones]]))&gt;0),"",COUNTIF(INDEX(tblAct_RO[Estado],1):tblAct_RO[[#This Row],[Estado]],"?*"))</calculatedColumnFormula>
    </tableColumn>
    <tableColumn id="2" name="Macro Actividad"/>
    <tableColumn id="3" name="Responsable"/>
    <tableColumn id="4" name="Fecha de inicio"/>
    <tableColumn id="5" name="Fecha límite"/>
    <tableColumn id="6" name="Peso de actividad (%)"/>
    <tableColumn id="7" name="Avance Semana 1 (%)"/>
    <tableColumn id="8" name="Avance Semana 2 (%)"/>
    <tableColumn id="9" name="Avance Semana 3 (%)"/>
    <tableColumn id="10" name="Avance Semana 4 (%)"/>
    <tableColumn id="11" name="% de Avance Total Actual">
      <calculatedColumnFormula>IF(NOT((COUNTA(tblAct_RO[[#This Row],[Macro Actividad]:[Avance Semana 4 (%)]])+COUNTA(tblAct_RO[[#This Row],[Observaciones]]))&gt;0),"",IFERROR(LOOKUP(2,1/(tblAct_RO[[#This Row],[Avance Semana 1 (%)]:[Avance Semana 4 (%)]]&lt;&gt;""),tblAct_RO[[#This Row],[Avance Semana 1 (%)]:[Avance Semana 4 (%)]]),0))</calculatedColumnFormula>
    </tableColumn>
    <tableColumn id="12" name="Estado">
      <calculatedColumnFormula>IF(tblAct_RO[[#This Row],[% de Avance Total Actual]]="","",IF(tblAct_RO[[#This Row],[% de Avance Total Actual]]&gt;=1,"Completado",IF(tblAct_RO[[#This Row],[% de Avance Total Actual]]&gt;0,"En curso","Pendiente")))</calculatedColumnFormula>
    </tableColumn>
    <tableColumn id="13" name="Observaciones"/>
    <tableColumn id="14" name="Revisión automática (alertas)">
      <calculatedColumnFormula>IF(NOT((COUNTA(tblAct_RO[[#This Row],[Macro Actividad]:[Avance Semana 4 (%)]])+COUNTA(tblAct_RO[[#This Row],[Observaciones]]))&gt;0),"",IF((IF(tblAct_RO[[#This Row],[Macro Actividad]]="","Macroactividad vacía"&amp;" · ","")&amp;IF(tblAct_RO[[#This Row],[Responsable]]="","Sin responsable"&amp;" · ","")&amp;IF(tblAct_RO[[#This Row],[Fecha de inicio]]="","Sin fecha de inicio"&amp;" · ","")&amp;IF(tblAct_RO[[#This Row],[Fecha límite]]="","Sin fecha límite"&amp;" · ","")&amp;IF(OR(AND(tblAct_RO[[#This Row],[Fecha de inicio]]&lt;&gt;"",NOT(ISNUMBER(tblAct_RO[[#This Row],[Fecha de inicio]]))),AND(tblAct_RO[[#This Row],[Fecha límite]]&lt;&gt;"",NOT(ISNUMBER(tblAct_RO[[#This Row],[Fecha límite]])))),"Fecha no válida"&amp;" · ","")&amp;IF(AND(ISNUMBER(tblAct_RO[[#This Row],[Fecha de inicio]]),ISNUMBER(tblAct_RO[[#This Row],[Fecha límite]]),tblAct_RO[[#This Row],[Fecha de inicio]]&gt;tblAct_RO[[#This Row],[Fecha límite]]),"Inicio posterior a fecha límite"&amp;" · ","")&amp;IF(tblAct_RO[[#This Row],[Peso de actividad (%)]]="","Peso vacío"&amp;" · ","")&amp;IF(AND(tblAct_RO[[#This Row],[Peso de actividad (%)]]&lt;&gt;"",OR(NOT(ISNUMBER(tblAct_RO[[#This Row],[Peso de actividad (%)]])),tblAct_RO[[#This Row],[Peso de actividad (%)]]&lt;=0,tblAct_RO[[#This Row],[Peso de actividad (%)]]&gt;1)),"Peso fuera de rango"&amp;" · ","")&amp;IF(ABS(SUM($F$5:$F$1000)-1)&gt;0.0001,"Pesos del puesto suman "&amp;TEXT(SUM($F$5:$F$1000),"0%")&amp;"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Row],[Fecha límite]]),tblAct_RO[[#This Row],[Fecha límite]]&lt;FechaRef,N(tblAct_RO[[#This Row],[% de Avance Total Actual]])&lt;1),"Vencida"&amp;" · ","")&amp;IF(AND(ObsObligatoria="Sí",ISNUMBER(tblAct_RO[[#This Row],[Fecha límite]]),tblAct_RO[[#This Row],[Fecha límite]]&lt;FechaRef,N(tblAct_RO[[#This Row],[% de Avance Total Actual]])&lt;1,tblAct_RO[[#This Row],[Observaciones]]=""),"Vencida sin observación"&amp;" · ",""))="","✔ OK","⚠ "&amp;LEFT(IF(tblAct_RO[[#This Row],[Macro Actividad]]="","Macroactividad vacía"&amp;" · ","")&amp;IF(tblAct_RO[[#This Row],[Responsable]]="","Sin responsable"&amp;" · ","")&amp;IF(tblAct_RO[[#This Row],[Fecha de inicio]]="","Sin fecha de inicio"&amp;" · ","")&amp;IF(tblAct_RO[[#This Row],[Fecha límite]]="","Sin fecha límite"&amp;" · ","")&amp;IF(OR(AND(tblAct_RO[[#This Row],[Fecha de inicio]]&lt;&gt;"",NOT(ISNUMBER(tblAct_RO[[#This Row],[Fecha de inicio]]))),AND(tblAct_RO[[#This Row],[Fecha límite]]&lt;&gt;"",NOT(ISNUMBER(tblAct_RO[[#This Row],[Fecha límite]])))),"Fecha no válida"&amp;" · ","")&amp;IF(AND(ISNUMBER(tblAct_RO[[#This Row],[Fecha de inicio]]),ISNUMBER(tblAct_RO[[#This Row],[Fecha límite]]),tblAct_RO[[#This Row],[Fecha de inicio]]&gt;tblAct_RO[[#This Row],[Fecha límite]]),"Inicio posterior a fecha límite"&amp;" · ","")&amp;IF(tblAct_RO[[#This Row],[Peso de actividad (%)]]="","Peso vacío"&amp;" · ","")&amp;IF(AND(tblAct_RO[[#This Row],[Peso de actividad (%)]]&lt;&gt;"",OR(NOT(ISNUMBER(tblAct_RO[[#This Row],[Peso de actividad (%)]])),tblAct_RO[[#This Row],[Peso de actividad (%)]]&lt;=0,tblAct_RO[[#This Row],[Peso de actividad (%)]]&gt;1)),"Peso fuera de rango"&amp;" · ","")&amp;IF(ABS(SUM($F$5:$F$1000)-1)&gt;0.0001,"Pesos del puesto suman "&amp;TEXT(SUM($F$5:$F$1000),"0%")&amp;"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Row],[Fecha límite]]),tblAct_RO[[#This Row],[Fecha límite]]&lt;FechaRef,N(tblAct_RO[[#This Row],[% de Avance Total Actual]])&lt;1),"Vencida"&amp;" · ","")&amp;IF(AND(ObsObligatoria="Sí",ISNUMBER(tblAct_RO[[#This Row],[Fecha límite]]),tblAct_RO[[#This Row],[Fecha límite]]&lt;FechaRef,N(tblAct_RO[[#This Row],[% de Avance Total Actual]])&lt;1,tblAct_RO[[#This Row],[Observaciones]]=""),"Vencida sin observación"&amp;" · ",""),LEN(IF(tblAct_RO[[#This Row],[Macro Actividad]]="","Macroactividad vacía"&amp;" · ","")&amp;IF(tblAct_RO[[#This Row],[Responsable]]="","Sin responsable"&amp;" · ","")&amp;IF(tblAct_RO[[#This Row],[Fecha de inicio]]="","Sin fecha de inicio"&amp;" · ","")&amp;IF(tblAct_RO[[#This Row],[Fecha límite]]="","Sin fecha límite"&amp;" · ","")&amp;IF(OR(AND(tblAct_RO[[#This Row],[Fecha de inicio]]&lt;&gt;"",NOT(ISNUMBER(tblAct_RO[[#This Row],[Fecha de inicio]]))),AND(tblAct_RO[[#This Row],[Fecha límite]]&lt;&gt;"",NOT(ISNUMBER(tblAct_RO[[#This Row],[Fecha límite]])))),"Fecha no válida"&amp;" · ","")&amp;IF(AND(ISNUMBER(tblAct_RO[[#This Row],[Fecha de inicio]]),ISNUMBER(tblAct_RO[[#This Row],[Fecha límite]]),tblAct_RO[[#This Row],[Fecha de inicio]]&gt;tblAct_RO[[#This Row],[Fecha límite]]),"Inicio posterior a fecha límite"&amp;" · ","")&amp;IF(tblAct_RO[[#This Row],[Peso de actividad (%)]]="","Peso vacío"&amp;" · ","")&amp;IF(AND(tblAct_RO[[#This Row],[Peso de actividad (%)]]&lt;&gt;"",OR(NOT(ISNUMBER(tblAct_RO[[#This Row],[Peso de actividad (%)]])),tblAct_RO[[#This Row],[Peso de actividad (%)]]&lt;=0,tblAct_RO[[#This Row],[Peso de actividad (%)]]&gt;1)),"Peso fuera de rango"&amp;" · ","")&amp;IF(ABS(SUM($F$5:$F$1000)-1)&gt;0.0001,"Pesos del puesto suman "&amp;TEXT(SUM($F$5:$F$1000),"0%")&amp;"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Row],[Fecha límite]]),tblAct_RO[[#This Row],[Fecha límite]]&lt;FechaRef,N(tblAct_RO[[#This Row],[% de Avance Total Actual]])&lt;1),"Vencida"&amp;" · ","")&amp;IF(AND(ObsObligatoria="Sí",ISNUMBER(tblAct_RO[[#This Row],[Fecha límite]]),tblAct_RO[[#This Row],[Fecha límite]]&lt;FechaRef,N(tblAct_RO[[#This Row],[% de Avance Total Actual]])&lt;1,tblAct_RO[[#This Row],[Observaciones]]=""),"Vencida sin observación"&amp;" · ",""))-3)))</calculatedColumnFormula>
    </tableColumn>
  </tableColumns>
  <tableStyleInfo name="TableStyleLight1" showRowStripes="0"/>
</table>
</file>

<file path=xl/tables/table2.xml><?xml version="1.0" encoding="utf-8"?>
<table xmlns="http://schemas.openxmlformats.org/spreadsheetml/2006/main" id="2" name="tblSem_RO" displayName="tblSem_RO" ref="A4:M104" headerRowCount="1">
  <autoFilter ref="A4:M104"/>
  <tableColumns count="13">
    <tableColumn id="1" name="N°"/>
    <tableColumn id="2" name="Macro Actividad"/>
    <tableColumn id="3" name="Responsable"/>
    <tableColumn id="4" name="Fecha de inicio"/>
    <tableColumn id="5" name="Fecha límite"/>
    <tableColumn id="6" name="Semana de entrega"/>
    <tableColumn id="7" name="Semana 1"/>
    <tableColumn id="8" name="Semana 2"/>
    <tableColumn id="9" name="Semana 3"/>
    <tableColumn id="10" name="Semana 4"/>
    <tableColumn id="11" name="% Avance actual"/>
    <tableColumn id="12" name="Estado"/>
    <tableColumn id="13" name="Observaciones"/>
  </tableColumns>
  <tableStyleInfo name="TableStyleLight1" showRowStripes="0"/>
</table>
</file>

<file path=xl/tables/table3.xml><?xml version="1.0" encoding="utf-8"?>
<table xmlns="http://schemas.openxmlformats.org/spreadsheetml/2006/main" id="3" name="tblAct_RN" displayName="tblAct_RN" ref="A4:N104" headerRowCount="1">
  <autoFilter ref="A4:N104"/>
  <tableColumns count="14">
    <tableColumn id="1" name="N°">
      <calculatedColumnFormula>IF(NOT((COUNTA(tblAct_RN[[#This Row],[Macro Actividad]:[Avance Semana 4 (%)]])+COUNTA(tblAct_RN[[#This Row],[Observaciones]]))&gt;0),"",COUNTIF(INDEX(tblAct_RN[Estado],1):tblAct_RN[[#This Row],[Estado]],"?*"))</calculatedColumnFormula>
    </tableColumn>
    <tableColumn id="2" name="Macro Actividad"/>
    <tableColumn id="3" name="Responsable"/>
    <tableColumn id="4" name="Fecha de inicio"/>
    <tableColumn id="5" name="Fecha límite"/>
    <tableColumn id="6" name="Peso de actividad (%)"/>
    <tableColumn id="7" name="Avance Semana 1 (%)"/>
    <tableColumn id="8" name="Avance Semana 2 (%)"/>
    <tableColumn id="9" name="Avance Semana 3 (%)"/>
    <tableColumn id="10" name="Avance Semana 4 (%)"/>
    <tableColumn id="11" name="% de Avance Total Actual">
      <calculatedColumnFormula>IF(NOT((COUNTA(tblAct_RN[[#This Row],[Macro Actividad]:[Avance Semana 4 (%)]])+COUNTA(tblAct_RN[[#This Row],[Observaciones]]))&gt;0),"",IFERROR(LOOKUP(2,1/(tblAct_RN[[#This Row],[Avance Semana 1 (%)]:[Avance Semana 4 (%)]]&lt;&gt;""),tblAct_RN[[#This Row],[Avance Semana 1 (%)]:[Avance Semana 4 (%)]]),0))</calculatedColumnFormula>
    </tableColumn>
    <tableColumn id="12" name="Estado">
      <calculatedColumnFormula>IF(tblAct_RN[[#This Row],[% de Avance Total Actual]]="","",IF(tblAct_RN[[#This Row],[% de Avance Total Actual]]&gt;=1,"Completado",IF(tblAct_RN[[#This Row],[% de Avance Total Actual]]&gt;0,"En curso","Pendiente")))</calculatedColumnFormula>
    </tableColumn>
    <tableColumn id="13" name="Observaciones"/>
    <tableColumn id="14" name="Revisión automática (alertas)">
      <calculatedColumnFormula>IF(NOT((COUNTA(tblAct_RN[[#This Row],[Macro Actividad]:[Avance Semana 4 (%)]])+COUNTA(tblAct_RN[[#This Row],[Observaciones]]))&gt;0),"",IF((IF(tblAct_RN[[#This Row],[Macro Actividad]]="","Macroactividad vacía"&amp;" · ","")&amp;IF(tblAct_RN[[#This Row],[Responsable]]="","Sin responsable"&amp;" · ","")&amp;IF(tblAct_RN[[#This Row],[Fecha de inicio]]="","Sin fecha de inicio"&amp;" · ","")&amp;IF(tblAct_RN[[#This Row],[Fecha límite]]="","Sin fecha límite"&amp;" · ","")&amp;IF(OR(AND(tblAct_RN[[#This Row],[Fecha de inicio]]&lt;&gt;"",NOT(ISNUMBER(tblAct_RN[[#This Row],[Fecha de inicio]]))),AND(tblAct_RN[[#This Row],[Fecha límite]]&lt;&gt;"",NOT(ISNUMBER(tblAct_RN[[#This Row],[Fecha límite]])))),"Fecha no válida"&amp;" · ","")&amp;IF(AND(ISNUMBER(tblAct_RN[[#This Row],[Fecha de inicio]]),ISNUMBER(tblAct_RN[[#This Row],[Fecha límite]]),tblAct_RN[[#This Row],[Fecha de inicio]]&gt;tblAct_RN[[#This Row],[Fecha límite]]),"Inicio posterior a fecha límite"&amp;" · ","")&amp;IF(tblAct_RN[[#This Row],[Peso de actividad (%)]]="","Peso vacío"&amp;" · ","")&amp;IF(AND(tblAct_RN[[#This Row],[Peso de actividad (%)]]&lt;&gt;"",OR(NOT(ISNUMBER(tblAct_RN[[#This Row],[Peso de actividad (%)]])),tblAct_RN[[#This Row],[Peso de actividad (%)]]&lt;=0,tblAct_RN[[#This Row],[Peso de actividad (%)]]&gt;1)),"Peso fuera de rango"&amp;" · ","")&amp;IF(ABS(SUM($F$5:$F$1000)-1)&gt;0.0001,"Pesos del puesto suman "&amp;TEXT(SUM($F$5:$F$1000),"0%")&amp;"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Row],[Fecha límite]]),tblAct_RN[[#This Row],[Fecha límite]]&lt;FechaRef,N(tblAct_RN[[#This Row],[% de Avance Total Actual]])&lt;1),"Vencida"&amp;" · ","")&amp;IF(AND(ObsObligatoria="Sí",ISNUMBER(tblAct_RN[[#This Row],[Fecha límite]]),tblAct_RN[[#This Row],[Fecha límite]]&lt;FechaRef,N(tblAct_RN[[#This Row],[% de Avance Total Actual]])&lt;1,tblAct_RN[[#This Row],[Observaciones]]=""),"Vencida sin observación"&amp;" · ",""))="","✔ OK","⚠ "&amp;LEFT(IF(tblAct_RN[[#This Row],[Macro Actividad]]="","Macroactividad vacía"&amp;" · ","")&amp;IF(tblAct_RN[[#This Row],[Responsable]]="","Sin responsable"&amp;" · ","")&amp;IF(tblAct_RN[[#This Row],[Fecha de inicio]]="","Sin fecha de inicio"&amp;" · ","")&amp;IF(tblAct_RN[[#This Row],[Fecha límite]]="","Sin fecha límite"&amp;" · ","")&amp;IF(OR(AND(tblAct_RN[[#This Row],[Fecha de inicio]]&lt;&gt;"",NOT(ISNUMBER(tblAct_RN[[#This Row],[Fecha de inicio]]))),AND(tblAct_RN[[#This Row],[Fecha límite]]&lt;&gt;"",NOT(ISNUMBER(tblAct_RN[[#This Row],[Fecha límite]])))),"Fecha no válida"&amp;" · ","")&amp;IF(AND(ISNUMBER(tblAct_RN[[#This Row],[Fecha de inicio]]),ISNUMBER(tblAct_RN[[#This Row],[Fecha límite]]),tblAct_RN[[#This Row],[Fecha de inicio]]&gt;tblAct_RN[[#This Row],[Fecha límite]]),"Inicio posterior a fecha límite"&amp;" · ","")&amp;IF(tblAct_RN[[#This Row],[Peso de actividad (%)]]="","Peso vacío"&amp;" · ","")&amp;IF(AND(tblAct_RN[[#This Row],[Peso de actividad (%)]]&lt;&gt;"",OR(NOT(ISNUMBER(tblAct_RN[[#This Row],[Peso de actividad (%)]])),tblAct_RN[[#This Row],[Peso de actividad (%)]]&lt;=0,tblAct_RN[[#This Row],[Peso de actividad (%)]]&gt;1)),"Peso fuera de rango"&amp;" · ","")&amp;IF(ABS(SUM($F$5:$F$1000)-1)&gt;0.0001,"Pesos del puesto suman "&amp;TEXT(SUM($F$5:$F$1000),"0%")&amp;"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Row],[Fecha límite]]),tblAct_RN[[#This Row],[Fecha límite]]&lt;FechaRef,N(tblAct_RN[[#This Row],[% de Avance Total Actual]])&lt;1),"Vencida"&amp;" · ","")&amp;IF(AND(ObsObligatoria="Sí",ISNUMBER(tblAct_RN[[#This Row],[Fecha límite]]),tblAct_RN[[#This Row],[Fecha límite]]&lt;FechaRef,N(tblAct_RN[[#This Row],[% de Avance Total Actual]])&lt;1,tblAct_RN[[#This Row],[Observaciones]]=""),"Vencida sin observación"&amp;" · ",""),LEN(IF(tblAct_RN[[#This Row],[Macro Actividad]]="","Macroactividad vacía"&amp;" · ","")&amp;IF(tblAct_RN[[#This Row],[Responsable]]="","Sin responsable"&amp;" · ","")&amp;IF(tblAct_RN[[#This Row],[Fecha de inicio]]="","Sin fecha de inicio"&amp;" · ","")&amp;IF(tblAct_RN[[#This Row],[Fecha límite]]="","Sin fecha límite"&amp;" · ","")&amp;IF(OR(AND(tblAct_RN[[#This Row],[Fecha de inicio]]&lt;&gt;"",NOT(ISNUMBER(tblAct_RN[[#This Row],[Fecha de inicio]]))),AND(tblAct_RN[[#This Row],[Fecha límite]]&lt;&gt;"",NOT(ISNUMBER(tblAct_RN[[#This Row],[Fecha límite]])))),"Fecha no válida"&amp;" · ","")&amp;IF(AND(ISNUMBER(tblAct_RN[[#This Row],[Fecha de inicio]]),ISNUMBER(tblAct_RN[[#This Row],[Fecha límite]]),tblAct_RN[[#This Row],[Fecha de inicio]]&gt;tblAct_RN[[#This Row],[Fecha límite]]),"Inicio posterior a fecha límite"&amp;" · ","")&amp;IF(tblAct_RN[[#This Row],[Peso de actividad (%)]]="","Peso vacío"&amp;" · ","")&amp;IF(AND(tblAct_RN[[#This Row],[Peso de actividad (%)]]&lt;&gt;"",OR(NOT(ISNUMBER(tblAct_RN[[#This Row],[Peso de actividad (%)]])),tblAct_RN[[#This Row],[Peso de actividad (%)]]&lt;=0,tblAct_RN[[#This Row],[Peso de actividad (%)]]&gt;1)),"Peso fuera de rango"&amp;" · ","")&amp;IF(ABS(SUM($F$5:$F$1000)-1)&gt;0.0001,"Pesos del puesto suman "&amp;TEXT(SUM($F$5:$F$1000),"0%")&amp;"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Row],[Fecha límite]]),tblAct_RN[[#This Row],[Fecha límite]]&lt;FechaRef,N(tblAct_RN[[#This Row],[% de Avance Total Actual]])&lt;1),"Vencida"&amp;" · ","")&amp;IF(AND(ObsObligatoria="Sí",ISNUMBER(tblAct_RN[[#This Row],[Fecha límite]]),tblAct_RN[[#This Row],[Fecha límite]]&lt;FechaRef,N(tblAct_RN[[#This Row],[% de Avance Total Actual]])&lt;1,tblAct_RN[[#This Row],[Observaciones]]=""),"Vencida sin observación"&amp;" · ",""))-3)))</calculatedColumnFormula>
    </tableColumn>
  </tableColumns>
  <tableStyleInfo name="TableStyleLight1" showRowStripes="0"/>
</table>
</file>

<file path=xl/tables/table4.xml><?xml version="1.0" encoding="utf-8"?>
<table xmlns="http://schemas.openxmlformats.org/spreadsheetml/2006/main" id="4" name="tblSem_RN" displayName="tblSem_RN" ref="A4:M104" headerRowCount="1">
  <autoFilter ref="A4:M104"/>
  <tableColumns count="13">
    <tableColumn id="1" name="N°"/>
    <tableColumn id="2" name="Macro Actividad"/>
    <tableColumn id="3" name="Responsable"/>
    <tableColumn id="4" name="Fecha de inicio"/>
    <tableColumn id="5" name="Fecha límite"/>
    <tableColumn id="6" name="Semana de entrega"/>
    <tableColumn id="7" name="Semana 1"/>
    <tableColumn id="8" name="Semana 2"/>
    <tableColumn id="9" name="Semana 3"/>
    <tableColumn id="10" name="Semana 4"/>
    <tableColumn id="11" name="% Avance actual"/>
    <tableColumn id="12" name="Estado"/>
    <tableColumn id="13" name="Observaciones"/>
  </tableColumns>
  <tableStyleInfo name="TableStyleLight1" showRowStripes="0"/>
</table>
</file>

<file path=xl/tables/table5.xml><?xml version="1.0" encoding="utf-8"?>
<table xmlns="http://schemas.openxmlformats.org/spreadsheetml/2006/main" id="5" name="tblAct_RF" displayName="tblAct_RF" ref="A4:N104" headerRowCount="1">
  <autoFilter ref="A4:N104"/>
  <tableColumns count="14">
    <tableColumn id="1" name="N°">
      <calculatedColumnFormula>IF(NOT((COUNTA(tblAct_RF[[#This Row],[Macro Actividad]:[Avance Semana 4 (%)]])+COUNTA(tblAct_RF[[#This Row],[Observaciones]]))&gt;0),"",COUNTIF(INDEX(tblAct_RF[Estado],1):tblAct_RF[[#This Row],[Estado]],"?*"))</calculatedColumnFormula>
    </tableColumn>
    <tableColumn id="2" name="Macro Actividad"/>
    <tableColumn id="3" name="Responsable"/>
    <tableColumn id="4" name="Fecha de inicio"/>
    <tableColumn id="5" name="Fecha límite"/>
    <tableColumn id="6" name="Peso de actividad (%)"/>
    <tableColumn id="7" name="Avance Semana 1 (%)"/>
    <tableColumn id="8" name="Avance Semana 2 (%)"/>
    <tableColumn id="9" name="Avance Semana 3 (%)"/>
    <tableColumn id="10" name="Avance Semana 4 (%)"/>
    <tableColumn id="11" name="% de Avance Total Actual">
      <calculatedColumnFormula>IF(NOT((COUNTA(tblAct_RF[[#This Row],[Macro Actividad]:[Avance Semana 4 (%)]])+COUNTA(tblAct_RF[[#This Row],[Observaciones]]))&gt;0),"",IFERROR(LOOKUP(2,1/(tblAct_RF[[#This Row],[Avance Semana 1 (%)]:[Avance Semana 4 (%)]]&lt;&gt;""),tblAct_RF[[#This Row],[Avance Semana 1 (%)]:[Avance Semana 4 (%)]]),0))</calculatedColumnFormula>
    </tableColumn>
    <tableColumn id="12" name="Estado">
      <calculatedColumnFormula>IF(tblAct_RF[[#This Row],[% de Avance Total Actual]]="","",IF(tblAct_RF[[#This Row],[% de Avance Total Actual]]&gt;=1,"Completado",IF(tblAct_RF[[#This Row],[% de Avance Total Actual]]&gt;0,"En curso","Pendiente")))</calculatedColumnFormula>
    </tableColumn>
    <tableColumn id="13" name="Observaciones"/>
    <tableColumn id="14" name="Revisión automática (alertas)">
      <calculatedColumnFormula>IF(NOT((COUNTA(tblAct_RF[[#This Row],[Macro Actividad]:[Avance Semana 4 (%)]])+COUNTA(tblAct_RF[[#This Row],[Observaciones]]))&gt;0),"",IF((IF(tblAct_RF[[#This Row],[Macro Actividad]]="","Macroactividad vacía"&amp;" · ","")&amp;IF(tblAct_RF[[#This Row],[Responsable]]="","Sin responsable"&amp;" · ","")&amp;IF(tblAct_RF[[#This Row],[Fecha de inicio]]="","Sin fecha de inicio"&amp;" · ","")&amp;IF(tblAct_RF[[#This Row],[Fecha límite]]="","Sin fecha límite"&amp;" · ","")&amp;IF(OR(AND(tblAct_RF[[#This Row],[Fecha de inicio]]&lt;&gt;"",NOT(ISNUMBER(tblAct_RF[[#This Row],[Fecha de inicio]]))),AND(tblAct_RF[[#This Row],[Fecha límite]]&lt;&gt;"",NOT(ISNUMBER(tblAct_RF[[#This Row],[Fecha límite]])))),"Fecha no válida"&amp;" · ","")&amp;IF(AND(ISNUMBER(tblAct_RF[[#This Row],[Fecha de inicio]]),ISNUMBER(tblAct_RF[[#This Row],[Fecha límite]]),tblAct_RF[[#This Row],[Fecha de inicio]]&gt;tblAct_RF[[#This Row],[Fecha límite]]),"Inicio posterior a fecha límite"&amp;" · ","")&amp;IF(tblAct_RF[[#This Row],[Peso de actividad (%)]]="","Peso vacío"&amp;" · ","")&amp;IF(AND(tblAct_RF[[#This Row],[Peso de actividad (%)]]&lt;&gt;"",OR(NOT(ISNUMBER(tblAct_RF[[#This Row],[Peso de actividad (%)]])),tblAct_RF[[#This Row],[Peso de actividad (%)]]&lt;=0,tblAct_RF[[#This Row],[Peso de actividad (%)]]&gt;1)),"Peso fuera de rango"&amp;" · ","")&amp;IF(ABS(SUM($F$5:$F$1000)-1)&gt;0.0001,"Pesos del puesto suman "&amp;TEXT(SUM($F$5:$F$1000),"0%")&amp;"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Row],[Fecha límite]]),tblAct_RF[[#This Row],[Fecha límite]]&lt;FechaRef,N(tblAct_RF[[#This Row],[% de Avance Total Actual]])&lt;1),"Vencida"&amp;" · ","")&amp;IF(AND(ObsObligatoria="Sí",ISNUMBER(tblAct_RF[[#This Row],[Fecha límite]]),tblAct_RF[[#This Row],[Fecha límite]]&lt;FechaRef,N(tblAct_RF[[#This Row],[% de Avance Total Actual]])&lt;1,tblAct_RF[[#This Row],[Observaciones]]=""),"Vencida sin observación"&amp;" · ",""))="","✔ OK","⚠ "&amp;LEFT(IF(tblAct_RF[[#This Row],[Macro Actividad]]="","Macroactividad vacía"&amp;" · ","")&amp;IF(tblAct_RF[[#This Row],[Responsable]]="","Sin responsable"&amp;" · ","")&amp;IF(tblAct_RF[[#This Row],[Fecha de inicio]]="","Sin fecha de inicio"&amp;" · ","")&amp;IF(tblAct_RF[[#This Row],[Fecha límite]]="","Sin fecha límite"&amp;" · ","")&amp;IF(OR(AND(tblAct_RF[[#This Row],[Fecha de inicio]]&lt;&gt;"",NOT(ISNUMBER(tblAct_RF[[#This Row],[Fecha de inicio]]))),AND(tblAct_RF[[#This Row],[Fecha límite]]&lt;&gt;"",NOT(ISNUMBER(tblAct_RF[[#This Row],[Fecha límite]])))),"Fecha no válida"&amp;" · ","")&amp;IF(AND(ISNUMBER(tblAct_RF[[#This Row],[Fecha de inicio]]),ISNUMBER(tblAct_RF[[#This Row],[Fecha límite]]),tblAct_RF[[#This Row],[Fecha de inicio]]&gt;tblAct_RF[[#This Row],[Fecha límite]]),"Inicio posterior a fecha límite"&amp;" · ","")&amp;IF(tblAct_RF[[#This Row],[Peso de actividad (%)]]="","Peso vacío"&amp;" · ","")&amp;IF(AND(tblAct_RF[[#This Row],[Peso de actividad (%)]]&lt;&gt;"",OR(NOT(ISNUMBER(tblAct_RF[[#This Row],[Peso de actividad (%)]])),tblAct_RF[[#This Row],[Peso de actividad (%)]]&lt;=0,tblAct_RF[[#This Row],[Peso de actividad (%)]]&gt;1)),"Peso fuera de rango"&amp;" · ","")&amp;IF(ABS(SUM($F$5:$F$1000)-1)&gt;0.0001,"Pesos del puesto suman "&amp;TEXT(SUM($F$5:$F$1000),"0%")&amp;"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Row],[Fecha límite]]),tblAct_RF[[#This Row],[Fecha límite]]&lt;FechaRef,N(tblAct_RF[[#This Row],[% de Avance Total Actual]])&lt;1),"Vencida"&amp;" · ","")&amp;IF(AND(ObsObligatoria="Sí",ISNUMBER(tblAct_RF[[#This Row],[Fecha límite]]),tblAct_RF[[#This Row],[Fecha límite]]&lt;FechaRef,N(tblAct_RF[[#This Row],[% de Avance Total Actual]])&lt;1,tblAct_RF[[#This Row],[Observaciones]]=""),"Vencida sin observación"&amp;" · ",""),LEN(IF(tblAct_RF[[#This Row],[Macro Actividad]]="","Macroactividad vacía"&amp;" · ","")&amp;IF(tblAct_RF[[#This Row],[Responsable]]="","Sin responsable"&amp;" · ","")&amp;IF(tblAct_RF[[#This Row],[Fecha de inicio]]="","Sin fecha de inicio"&amp;" · ","")&amp;IF(tblAct_RF[[#This Row],[Fecha límite]]="","Sin fecha límite"&amp;" · ","")&amp;IF(OR(AND(tblAct_RF[[#This Row],[Fecha de inicio]]&lt;&gt;"",NOT(ISNUMBER(tblAct_RF[[#This Row],[Fecha de inicio]]))),AND(tblAct_RF[[#This Row],[Fecha límite]]&lt;&gt;"",NOT(ISNUMBER(tblAct_RF[[#This Row],[Fecha límite]])))),"Fecha no válida"&amp;" · ","")&amp;IF(AND(ISNUMBER(tblAct_RF[[#This Row],[Fecha de inicio]]),ISNUMBER(tblAct_RF[[#This Row],[Fecha límite]]),tblAct_RF[[#This Row],[Fecha de inicio]]&gt;tblAct_RF[[#This Row],[Fecha límite]]),"Inicio posterior a fecha límite"&amp;" · ","")&amp;IF(tblAct_RF[[#This Row],[Peso de actividad (%)]]="","Peso vacío"&amp;" · ","")&amp;IF(AND(tblAct_RF[[#This Row],[Peso de actividad (%)]]&lt;&gt;"",OR(NOT(ISNUMBER(tblAct_RF[[#This Row],[Peso de actividad (%)]])),tblAct_RF[[#This Row],[Peso de actividad (%)]]&lt;=0,tblAct_RF[[#This Row],[Peso de actividad (%)]]&gt;1)),"Peso fuera de rango"&amp;" · ","")&amp;IF(ABS(SUM($F$5:$F$1000)-1)&gt;0.0001,"Pesos del puesto suman "&amp;TEXT(SUM($F$5:$F$1000),"0%")&amp;"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Row],[Fecha límite]]),tblAct_RF[[#This Row],[Fecha límite]]&lt;FechaRef,N(tblAct_RF[[#This Row],[% de Avance Total Actual]])&lt;1),"Vencida"&amp;" · ","")&amp;IF(AND(ObsObligatoria="Sí",ISNUMBER(tblAct_RF[[#This Row],[Fecha límite]]),tblAct_RF[[#This Row],[Fecha límite]]&lt;FechaRef,N(tblAct_RF[[#This Row],[% de Avance Total Actual]])&lt;1,tblAct_RF[[#This Row],[Observaciones]]=""),"Vencida sin observación"&amp;" · ",""))-3)))</calculatedColumnFormula>
    </tableColumn>
  </tableColumns>
  <tableStyleInfo name="TableStyleLight1" showRowStripes="0"/>
</table>
</file>

<file path=xl/tables/table6.xml><?xml version="1.0" encoding="utf-8"?>
<table xmlns="http://schemas.openxmlformats.org/spreadsheetml/2006/main" id="6" name="tblSem_RF" displayName="tblSem_RF" ref="A4:M104" headerRowCount="1">
  <autoFilter ref="A4:M104"/>
  <tableColumns count="13">
    <tableColumn id="1" name="N°"/>
    <tableColumn id="2" name="Macro Actividad"/>
    <tableColumn id="3" name="Responsable"/>
    <tableColumn id="4" name="Fecha de inicio"/>
    <tableColumn id="5" name="Fecha límite"/>
    <tableColumn id="6" name="Semana de entrega"/>
    <tableColumn id="7" name="Semana 1"/>
    <tableColumn id="8" name="Semana 2"/>
    <tableColumn id="9" name="Semana 3"/>
    <tableColumn id="10" name="Semana 4"/>
    <tableColumn id="11" name="% Avance actual"/>
    <tableColumn id="12" name="Estado"/>
    <tableColumn id="13" name="Observaciones"/>
  </tableColumns>
  <tableStyleInfo name="TableStyleLight1" showRowStripes="0"/>
</table>
</file>

<file path=xl/tables/table7.xml><?xml version="1.0" encoding="utf-8"?>
<table xmlns="http://schemas.openxmlformats.org/spreadsheetml/2006/main" id="7" name="tblAct_ATR" displayName="tblAct_ATR" ref="A4:N104" headerRowCount="1">
  <autoFilter ref="A4:N104"/>
  <tableColumns count="14">
    <tableColumn id="1" name="N°">
      <calculatedColumnFormula>IF(NOT((COUNTA(tblAct_ATR[[#This Row],[Macro Actividad]:[Avance Semana 4 (%)]])+COUNTA(tblAct_ATR[[#This Row],[Observaciones]]))&gt;0),"",COUNTIF(INDEX(tblAct_ATR[Estado],1):tblAct_ATR[[#This Row],[Estado]],"?*"))</calculatedColumnFormula>
    </tableColumn>
    <tableColumn id="2" name="Macro Actividad"/>
    <tableColumn id="3" name="Responsable"/>
    <tableColumn id="4" name="Fecha de inicio"/>
    <tableColumn id="5" name="Fecha límite"/>
    <tableColumn id="6" name="Peso de actividad (%)"/>
    <tableColumn id="7" name="Avance Semana 1 (%)"/>
    <tableColumn id="8" name="Avance Semana 2 (%)"/>
    <tableColumn id="9" name="Avance Semana 3 (%)"/>
    <tableColumn id="10" name="Avance Semana 4 (%)"/>
    <tableColumn id="11" name="% de Avance Total Actual">
      <calculatedColumnFormula>IF(NOT((COUNTA(tblAct_ATR[[#This Row],[Macro Actividad]:[Avance Semana 4 (%)]])+COUNTA(tblAct_ATR[[#This Row],[Observaciones]]))&gt;0),"",IFERROR(LOOKUP(2,1/(tblAct_ATR[[#This Row],[Avance Semana 1 (%)]:[Avance Semana 4 (%)]]&lt;&gt;""),tblAct_ATR[[#This Row],[Avance Semana 1 (%)]:[Avance Semana 4 (%)]]),0))</calculatedColumnFormula>
    </tableColumn>
    <tableColumn id="12" name="Estado">
      <calculatedColumnFormula>IF(tblAct_ATR[[#This Row],[% de Avance Total Actual]]="","",IF(tblAct_ATR[[#This Row],[% de Avance Total Actual]]&gt;=1,"Completado",IF(tblAct_ATR[[#This Row],[% de Avance Total Actual]]&gt;0,"En curso","Pendiente")))</calculatedColumnFormula>
    </tableColumn>
    <tableColumn id="13" name="Observaciones"/>
    <tableColumn id="14" name="Revisión automática (alertas)">
      <calculatedColumnFormula>IF(NOT((COUNTA(tblAct_ATR[[#This Row],[Macro Actividad]:[Avance Semana 4 (%)]])+COUNTA(tblAct_ATR[[#This Row],[Observaciones]]))&gt;0),"",IF((IF(tblAct_ATR[[#This Row],[Macro Actividad]]="","Macroactividad vacía"&amp;" · ","")&amp;IF(tblAct_ATR[[#This Row],[Responsable]]="","Sin responsable"&amp;" · ","")&amp;IF(tblAct_ATR[[#This Row],[Fecha de inicio]]="","Sin fecha de inicio"&amp;" · ","")&amp;IF(tblAct_ATR[[#This Row],[Fecha límite]]="","Sin fecha límite"&amp;" · ","")&amp;IF(OR(AND(tblAct_ATR[[#This Row],[Fecha de inicio]]&lt;&gt;"",NOT(ISNUMBER(tblAct_ATR[[#This Row],[Fecha de inicio]]))),AND(tblAct_ATR[[#This Row],[Fecha límite]]&lt;&gt;"",NOT(ISNUMBER(tblAct_ATR[[#This Row],[Fecha límite]])))),"Fecha no válida"&amp;" · ","")&amp;IF(AND(ISNUMBER(tblAct_ATR[[#This Row],[Fecha de inicio]]),ISNUMBER(tblAct_ATR[[#This Row],[Fecha límite]]),tblAct_ATR[[#This Row],[Fecha de inicio]]&gt;tblAct_ATR[[#This Row],[Fecha límite]]),"Inicio posterior a fecha límite"&amp;" · ","")&amp;IF(tblAct_ATR[[#This Row],[Peso de actividad (%)]]="","Peso vacío"&amp;" · ","")&amp;IF(AND(tblAct_ATR[[#This Row],[Peso de actividad (%)]]&lt;&gt;"",OR(NOT(ISNUMBER(tblAct_ATR[[#This Row],[Peso de actividad (%)]])),tblAct_ATR[[#This Row],[Peso de actividad (%)]]&lt;=0,tblAct_ATR[[#This Row],[Peso de actividad (%)]]&gt;1)),"Peso fuera de rango"&amp;" · ","")&amp;IF(ABS(SUM($F$5:$F$1000)-1)&gt;0.0001,"Pesos del puesto suman "&amp;TEXT(SUM($F$5:$F$1000),"0%")&amp;"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Row],[Fecha límite]]),tblAct_ATR[[#This Row],[Fecha límite]]&lt;FechaRef,N(tblAct_ATR[[#This Row],[% de Avance Total Actual]])&lt;1),"Vencida"&amp;" · ","")&amp;IF(AND(ObsObligatoria="Sí",ISNUMBER(tblAct_ATR[[#This Row],[Fecha límite]]),tblAct_ATR[[#This Row],[Fecha límite]]&lt;FechaRef,N(tblAct_ATR[[#This Row],[% de Avance Total Actual]])&lt;1,tblAct_ATR[[#This Row],[Observaciones]]=""),"Vencida sin observación"&amp;" · ",""))="","✔ OK","⚠ "&amp;LEFT(IF(tblAct_ATR[[#This Row],[Macro Actividad]]="","Macroactividad vacía"&amp;" · ","")&amp;IF(tblAct_ATR[[#This Row],[Responsable]]="","Sin responsable"&amp;" · ","")&amp;IF(tblAct_ATR[[#This Row],[Fecha de inicio]]="","Sin fecha de inicio"&amp;" · ","")&amp;IF(tblAct_ATR[[#This Row],[Fecha límite]]="","Sin fecha límite"&amp;" · ","")&amp;IF(OR(AND(tblAct_ATR[[#This Row],[Fecha de inicio]]&lt;&gt;"",NOT(ISNUMBER(tblAct_ATR[[#This Row],[Fecha de inicio]]))),AND(tblAct_ATR[[#This Row],[Fecha límite]]&lt;&gt;"",NOT(ISNUMBER(tblAct_ATR[[#This Row],[Fecha límite]])))),"Fecha no válida"&amp;" · ","")&amp;IF(AND(ISNUMBER(tblAct_ATR[[#This Row],[Fecha de inicio]]),ISNUMBER(tblAct_ATR[[#This Row],[Fecha límite]]),tblAct_ATR[[#This Row],[Fecha de inicio]]&gt;tblAct_ATR[[#This Row],[Fecha límite]]),"Inicio posterior a fecha límite"&amp;" · ","")&amp;IF(tblAct_ATR[[#This Row],[Peso de actividad (%)]]="","Peso vacío"&amp;" · ","")&amp;IF(AND(tblAct_ATR[[#This Row],[Peso de actividad (%)]]&lt;&gt;"",OR(NOT(ISNUMBER(tblAct_ATR[[#This Row],[Peso de actividad (%)]])),tblAct_ATR[[#This Row],[Peso de actividad (%)]]&lt;=0,tblAct_ATR[[#This Row],[Peso de actividad (%)]]&gt;1)),"Peso fuera de rango"&amp;" · ","")&amp;IF(ABS(SUM($F$5:$F$1000)-1)&gt;0.0001,"Pesos del puesto suman "&amp;TEXT(SUM($F$5:$F$1000),"0%")&amp;"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Row],[Fecha límite]]),tblAct_ATR[[#This Row],[Fecha límite]]&lt;FechaRef,N(tblAct_ATR[[#This Row],[% de Avance Total Actual]])&lt;1),"Vencida"&amp;" · ","")&amp;IF(AND(ObsObligatoria="Sí",ISNUMBER(tblAct_ATR[[#This Row],[Fecha límite]]),tblAct_ATR[[#This Row],[Fecha límite]]&lt;FechaRef,N(tblAct_ATR[[#This Row],[% de Avance Total Actual]])&lt;1,tblAct_ATR[[#This Row],[Observaciones]]=""),"Vencida sin observación"&amp;" · ",""),LEN(IF(tblAct_ATR[[#This Row],[Macro Actividad]]="","Macroactividad vacía"&amp;" · ","")&amp;IF(tblAct_ATR[[#This Row],[Responsable]]="","Sin responsable"&amp;" · ","")&amp;IF(tblAct_ATR[[#This Row],[Fecha de inicio]]="","Sin fecha de inicio"&amp;" · ","")&amp;IF(tblAct_ATR[[#This Row],[Fecha límite]]="","Sin fecha límite"&amp;" · ","")&amp;IF(OR(AND(tblAct_ATR[[#This Row],[Fecha de inicio]]&lt;&gt;"",NOT(ISNUMBER(tblAct_ATR[[#This Row],[Fecha de inicio]]))),AND(tblAct_ATR[[#This Row],[Fecha límite]]&lt;&gt;"",NOT(ISNUMBER(tblAct_ATR[[#This Row],[Fecha límite]])))),"Fecha no válida"&amp;" · ","")&amp;IF(AND(ISNUMBER(tblAct_ATR[[#This Row],[Fecha de inicio]]),ISNUMBER(tblAct_ATR[[#This Row],[Fecha límite]]),tblAct_ATR[[#This Row],[Fecha de inicio]]&gt;tblAct_ATR[[#This Row],[Fecha límite]]),"Inicio posterior a fecha límite"&amp;" · ","")&amp;IF(tblAct_ATR[[#This Row],[Peso de actividad (%)]]="","Peso vacío"&amp;" · ","")&amp;IF(AND(tblAct_ATR[[#This Row],[Peso de actividad (%)]]&lt;&gt;"",OR(NOT(ISNUMBER(tblAct_ATR[[#This Row],[Peso de actividad (%)]])),tblAct_ATR[[#This Row],[Peso de actividad (%)]]&lt;=0,tblAct_ATR[[#This Row],[Peso de actividad (%)]]&gt;1)),"Peso fuera de rango"&amp;" · ","")&amp;IF(ABS(SUM($F$5:$F$1000)-1)&gt;0.0001,"Pesos del puesto suman "&amp;TEXT(SUM($F$5:$F$1000),"0%")&amp;"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Row],[Fecha límite]]),tblAct_ATR[[#This Row],[Fecha límite]]&lt;FechaRef,N(tblAct_ATR[[#This Row],[% de Avance Total Actual]])&lt;1),"Vencida"&amp;" · ","")&amp;IF(AND(ObsObligatoria="Sí",ISNUMBER(tblAct_ATR[[#This Row],[Fecha límite]]),tblAct_ATR[[#This Row],[Fecha límite]]&lt;FechaRef,N(tblAct_ATR[[#This Row],[% de Avance Total Actual]])&lt;1,tblAct_ATR[[#This Row],[Observaciones]]=""),"Vencida sin observación"&amp;" · ",""))-3)))</calculatedColumnFormula>
    </tableColumn>
  </tableColumns>
  <tableStyleInfo name="TableStyleLight1" showRowStripes="0"/>
</table>
</file>

<file path=xl/tables/table8.xml><?xml version="1.0" encoding="utf-8"?>
<table xmlns="http://schemas.openxmlformats.org/spreadsheetml/2006/main" id="8" name="tblSem_ATR" displayName="tblSem_ATR" ref="A4:M104" headerRowCount="1">
  <autoFilter ref="A4:M104"/>
  <tableColumns count="13">
    <tableColumn id="1" name="N°"/>
    <tableColumn id="2" name="Macro Actividad"/>
    <tableColumn id="3" name="Responsable"/>
    <tableColumn id="4" name="Fecha de inicio"/>
    <tableColumn id="5" name="Fecha límite"/>
    <tableColumn id="6" name="Semana de entrega"/>
    <tableColumn id="7" name="Semana 1"/>
    <tableColumn id="8" name="Semana 2"/>
    <tableColumn id="9" name="Semana 3"/>
    <tableColumn id="10" name="Semana 4"/>
    <tableColumn id="11" name="% Avance actual"/>
    <tableColumn id="12" name="Estado"/>
    <tableColumn id="13" name="Observaciones"/>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ronograma R. Operacional'!A1" TargetMode="External" Id="rId1"/><Relationship Type="http://schemas.openxmlformats.org/officeDocument/2006/relationships/hyperlink" Target="#'Cronograma R. Normativo'!A1" TargetMode="External" Id="rId2"/><Relationship Type="http://schemas.openxmlformats.org/officeDocument/2006/relationships/hyperlink" Target="#'Cronograma R. Financiero'!A1" TargetMode="External" Id="rId3"/><Relationship Type="http://schemas.openxmlformats.org/officeDocument/2006/relationships/hyperlink" Target="#'Cronograma Asistente T&#233;cnico'!A1" TargetMode="External" Id="rId4"/><Relationship Type="http://schemas.openxmlformats.org/officeDocument/2006/relationships/hyperlink" Target="#'Actividades R. Operacional'!A1" TargetMode="External" Id="rId5"/><Relationship Type="http://schemas.openxmlformats.org/officeDocument/2006/relationships/hyperlink" Target="#'Actividades R. Normativo'!A1" TargetMode="External" Id="rId6"/><Relationship Type="http://schemas.openxmlformats.org/officeDocument/2006/relationships/hyperlink" Target="#'Actividades R. Financiero'!A1" TargetMode="External" Id="rId7"/><Relationship Type="http://schemas.openxmlformats.org/officeDocument/2006/relationships/hyperlink" Target="#'Actividades Asistente T&#233;cnico'!A1" TargetMode="External" Id="rId8"/><Relationship Type="http://schemas.openxmlformats.org/officeDocument/2006/relationships/drawing" Target="/xl/drawings/drawing1.xml" Id="rId9"/></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8.xml.rels><Relationships xmlns="http://schemas.openxmlformats.org/package/2006/relationships"><Relationship Type="http://schemas.openxmlformats.org/officeDocument/2006/relationships/table" Target="/xl/tables/table7.xml" Id="rId1"/></Relationships>
</file>

<file path=xl/worksheets/_rels/sheet9.xml.rels><Relationships xmlns="http://schemas.openxmlformats.org/package/2006/relationships"><Relationship Type="http://schemas.openxmlformats.org/officeDocument/2006/relationships/table" Target="/xl/tables/table8.xml" Id="rId1"/></Relationships>
</file>

<file path=xl/worksheets/sheet1.xml><?xml version="1.0" encoding="utf-8"?>
<worksheet xmlns="http://schemas.openxmlformats.org/spreadsheetml/2006/main">
  <sheetPr>
    <outlinePr summaryBelow="1" summaryRight="1"/>
    <pageSetUpPr fitToPage="1"/>
  </sheetPr>
  <dimension ref="B1:M73"/>
  <sheetViews>
    <sheetView showGridLines="0" zoomScale="90" workbookViewId="0">
      <pane ySplit="2" topLeftCell="A3" activePane="bottomLeft" state="frozen"/>
      <selection pane="bottomLeft" activeCell="A1" sqref="A1"/>
    </sheetView>
  </sheetViews>
  <sheetFormatPr baseColWidth="8" defaultRowHeight="15"/>
  <cols>
    <col width="2" customWidth="1" min="1" max="1"/>
    <col width="30" customWidth="1" min="2" max="2"/>
    <col width="15" customWidth="1" min="3" max="3"/>
    <col width="16" customWidth="1" min="4" max="4"/>
    <col width="13" customWidth="1" min="5" max="5"/>
    <col width="13" customWidth="1" min="6" max="6"/>
    <col width="13" customWidth="1" min="7" max="7"/>
    <col width="13" customWidth="1" min="8" max="8"/>
    <col width="13" customWidth="1" min="9" max="9"/>
    <col width="13" customWidth="1" min="10" max="10"/>
    <col width="22" customWidth="1" min="11" max="11"/>
    <col width="20" customWidth="1" min="12" max="12"/>
    <col width="24" customWidth="1" min="13" max="13"/>
    <col width="2" customWidth="1" min="14" max="14"/>
  </cols>
  <sheetData>
    <row r="1" ht="34" customHeight="1">
      <c r="B1" s="1" t="inlineStr">
        <is>
          <t>Dashboard Consolidado – Gestión de Riesgos · Ciclo mensual de 4 semanas</t>
        </is>
      </c>
      <c r="C1" s="1" t="n"/>
      <c r="D1" s="1" t="n"/>
      <c r="E1" s="1" t="n"/>
      <c r="F1" s="1" t="n"/>
      <c r="G1" s="1" t="n"/>
      <c r="H1" s="1" t="n"/>
      <c r="I1" s="1" t="n"/>
      <c r="J1" s="1" t="n"/>
      <c r="K1" s="1" t="n"/>
      <c r="L1" s="1" t="n"/>
      <c r="M1" s="1" t="n"/>
    </row>
    <row r="2" ht="22" customHeight="1">
      <c r="B2" s="2" t="inlineStr">
        <is>
          <t>Período:</t>
        </is>
      </c>
      <c r="C2" s="3">
        <f>MesCiclo</f>
        <v/>
      </c>
      <c r="D2" s="2" t="inlineStr">
        <is>
          <t>Semana actual:</t>
        </is>
      </c>
      <c r="E2" s="4">
        <f>SemanaActual</f>
        <v/>
      </c>
      <c r="F2" s="2" t="inlineStr">
        <is>
          <t>Fecha de corte:</t>
        </is>
      </c>
      <c r="G2" s="5">
        <f>FechaRef</f>
        <v/>
      </c>
      <c r="H2" s="6" t="inlineStr">
        <is>
          <t>Se actualiza solo con las hojas «Cronograma …» y «Actividades …» de cada puesto. El período y la semana se calculan con la fecha de hoy (ver Configuración).</t>
        </is>
      </c>
      <c r="I2" s="6" t="n"/>
      <c r="J2" s="6" t="n"/>
      <c r="K2" s="6" t="n"/>
      <c r="L2" s="6" t="n"/>
      <c r="M2" s="6" t="n"/>
    </row>
    <row r="4" ht="20" customHeight="1">
      <c r="B4" s="7" t="inlineStr">
        <is>
          <t>Avance general del proyecto</t>
        </is>
      </c>
      <c r="C4" s="7" t="n"/>
      <c r="D4" s="7" t="n"/>
      <c r="E4" s="7" t="inlineStr">
        <is>
          <t>Meta de cumplimiento</t>
        </is>
      </c>
      <c r="F4" s="7" t="n"/>
      <c r="G4" s="7" t="n"/>
      <c r="H4" s="7" t="inlineStr">
        <is>
          <t>Macroactividades registradas</t>
        </is>
      </c>
      <c r="I4" s="7" t="n"/>
      <c r="J4" s="7" t="n"/>
      <c r="K4" s="7" t="inlineStr">
        <is>
          <t>Actividades completadas</t>
        </is>
      </c>
      <c r="L4" s="7" t="n"/>
      <c r="M4" s="7" t="n"/>
    </row>
    <row r="5" ht="38" customHeight="1">
      <c r="B5" s="8">
        <f>IF('Calculos'!$E$8,'Calculos'!$F$8,"No definitivo")</f>
        <v/>
      </c>
      <c r="C5" s="9" t="n"/>
      <c r="D5" s="9" t="n"/>
      <c r="E5" s="8">
        <f>MetaFinal</f>
        <v/>
      </c>
      <c r="F5" s="9" t="n"/>
      <c r="G5" s="9" t="n"/>
      <c r="H5" s="10">
        <f>'Calculos'!$B$11</f>
        <v/>
      </c>
      <c r="I5" s="9" t="n"/>
      <c r="J5" s="9" t="n"/>
      <c r="K5" s="10">
        <f>'Calculos'!$N$8</f>
        <v/>
      </c>
      <c r="L5" s="9" t="n"/>
      <c r="M5" s="9" t="n"/>
    </row>
    <row r="6" ht="18" customHeight="1">
      <c r="B6" s="11">
        <f>IF('Calculos'!$E$8,"Promedio simple de los 4 puestos",IF('Calculos'!$C$8=0,"Ningún puesto con datos válidos","Provisional "&amp;TEXT('Calculos'!$D$8,"0%")&amp;" ("&amp;'Calculos'!$C$8&amp;" de 4 puestos válidos)"))</f>
        <v/>
      </c>
      <c r="C6" s="11" t="n"/>
      <c r="D6" s="11" t="n"/>
      <c r="E6" s="11" t="inlineStr">
        <is>
          <t>Al cierre de la Semana 4</t>
        </is>
      </c>
      <c r="F6" s="11" t="n"/>
      <c r="G6" s="11" t="n"/>
      <c r="H6" s="11" t="inlineStr">
        <is>
          <t>En los 4 cronogramas</t>
        </is>
      </c>
      <c r="I6" s="11" t="n"/>
      <c r="J6" s="11" t="n"/>
      <c r="K6" s="11">
        <f>IF('Calculos'!$B$11=0,"—",TEXT('Calculos'!$N$8/'Calculos'!$B$11,"0%")&amp;" del total")</f>
        <v/>
      </c>
      <c r="L6" s="11" t="n"/>
      <c r="M6" s="11" t="n"/>
    </row>
    <row r="7" ht="8" customHeight="1"/>
    <row r="8" ht="20" customHeight="1">
      <c r="B8" s="7" t="inlineStr">
        <is>
          <t>Actividades en curso</t>
        </is>
      </c>
      <c r="C8" s="7" t="n"/>
      <c r="D8" s="7" t="n"/>
      <c r="E8" s="7" t="inlineStr">
        <is>
          <t>Actividades pendientes</t>
        </is>
      </c>
      <c r="F8" s="7" t="n"/>
      <c r="G8" s="7" t="n"/>
      <c r="H8" s="7" t="inlineStr">
        <is>
          <t>Puestos que alcanzaron el 100%</t>
        </is>
      </c>
      <c r="I8" s="7" t="n"/>
      <c r="J8" s="7" t="n"/>
      <c r="K8" s="7" t="inlineStr">
        <is>
          <t>Actividades con alertas</t>
        </is>
      </c>
      <c r="L8" s="7" t="n"/>
      <c r="M8" s="7" t="n"/>
    </row>
    <row r="9" ht="38" customHeight="1">
      <c r="B9" s="10">
        <f>'Calculos'!$O$8</f>
        <v/>
      </c>
      <c r="C9" s="9" t="n"/>
      <c r="D9" s="9" t="n"/>
      <c r="E9" s="10">
        <f>'Calculos'!$P$8</f>
        <v/>
      </c>
      <c r="F9" s="9" t="n"/>
      <c r="G9" s="9" t="n"/>
      <c r="H9" s="12">
        <f>'Calculos'!$B$12</f>
        <v/>
      </c>
      <c r="I9" s="9" t="n"/>
      <c r="J9" s="9" t="n"/>
      <c r="K9" s="10">
        <f>'Calculos'!$R$8</f>
        <v/>
      </c>
      <c r="L9" s="9" t="n"/>
      <c r="M9" s="9" t="n"/>
    </row>
    <row r="10" ht="18" customHeight="1">
      <c r="B10" s="11" t="inlineStr">
        <is>
          <t>Avance &gt; 0% y &lt; 100%</t>
        </is>
      </c>
      <c r="C10" s="11" t="n"/>
      <c r="D10" s="11" t="n"/>
      <c r="E10" s="11">
        <f>"De todas las actividades, vencidas: "&amp;'Calculos'!$Q$8</f>
        <v/>
      </c>
      <c r="F10" s="11" t="n"/>
      <c r="G10" s="11" t="n"/>
      <c r="H10" s="11" t="inlineStr">
        <is>
          <t>Con ponderación válida</t>
        </is>
      </c>
      <c r="I10" s="11" t="n"/>
      <c r="J10" s="11" t="n"/>
      <c r="K10" s="11">
        <f>"Próximas a vencer: "&amp;'Calculos'!$B$13</f>
        <v/>
      </c>
      <c r="L10" s="11" t="n"/>
      <c r="M10" s="11" t="n"/>
    </row>
    <row r="12" ht="30" customHeight="1">
      <c r="B12" s="13">
        <f>IF('Calculos'!$E$8,"Avance general vs meta 100%","Avance PROVISIONAL vs meta")</f>
        <v/>
      </c>
      <c r="C12" s="14">
        <f>IF('Calculos'!$E$8,'Calculos'!$F$8,N('Calculos'!$D$8))</f>
        <v/>
      </c>
      <c r="D12" s="15" t="n"/>
      <c r="E12" s="15" t="n"/>
      <c r="F12" s="15" t="n"/>
      <c r="G12" s="16">
        <f>IF('Calculos'!$B$11=0,"⚠ No hay actividades registradas. Cada puesto registra sus actividades y pesos en su hoja «Cronograma …».",IF(NOT('Calculos'!$E$8),"⚠ Avance global NO definitivo: "&amp;(4-'Calculos'!$C$8)&amp;" puesto(s) sin actividades válidas o con pesos que no suman 100%.",IF('Calculos'!$M$8,"Proyecto: ¡Enhorabuena, completado anticipadamente!",IF('Calculos'!$L$8,"Proyecto completado: meta del 100% alcanzada.","Proyecto en ejecución – Semana "&amp;SemanaActual&amp;" de 4."))))</f>
        <v/>
      </c>
      <c r="H12" s="16" t="n"/>
      <c r="I12" s="16" t="n"/>
      <c r="J12" s="16" t="n"/>
      <c r="K12" s="16" t="n"/>
      <c r="L12" s="16" t="n"/>
      <c r="M12" s="16" t="n"/>
    </row>
    <row r="14" ht="24" customHeight="1">
      <c r="B14" s="17" t="inlineStr">
        <is>
          <t>Avance individual por puesto (ponderado por el peso de cada actividad)</t>
        </is>
      </c>
      <c r="C14" s="17" t="n"/>
      <c r="D14" s="17" t="n"/>
      <c r="E14" s="17" t="n"/>
      <c r="F14" s="17" t="n"/>
      <c r="G14" s="17" t="n"/>
      <c r="H14" s="17" t="n"/>
      <c r="I14" s="17" t="n"/>
      <c r="J14" s="17" t="n"/>
      <c r="K14" s="17" t="n"/>
      <c r="L14" s="17" t="n"/>
      <c r="M14" s="17" t="n"/>
    </row>
    <row r="15" ht="30" customHeight="1">
      <c r="B15" s="7" t="inlineStr">
        <is>
          <t>Puesto</t>
        </is>
      </c>
      <c r="C15" s="7" t="inlineStr">
        <is>
          <t>Avance ponderado</t>
        </is>
      </c>
      <c r="D15" s="7" t="inlineStr">
        <is>
          <t>Progreso</t>
        </is>
      </c>
      <c r="E15" s="7" t="inlineStr">
        <is>
          <t>Total actividades</t>
        </is>
      </c>
      <c r="F15" s="7" t="inlineStr">
        <is>
          <t>Completadas</t>
        </is>
      </c>
      <c r="G15" s="7" t="inlineStr">
        <is>
          <t>En curso</t>
        </is>
      </c>
      <c r="H15" s="7" t="inlineStr">
        <is>
          <t>Pendientes</t>
        </is>
      </c>
      <c r="I15" s="7" t="inlineStr">
        <is>
          <t>Vencidas</t>
        </is>
      </c>
      <c r="J15" s="7" t="inlineStr">
        <is>
          <t>Con alertas</t>
        </is>
      </c>
      <c r="K15" s="7" t="inlineStr">
        <is>
          <t>Estado general</t>
        </is>
      </c>
      <c r="L15" s="7" t="inlineStr">
        <is>
          <t>Mensaje de finalización</t>
        </is>
      </c>
      <c r="M15" s="18" t="n"/>
    </row>
    <row r="16" ht="28" customHeight="1">
      <c r="B16" s="19">
        <f>'Calculos'!A4</f>
        <v/>
      </c>
      <c r="C16" s="20">
        <f>IF('Calculos'!B4=0,"Sin actividades",IF(NOT('Calculos'!E4),"Revisar pesos",'Calculos'!F4))</f>
        <v/>
      </c>
      <c r="D16" s="21">
        <f>IF(ISNUMBER(C16),C16,0)</f>
        <v/>
      </c>
      <c r="E16" s="22">
        <f>'Calculos'!B4</f>
        <v/>
      </c>
      <c r="F16" s="22">
        <f>'Calculos'!N4</f>
        <v/>
      </c>
      <c r="G16" s="22">
        <f>'Calculos'!O4</f>
        <v/>
      </c>
      <c r="H16" s="22">
        <f>'Calculos'!P4</f>
        <v/>
      </c>
      <c r="I16" s="22">
        <f>'Calculos'!Q4</f>
        <v/>
      </c>
      <c r="J16" s="22">
        <f>'Calculos'!R4</f>
        <v/>
      </c>
      <c r="K16" s="22">
        <f>IF('Calculos'!B4=0,"Sin actividades",IF(NOT('Calculos'!E4),"Pesos suman "&amp;TEXT('Calculos'!C4,"0%")&amp;IF('Calculos'!D4&gt;0," / "&amp;'Calculos'!D4&amp;" vacío(s)",""),IF('Calculos'!L4,"Completado",IF('Calculos'!F4&gt;0,"En curso","Pendiente"))))</f>
        <v/>
      </c>
      <c r="L16" s="22">
        <f>IF('Calculos'!B4=0,"⚠ Registrar actividades",IF(NOT('Calculos'!E4),"⚠ Configurar ponderación al 100%",IF('Calculos'!M4,"¡Enhorabuena, completado anticipadamente!",IF('Calculos'!L4,"Completado","En ejecución"))))</f>
        <v/>
      </c>
      <c r="M16" s="22" t="n"/>
    </row>
    <row r="17" ht="28" customHeight="1">
      <c r="B17" s="23">
        <f>'Calculos'!A5</f>
        <v/>
      </c>
      <c r="C17" s="20">
        <f>IF('Calculos'!B5=0,"Sin actividades",IF(NOT('Calculos'!E5),"Revisar pesos",'Calculos'!F5))</f>
        <v/>
      </c>
      <c r="D17" s="21">
        <f>IF(ISNUMBER(C17),C17,0)</f>
        <v/>
      </c>
      <c r="E17" s="22">
        <f>'Calculos'!B5</f>
        <v/>
      </c>
      <c r="F17" s="22">
        <f>'Calculos'!N5</f>
        <v/>
      </c>
      <c r="G17" s="22">
        <f>'Calculos'!O5</f>
        <v/>
      </c>
      <c r="H17" s="22">
        <f>'Calculos'!P5</f>
        <v/>
      </c>
      <c r="I17" s="22">
        <f>'Calculos'!Q5</f>
        <v/>
      </c>
      <c r="J17" s="22">
        <f>'Calculos'!R5</f>
        <v/>
      </c>
      <c r="K17" s="22">
        <f>IF('Calculos'!B5=0,"Sin actividades",IF(NOT('Calculos'!E5),"Pesos suman "&amp;TEXT('Calculos'!C5,"0%")&amp;IF('Calculos'!D5&gt;0," / "&amp;'Calculos'!D5&amp;" vacío(s)",""),IF('Calculos'!L5,"Completado",IF('Calculos'!F5&gt;0,"En curso","Pendiente"))))</f>
        <v/>
      </c>
      <c r="L17" s="22">
        <f>IF('Calculos'!B5=0,"⚠ Registrar actividades",IF(NOT('Calculos'!E5),"⚠ Configurar ponderación al 100%",IF('Calculos'!M5,"¡Enhorabuena, completado anticipadamente!",IF('Calculos'!L5,"Completado","En ejecución"))))</f>
        <v/>
      </c>
      <c r="M17" s="22" t="n"/>
    </row>
    <row r="18" ht="28" customHeight="1">
      <c r="B18" s="24">
        <f>'Calculos'!A6</f>
        <v/>
      </c>
      <c r="C18" s="20">
        <f>IF('Calculos'!B6=0,"Sin actividades",IF(NOT('Calculos'!E6),"Revisar pesos",'Calculos'!F6))</f>
        <v/>
      </c>
      <c r="D18" s="21">
        <f>IF(ISNUMBER(C18),C18,0)</f>
        <v/>
      </c>
      <c r="E18" s="22">
        <f>'Calculos'!B6</f>
        <v/>
      </c>
      <c r="F18" s="22">
        <f>'Calculos'!N6</f>
        <v/>
      </c>
      <c r="G18" s="22">
        <f>'Calculos'!O6</f>
        <v/>
      </c>
      <c r="H18" s="22">
        <f>'Calculos'!P6</f>
        <v/>
      </c>
      <c r="I18" s="22">
        <f>'Calculos'!Q6</f>
        <v/>
      </c>
      <c r="J18" s="22">
        <f>'Calculos'!R6</f>
        <v/>
      </c>
      <c r="K18" s="22">
        <f>IF('Calculos'!B6=0,"Sin actividades",IF(NOT('Calculos'!E6),"Pesos suman "&amp;TEXT('Calculos'!C6,"0%")&amp;IF('Calculos'!D6&gt;0," / "&amp;'Calculos'!D6&amp;" vacío(s)",""),IF('Calculos'!L6,"Completado",IF('Calculos'!F6&gt;0,"En curso","Pendiente"))))</f>
        <v/>
      </c>
      <c r="L18" s="22">
        <f>IF('Calculos'!B6=0,"⚠ Registrar actividades",IF(NOT('Calculos'!E6),"⚠ Configurar ponderación al 100%",IF('Calculos'!M6,"¡Enhorabuena, completado anticipadamente!",IF('Calculos'!L6,"Completado","En ejecución"))))</f>
        <v/>
      </c>
      <c r="M18" s="22" t="n"/>
    </row>
    <row r="19" ht="28" customHeight="1">
      <c r="B19" s="25">
        <f>'Calculos'!A7</f>
        <v/>
      </c>
      <c r="C19" s="20">
        <f>IF('Calculos'!B7=0,"Sin actividades",IF(NOT('Calculos'!E7),"Revisar pesos",'Calculos'!F7))</f>
        <v/>
      </c>
      <c r="D19" s="21">
        <f>IF(ISNUMBER(C19),C19,0)</f>
        <v/>
      </c>
      <c r="E19" s="22">
        <f>'Calculos'!B7</f>
        <v/>
      </c>
      <c r="F19" s="22">
        <f>'Calculos'!N7</f>
        <v/>
      </c>
      <c r="G19" s="22">
        <f>'Calculos'!O7</f>
        <v/>
      </c>
      <c r="H19" s="22">
        <f>'Calculos'!P7</f>
        <v/>
      </c>
      <c r="I19" s="22">
        <f>'Calculos'!Q7</f>
        <v/>
      </c>
      <c r="J19" s="22">
        <f>'Calculos'!R7</f>
        <v/>
      </c>
      <c r="K19" s="22">
        <f>IF('Calculos'!B7=0,"Sin actividades",IF(NOT('Calculos'!E7),"Pesos suman "&amp;TEXT('Calculos'!C7,"0%")&amp;IF('Calculos'!D7&gt;0," / "&amp;'Calculos'!D7&amp;" vacío(s)",""),IF('Calculos'!L7,"Completado",IF('Calculos'!F7&gt;0,"En curso","Pendiente"))))</f>
        <v/>
      </c>
      <c r="L19" s="22">
        <f>IF('Calculos'!B7=0,"⚠ Registrar actividades",IF(NOT('Calculos'!E7),"⚠ Configurar ponderación al 100%",IF('Calculos'!M7,"¡Enhorabuena, completado anticipadamente!",IF('Calculos'!L7,"Completado","En ejecución"))))</f>
        <v/>
      </c>
      <c r="M19" s="22" t="n"/>
    </row>
    <row r="20" ht="28" customHeight="1">
      <c r="B20" s="26" t="inlineStr">
        <is>
          <t>Total proyecto</t>
        </is>
      </c>
      <c r="C20" s="27">
        <f>IF('Calculos'!$E$8,'Calculos'!$F$8,"No definitivo")</f>
        <v/>
      </c>
      <c r="D20" s="28">
        <f>IF(ISNUMBER(C20),C20,0)</f>
        <v/>
      </c>
      <c r="E20" s="29">
        <f>'Calculos'!B11</f>
        <v/>
      </c>
      <c r="F20" s="29">
        <f>'Calculos'!N8</f>
        <v/>
      </c>
      <c r="G20" s="29">
        <f>'Calculos'!O8</f>
        <v/>
      </c>
      <c r="H20" s="29">
        <f>'Calculos'!P8</f>
        <v/>
      </c>
      <c r="I20" s="29">
        <f>'Calculos'!Q8</f>
        <v/>
      </c>
      <c r="J20" s="29">
        <f>'Calculos'!R8</f>
        <v/>
      </c>
      <c r="K20" s="29">
        <f>IF('Calculos'!$E$8,"Promedio 4 puestos","No definitivo")</f>
        <v/>
      </c>
      <c r="L20" s="29">
        <f>IF(NOT('Calculos'!$E$8),"⚠ Completar configuración de todos los puestos",IF('Calculos'!$M$8,"¡Enhorabuena, completado anticipadamente!",IF('Calculos'!$L$8,"Completado","En ejecución")))</f>
        <v/>
      </c>
      <c r="M20" s="29" t="n"/>
    </row>
    <row r="22" ht="24" customHeight="1">
      <c r="B22" s="17" t="inlineStr">
        <is>
          <t>Seguimiento semanal: avance acumulado ponderado e incremento semanal</t>
        </is>
      </c>
      <c r="C22" s="17" t="n"/>
      <c r="D22" s="17" t="n"/>
      <c r="E22" s="17" t="n"/>
      <c r="F22" s="17" t="n"/>
      <c r="G22" s="17" t="n"/>
      <c r="H22" s="17" t="n"/>
      <c r="I22" s="17" t="n"/>
      <c r="J22" s="17" t="n"/>
      <c r="K22" s="17" t="n"/>
      <c r="L22" s="17" t="n"/>
      <c r="M22" s="17" t="n"/>
    </row>
    <row r="23">
      <c r="C23" s="30" t="inlineStr">
        <is>
          <t>Avance ACUMULADO ponderado al cierre de cada semana</t>
        </is>
      </c>
      <c r="D23" s="30" t="n"/>
      <c r="E23" s="30" t="n"/>
      <c r="F23" s="30" t="n"/>
      <c r="H23" s="30" t="inlineStr">
        <is>
          <t>INCREMENTO respecto a la semana anterior (puntos %)</t>
        </is>
      </c>
      <c r="I23" s="30" t="n"/>
      <c r="J23" s="30" t="n"/>
      <c r="K23" s="30" t="n"/>
      <c r="L23" s="30" t="inlineStr">
        <is>
          <t>Brecha vs meta 100%</t>
        </is>
      </c>
      <c r="M23" s="30" t="n"/>
    </row>
    <row r="24">
      <c r="B24" s="31" t="inlineStr">
        <is>
          <t>Puesto / Indicador</t>
        </is>
      </c>
      <c r="C24" s="31" t="inlineStr">
        <is>
          <t>Semana 1</t>
        </is>
      </c>
      <c r="D24" s="31" t="inlineStr">
        <is>
          <t>Semana 2</t>
        </is>
      </c>
      <c r="E24" s="31" t="inlineStr">
        <is>
          <t>Semana 3</t>
        </is>
      </c>
      <c r="F24" s="31" t="inlineStr">
        <is>
          <t>Semana 4</t>
        </is>
      </c>
      <c r="H24" s="31" t="inlineStr">
        <is>
          <t>Semana 1</t>
        </is>
      </c>
      <c r="I24" s="31" t="inlineStr">
        <is>
          <t>Semana 2</t>
        </is>
      </c>
      <c r="J24" s="31" t="inlineStr">
        <is>
          <t>Semana 3</t>
        </is>
      </c>
      <c r="K24" s="31" t="inlineStr">
        <is>
          <t>Semana 4</t>
        </is>
      </c>
      <c r="L24" s="31" t="inlineStr">
        <is>
          <t>Pendiente para la meta</t>
        </is>
      </c>
      <c r="M24" s="31" t="n"/>
    </row>
    <row r="25">
      <c r="B25" s="19">
        <f>'Calculos'!A4</f>
        <v/>
      </c>
      <c r="C25" s="20">
        <f>IF(NOT('Calculos'!G$10),"",IF('Calculos'!$E4,'Calculos'!G4,"–"))</f>
        <v/>
      </c>
      <c r="D25" s="20">
        <f>IF(NOT('Calculos'!H$10),"",IF('Calculos'!$E4,'Calculos'!H4,"–"))</f>
        <v/>
      </c>
      <c r="E25" s="20">
        <f>IF(NOT('Calculos'!I$10),"",IF('Calculos'!$E4,'Calculos'!I4,"–"))</f>
        <v/>
      </c>
      <c r="F25" s="20">
        <f>IF(NOT('Calculos'!J$10),"",IF('Calculos'!$E4,'Calculos'!J4,"–"))</f>
        <v/>
      </c>
      <c r="H25" s="32">
        <f>IF(ISNUMBER(C25),C25,"")</f>
        <v/>
      </c>
      <c r="I25" s="32">
        <f>IF(AND(ISNUMBER(D25),ISNUMBER(C25)),D25-C25,"")</f>
        <v/>
      </c>
      <c r="J25" s="32">
        <f>IF(AND(ISNUMBER(E25),ISNUMBER(D25)),E25-D25,"")</f>
        <v/>
      </c>
      <c r="K25" s="32">
        <f>IF(AND(ISNUMBER(F25),ISNUMBER(E25)),F25-E25,"")</f>
        <v/>
      </c>
      <c r="L25" s="20">
        <f>IFERROR(MetaFinal-LOOKUP(2,1/ISNUMBER(C25:F25),C25:F25),"")</f>
        <v/>
      </c>
      <c r="M25" s="22" t="n"/>
    </row>
    <row r="26">
      <c r="B26" s="23">
        <f>'Calculos'!A5</f>
        <v/>
      </c>
      <c r="C26" s="20">
        <f>IF(NOT('Calculos'!G$10),"",IF('Calculos'!$E5,'Calculos'!G5,"–"))</f>
        <v/>
      </c>
      <c r="D26" s="20">
        <f>IF(NOT('Calculos'!H$10),"",IF('Calculos'!$E5,'Calculos'!H5,"–"))</f>
        <v/>
      </c>
      <c r="E26" s="20">
        <f>IF(NOT('Calculos'!I$10),"",IF('Calculos'!$E5,'Calculos'!I5,"–"))</f>
        <v/>
      </c>
      <c r="F26" s="20">
        <f>IF(NOT('Calculos'!J$10),"",IF('Calculos'!$E5,'Calculos'!J5,"–"))</f>
        <v/>
      </c>
      <c r="H26" s="32">
        <f>IF(ISNUMBER(C26),C26,"")</f>
        <v/>
      </c>
      <c r="I26" s="32">
        <f>IF(AND(ISNUMBER(D26),ISNUMBER(C26)),D26-C26,"")</f>
        <v/>
      </c>
      <c r="J26" s="32">
        <f>IF(AND(ISNUMBER(E26),ISNUMBER(D26)),E26-D26,"")</f>
        <v/>
      </c>
      <c r="K26" s="32">
        <f>IF(AND(ISNUMBER(F26),ISNUMBER(E26)),F26-E26,"")</f>
        <v/>
      </c>
      <c r="L26" s="20">
        <f>IFERROR(MetaFinal-LOOKUP(2,1/ISNUMBER(C26:F26),C26:F26),"")</f>
        <v/>
      </c>
      <c r="M26" s="22" t="n"/>
    </row>
    <row r="27">
      <c r="B27" s="24">
        <f>'Calculos'!A6</f>
        <v/>
      </c>
      <c r="C27" s="20">
        <f>IF(NOT('Calculos'!G$10),"",IF('Calculos'!$E6,'Calculos'!G6,"–"))</f>
        <v/>
      </c>
      <c r="D27" s="20">
        <f>IF(NOT('Calculos'!H$10),"",IF('Calculos'!$E6,'Calculos'!H6,"–"))</f>
        <v/>
      </c>
      <c r="E27" s="20">
        <f>IF(NOT('Calculos'!I$10),"",IF('Calculos'!$E6,'Calculos'!I6,"–"))</f>
        <v/>
      </c>
      <c r="F27" s="20">
        <f>IF(NOT('Calculos'!J$10),"",IF('Calculos'!$E6,'Calculos'!J6,"–"))</f>
        <v/>
      </c>
      <c r="H27" s="32">
        <f>IF(ISNUMBER(C27),C27,"")</f>
        <v/>
      </c>
      <c r="I27" s="32">
        <f>IF(AND(ISNUMBER(D27),ISNUMBER(C27)),D27-C27,"")</f>
        <v/>
      </c>
      <c r="J27" s="32">
        <f>IF(AND(ISNUMBER(E27),ISNUMBER(D27)),E27-D27,"")</f>
        <v/>
      </c>
      <c r="K27" s="32">
        <f>IF(AND(ISNUMBER(F27),ISNUMBER(E27)),F27-E27,"")</f>
        <v/>
      </c>
      <c r="L27" s="20">
        <f>IFERROR(MetaFinal-LOOKUP(2,1/ISNUMBER(C27:F27),C27:F27),"")</f>
        <v/>
      </c>
      <c r="M27" s="22" t="n"/>
    </row>
    <row r="28">
      <c r="B28" s="25">
        <f>'Calculos'!A7</f>
        <v/>
      </c>
      <c r="C28" s="20">
        <f>IF(NOT('Calculos'!G$10),"",IF('Calculos'!$E7,'Calculos'!G7,"–"))</f>
        <v/>
      </c>
      <c r="D28" s="20">
        <f>IF(NOT('Calculos'!H$10),"",IF('Calculos'!$E7,'Calculos'!H7,"–"))</f>
        <v/>
      </c>
      <c r="E28" s="20">
        <f>IF(NOT('Calculos'!I$10),"",IF('Calculos'!$E7,'Calculos'!I7,"–"))</f>
        <v/>
      </c>
      <c r="F28" s="20">
        <f>IF(NOT('Calculos'!J$10),"",IF('Calculos'!$E7,'Calculos'!J7,"–"))</f>
        <v/>
      </c>
      <c r="H28" s="32">
        <f>IF(ISNUMBER(C28),C28,"")</f>
        <v/>
      </c>
      <c r="I28" s="32">
        <f>IF(AND(ISNUMBER(D28),ISNUMBER(C28)),D28-C28,"")</f>
        <v/>
      </c>
      <c r="J28" s="32">
        <f>IF(AND(ISNUMBER(E28),ISNUMBER(D28)),E28-D28,"")</f>
        <v/>
      </c>
      <c r="K28" s="32">
        <f>IF(AND(ISNUMBER(F28),ISNUMBER(E28)),F28-E28,"")</f>
        <v/>
      </c>
      <c r="L28" s="20">
        <f>IFERROR(MetaFinal-LOOKUP(2,1/ISNUMBER(C28:F28),C28:F28),"")</f>
        <v/>
      </c>
      <c r="M28" s="22" t="n"/>
    </row>
    <row r="29">
      <c r="B29" s="26" t="inlineStr">
        <is>
          <t>Avance general del proyecto</t>
        </is>
      </c>
      <c r="C29" s="27">
        <f>IF(NOT('Calculos'!G$10),"",IF('Calculos'!$E$8,'Calculos'!G8,"n/d"))</f>
        <v/>
      </c>
      <c r="D29" s="27">
        <f>IF(NOT('Calculos'!H$10),"",IF('Calculos'!$E$8,'Calculos'!H8,"n/d"))</f>
        <v/>
      </c>
      <c r="E29" s="27">
        <f>IF(NOT('Calculos'!I$10),"",IF('Calculos'!$E$8,'Calculos'!I8,"n/d"))</f>
        <v/>
      </c>
      <c r="F29" s="27">
        <f>IF(NOT('Calculos'!J$10),"",IF('Calculos'!$E$8,'Calculos'!J8,"n/d"))</f>
        <v/>
      </c>
      <c r="H29" s="33">
        <f>IF(ISNUMBER(C29),C29,"")</f>
        <v/>
      </c>
      <c r="I29" s="33">
        <f>IF(AND(ISNUMBER(D29),ISNUMBER(C29)),D29-C29,"")</f>
        <v/>
      </c>
      <c r="J29" s="33">
        <f>IF(AND(ISNUMBER(E29),ISNUMBER(D29)),E29-D29,"")</f>
        <v/>
      </c>
      <c r="K29" s="33">
        <f>IF(AND(ISNUMBER(F29),ISNUMBER(E29)),F29-E29,"")</f>
        <v/>
      </c>
      <c r="L29" s="27">
        <f>IFERROR(MetaFinal-LOOKUP(2,1/ISNUMBER(C29:F29),C29:F29),"")</f>
        <v/>
      </c>
      <c r="M29" s="29" t="n"/>
    </row>
    <row r="30">
      <c r="B30" s="34" t="inlineStr">
        <is>
          <t>Plan de referencia (supuesto)</t>
        </is>
      </c>
      <c r="C30" s="35">
        <f>INDEX(PlanRef,1)</f>
        <v/>
      </c>
      <c r="D30" s="35">
        <f>INDEX(PlanRef,2)</f>
        <v/>
      </c>
      <c r="E30" s="35">
        <f>INDEX(PlanRef,3)</f>
        <v/>
      </c>
      <c r="F30" s="35">
        <f>INDEX(PlanRef,4)</f>
        <v/>
      </c>
      <c r="H30" s="36" t="n"/>
      <c r="I30" s="36" t="n"/>
      <c r="J30" s="36" t="n"/>
      <c r="K30" s="36" t="n"/>
      <c r="L30" s="37" t="n"/>
      <c r="M30" s="37" t="n"/>
    </row>
    <row r="31">
      <c r="B31" s="38" t="inlineStr">
        <is>
          <t>Meta final</t>
        </is>
      </c>
      <c r="C31" s="39">
        <f>MetaFinal</f>
        <v/>
      </c>
      <c r="D31" s="39">
        <f>MetaFinal</f>
        <v/>
      </c>
      <c r="E31" s="39">
        <f>MetaFinal</f>
        <v/>
      </c>
      <c r="F31" s="39">
        <f>MetaFinal</f>
        <v/>
      </c>
      <c r="H31" s="36" t="n"/>
      <c r="I31" s="36" t="n"/>
      <c r="J31" s="36" t="n"/>
      <c r="K31" s="36" t="n"/>
      <c r="L31" s="37" t="n"/>
      <c r="M31" s="37" t="n"/>
    </row>
    <row r="33" ht="26" customHeight="1">
      <c r="B33" s="40" t="inlineStr">
        <is>
          <t>Lectura: el acumulado NO se suma entre semanas; el incremento es la diferencia entre semanas consecutivas. «–» = puesto sin configuración válida; «n/d» = avance global no definitivo; celda vacía = semana aún no alcanzada. Ámbar = acumulado por debajo del plan de referencia.</t>
        </is>
      </c>
      <c r="C33" s="40" t="n"/>
      <c r="D33" s="40" t="n"/>
      <c r="E33" s="40" t="n"/>
      <c r="F33" s="40" t="n"/>
      <c r="G33" s="40" t="n"/>
      <c r="H33" s="40" t="n"/>
      <c r="I33" s="40" t="n"/>
      <c r="J33" s="40" t="n"/>
      <c r="K33" s="40" t="n"/>
      <c r="L33" s="40" t="n"/>
      <c r="M33" s="40" t="n"/>
    </row>
    <row r="51" ht="24" customHeight="1">
      <c r="B51" s="17" t="inlineStr">
        <is>
          <t>Control de calidad de datos</t>
        </is>
      </c>
      <c r="C51" s="17" t="n"/>
      <c r="D51" s="17" t="n"/>
      <c r="E51" s="17" t="n"/>
      <c r="F51" s="17" t="n"/>
      <c r="G51" s="17" t="n"/>
      <c r="H51" s="17" t="n"/>
      <c r="I51" s="17" t="n"/>
      <c r="J51" s="17" t="n"/>
      <c r="K51" s="17" t="n"/>
      <c r="L51" s="17" t="n"/>
      <c r="M51" s="17" t="n"/>
    </row>
    <row r="52">
      <c r="B52" s="7" t="inlineStr">
        <is>
          <t>Verificación</t>
        </is>
      </c>
      <c r="C52" s="7" t="n"/>
      <c r="D52" s="7" t="n"/>
      <c r="E52" s="7" t="n"/>
      <c r="F52" s="7" t="n"/>
      <c r="G52" s="7" t="inlineStr">
        <is>
          <t>Casos</t>
        </is>
      </c>
      <c r="H52" s="7" t="inlineStr">
        <is>
          <t>Resultado</t>
        </is>
      </c>
      <c r="I52" s="7" t="inlineStr">
        <is>
          <t>Acción sugerida</t>
        </is>
      </c>
      <c r="J52" s="7" t="n"/>
      <c r="K52" s="7" t="n"/>
      <c r="L52" s="7" t="n"/>
      <c r="M52" s="7" t="n"/>
    </row>
    <row r="53" ht="20" customHeight="1">
      <c r="B53" s="41" t="inlineStr">
        <is>
          <t>Puestos sin actividades registradas</t>
        </is>
      </c>
      <c r="C53" s="41" t="n"/>
      <c r="D53" s="41" t="n"/>
      <c r="E53" s="41" t="n"/>
      <c r="F53" s="41" t="n"/>
      <c r="G53" s="42">
        <f>COUNTIF('Calculos'!B4:B7,0)</f>
        <v/>
      </c>
      <c r="H53" s="43">
        <f>IF(G53=0,"✔ OK",IF("crit"="warn","● Atención","⚠ Revisar"))</f>
        <v/>
      </c>
      <c r="I53" s="44" t="inlineStr">
        <is>
          <t>Registrar al menos una macroactividad por puesto.</t>
        </is>
      </c>
      <c r="J53" s="44" t="n"/>
      <c r="K53" s="44" t="n"/>
      <c r="L53" s="44" t="n"/>
      <c r="M53" s="44" t="n"/>
    </row>
    <row r="54" ht="20" customHeight="1">
      <c r="B54" s="41" t="inlineStr">
        <is>
          <t>Puestos cuya ponderación no suma 100% (o con pesos vacíos)</t>
        </is>
      </c>
      <c r="C54" s="41" t="n"/>
      <c r="D54" s="41" t="n"/>
      <c r="E54" s="41" t="n"/>
      <c r="F54" s="41" t="n"/>
      <c r="G54" s="42">
        <f>COUNTIFS('Calculos'!B4:B7,"&gt;0",'Calculos'!E4:E7,FALSE)</f>
        <v/>
      </c>
      <c r="H54" s="43">
        <f>IF(G54=0,"✔ OK",IF("crit"="warn","● Atención","⚠ Revisar"))</f>
        <v/>
      </c>
      <c r="I54" s="44" t="inlineStr">
        <is>
          <t>Ajustar los pesos del puesto hasta sumar 100%.</t>
        </is>
      </c>
      <c r="J54" s="44" t="n"/>
      <c r="K54" s="44" t="n"/>
      <c r="L54" s="44" t="n"/>
      <c r="M54" s="44" t="n"/>
    </row>
    <row r="55" ht="20" customHeight="1">
      <c r="B55" s="41" t="inlineStr">
        <is>
          <t>Actividades con peso vacío o fuera de rango</t>
        </is>
      </c>
      <c r="C55" s="41" t="n"/>
      <c r="D55" s="41" t="n"/>
      <c r="E55" s="41" t="n"/>
      <c r="F55" s="41" t="n"/>
      <c r="G55" s="42">
        <f>SUMPRODUCT(--((ISNUMBER(SEARCH("Peso vacío",rValid_RO))+ISNUMBER(SEARCH("Peso fuera de rango",rValid_RO)))&gt;0))+SUMPRODUCT(--((ISNUMBER(SEARCH("Peso vacío",rValid_RN))+ISNUMBER(SEARCH("Peso fuera de rango",rValid_RN)))&gt;0))+SUMPRODUCT(--((ISNUMBER(SEARCH("Peso vacío",rValid_RF))+ISNUMBER(SEARCH("Peso fuera de rango",rValid_RF)))&gt;0))+SUMPRODUCT(--((ISNUMBER(SEARCH("Peso vacío",rValid_ATR))+ISNUMBER(SEARCH("Peso fuera de rango",rValid_ATR)))&gt;0))</f>
        <v/>
      </c>
      <c r="H55" s="43">
        <f>IF(G55=0,"✔ OK",IF("crit"="warn","● Atención","⚠ Revisar"))</f>
        <v/>
      </c>
      <c r="I55" s="44" t="inlineStr">
        <is>
          <t>Ingresar un peso entre 0% y 100% (mayor que 0).</t>
        </is>
      </c>
      <c r="J55" s="44" t="n"/>
      <c r="K55" s="44" t="n"/>
      <c r="L55" s="44" t="n"/>
      <c r="M55" s="44" t="n"/>
    </row>
    <row r="56" ht="20" customHeight="1">
      <c r="B56" s="41" t="inlineStr">
        <is>
          <t>Actividades sin responsable</t>
        </is>
      </c>
      <c r="C56" s="41" t="n"/>
      <c r="D56" s="41" t="n"/>
      <c r="E56" s="41" t="n"/>
      <c r="F56" s="41" t="n"/>
      <c r="G56" s="42">
        <f>SUMPRODUCT(--((ISNUMBER(SEARCH("Sin responsable",rValid_RO)))&gt;0))+SUMPRODUCT(--((ISNUMBER(SEARCH("Sin responsable",rValid_RN)))&gt;0))+SUMPRODUCT(--((ISNUMBER(SEARCH("Sin responsable",rValid_RF)))&gt;0))+SUMPRODUCT(--((ISNUMBER(SEARCH("Sin responsable",rValid_ATR)))&gt;0))</f>
        <v/>
      </c>
      <c r="H56" s="43">
        <f>IF(G56=0,"✔ OK",IF("crit"="warn","● Atención","⚠ Revisar"))</f>
        <v/>
      </c>
      <c r="I56" s="44" t="inlineStr">
        <is>
          <t>Asignar responsable.</t>
        </is>
      </c>
      <c r="J56" s="44" t="n"/>
      <c r="K56" s="44" t="n"/>
      <c r="L56" s="44" t="n"/>
      <c r="M56" s="44" t="n"/>
    </row>
    <row r="57" ht="20" customHeight="1">
      <c r="B57" s="41" t="inlineStr">
        <is>
          <t>Actividades sin fecha límite</t>
        </is>
      </c>
      <c r="C57" s="41" t="n"/>
      <c r="D57" s="41" t="n"/>
      <c r="E57" s="41" t="n"/>
      <c r="F57" s="41" t="n"/>
      <c r="G57" s="42">
        <f>SUMPRODUCT(--((ISNUMBER(SEARCH("Sin fecha límite",rValid_RO)))&gt;0))+SUMPRODUCT(--((ISNUMBER(SEARCH("Sin fecha límite",rValid_RN)))&gt;0))+SUMPRODUCT(--((ISNUMBER(SEARCH("Sin fecha límite",rValid_RF)))&gt;0))+SUMPRODUCT(--((ISNUMBER(SEARCH("Sin fecha límite",rValid_ATR)))&gt;0))</f>
        <v/>
      </c>
      <c r="H57" s="43">
        <f>IF(G57=0,"✔ OK",IF("crit"="warn","● Atención","⚠ Revisar"))</f>
        <v/>
      </c>
      <c r="I57" s="44" t="inlineStr">
        <is>
          <t>Registrar la fecha límite.</t>
        </is>
      </c>
      <c r="J57" s="44" t="n"/>
      <c r="K57" s="44" t="n"/>
      <c r="L57" s="44" t="n"/>
      <c r="M57" s="44" t="n"/>
    </row>
    <row r="58" ht="20" customHeight="1">
      <c r="B58" s="41" t="inlineStr">
        <is>
          <t>Fechas incoherentes o no válidas (incluye sin fecha de inicio)</t>
        </is>
      </c>
      <c r="C58" s="41" t="n"/>
      <c r="D58" s="41" t="n"/>
      <c r="E58" s="41" t="n"/>
      <c r="F58" s="41" t="n"/>
      <c r="G58" s="42">
        <f>SUMPRODUCT(--((ISNUMBER(SEARCH("Inicio posterior",rValid_RO))+ISNUMBER(SEARCH("Fecha no válida",rValid_RO))+ISNUMBER(SEARCH("Sin fecha de inicio",rValid_RO)))&gt;0))+SUMPRODUCT(--((ISNUMBER(SEARCH("Inicio posterior",rValid_RN))+ISNUMBER(SEARCH("Fecha no válida",rValid_RN))+ISNUMBER(SEARCH("Sin fecha de inicio",rValid_RN)))&gt;0))+SUMPRODUCT(--((ISNUMBER(SEARCH("Inicio posterior",rValid_RF))+ISNUMBER(SEARCH("Fecha no válida",rValid_RF))+ISNUMBER(SEARCH("Sin fecha de inicio",rValid_RF)))&gt;0))+SUMPRODUCT(--((ISNUMBER(SEARCH("Inicio posterior",rValid_ATR))+ISNUMBER(SEARCH("Fecha no válida",rValid_ATR))+ISNUMBER(SEARCH("Sin fecha de inicio",rValid_ATR)))&gt;0))</f>
        <v/>
      </c>
      <c r="H58" s="43">
        <f>IF(G58=0,"✔ OK",IF("crit"="warn","● Atención","⚠ Revisar"))</f>
        <v/>
      </c>
      <c r="I58" s="44" t="inlineStr">
        <is>
          <t>La fecha de inicio debe ser anterior o igual a la fecha límite.</t>
        </is>
      </c>
      <c r="J58" s="44" t="n"/>
      <c r="K58" s="44" t="n"/>
      <c r="L58" s="44" t="n"/>
      <c r="M58" s="44" t="n"/>
    </row>
    <row r="59" ht="20" customHeight="1">
      <c r="B59" s="41" t="inlineStr">
        <is>
          <t>Porcentajes de avance &gt; 100%, &lt; 0% o no numéricos</t>
        </is>
      </c>
      <c r="C59" s="41" t="n"/>
      <c r="D59" s="41" t="n"/>
      <c r="E59" s="41" t="n"/>
      <c r="F59" s="41" t="n"/>
      <c r="G59" s="42">
        <f>SUMPRODUCT(--((ISNUMBER(SEARCH("Avance fuera de rango",rValid_RO)))&gt;0))+SUMPRODUCT(--((ISNUMBER(SEARCH("Avance fuera de rango",rValid_RN)))&gt;0))+SUMPRODUCT(--((ISNUMBER(SEARCH("Avance fuera de rango",rValid_RF)))&gt;0))+SUMPRODUCT(--((ISNUMBER(SEARCH("Avance fuera de rango",rValid_ATR)))&gt;0))</f>
        <v/>
      </c>
      <c r="H59" s="43">
        <f>IF(G59=0,"✔ OK",IF("crit"="warn","● Atención","⚠ Revisar"))</f>
        <v/>
      </c>
      <c r="I59" s="44" t="inlineStr">
        <is>
          <t>Corregir: los avances deben estar entre 0% y 100%.</t>
        </is>
      </c>
      <c r="J59" s="44" t="n"/>
      <c r="K59" s="44" t="n"/>
      <c r="L59" s="44" t="n"/>
      <c r="M59" s="44" t="n"/>
    </row>
    <row r="60" ht="20" customHeight="1">
      <c r="B60" s="41" t="inlineStr">
        <is>
          <t>Avance semanal menor que el de una semana anterior</t>
        </is>
      </c>
      <c r="C60" s="41" t="n"/>
      <c r="D60" s="41" t="n"/>
      <c r="E60" s="41" t="n"/>
      <c r="F60" s="41" t="n"/>
      <c r="G60" s="42">
        <f>SUMPRODUCT(--((ISNUMBER(SEARCH("decreciente",rValid_RO)))&gt;0))+SUMPRODUCT(--((ISNUMBER(SEARCH("decreciente",rValid_RN)))&gt;0))+SUMPRODUCT(--((ISNUMBER(SEARCH("decreciente",rValid_RF)))&gt;0))+SUMPRODUCT(--((ISNUMBER(SEARCH("decreciente",rValid_ATR)))&gt;0))</f>
        <v/>
      </c>
      <c r="H60" s="43">
        <f>IF(G60=0,"✔ OK",IF("crit"="warn","● Atención","⚠ Revisar"))</f>
        <v/>
      </c>
      <c r="I60" s="44" t="inlineStr">
        <is>
          <t>Revisar: el avance es acumulado y no debería disminuir.</t>
        </is>
      </c>
      <c r="J60" s="44" t="n"/>
      <c r="K60" s="44" t="n"/>
      <c r="L60" s="44" t="n"/>
      <c r="M60" s="44" t="n"/>
    </row>
    <row r="61" ht="20" customHeight="1">
      <c r="B61" s="41" t="inlineStr">
        <is>
          <t>Actividades vencidas no completadas</t>
        </is>
      </c>
      <c r="C61" s="41" t="n"/>
      <c r="D61" s="41" t="n"/>
      <c r="E61" s="41" t="n"/>
      <c r="F61" s="41" t="n"/>
      <c r="G61" s="42">
        <f>'Calculos'!Q8</f>
        <v/>
      </c>
      <c r="H61" s="43">
        <f>IF(G61=0,"✔ OK",IF("crit"="warn","● Atención","⚠ Revisar"))</f>
        <v/>
      </c>
      <c r="I61" s="44" t="inlineStr">
        <is>
          <t>Actualizar avance o reprogramar con justificación en Observaciones.</t>
        </is>
      </c>
      <c r="J61" s="44" t="n"/>
      <c r="K61" s="44" t="n"/>
      <c r="L61" s="44" t="n"/>
      <c r="M61" s="44" t="n"/>
    </row>
    <row r="62" ht="20" customHeight="1">
      <c r="B62" s="41" t="inlineStr">
        <is>
          <t>Actividades próximas a vencer (no completadas)</t>
        </is>
      </c>
      <c r="C62" s="41" t="n"/>
      <c r="D62" s="41" t="n"/>
      <c r="E62" s="41" t="n"/>
      <c r="F62" s="41" t="n"/>
      <c r="G62" s="42">
        <f>'Calculos'!B13</f>
        <v/>
      </c>
      <c r="H62" s="43">
        <f>IF(G62=0,"✔ OK",IF("warn"="warn","● Atención","⚠ Revisar"))</f>
        <v/>
      </c>
      <c r="I62" s="44" t="inlineStr">
        <is>
          <t>Alerta preventiva: priorizar seguimiento.</t>
        </is>
      </c>
      <c r="J62" s="44" t="n"/>
      <c r="K62" s="44" t="n"/>
      <c r="L62" s="44" t="n"/>
      <c r="M62" s="44" t="n"/>
    </row>
    <row r="63" ht="20" customHeight="1">
      <c r="B63" s="41" t="inlineStr">
        <is>
          <t>Filas con datos pero sin nombre de macroactividad</t>
        </is>
      </c>
      <c r="C63" s="41" t="n"/>
      <c r="D63" s="41" t="n"/>
      <c r="E63" s="41" t="n"/>
      <c r="F63" s="41" t="n"/>
      <c r="G63" s="42">
        <f>SUMPRODUCT(--((ISNUMBER(SEARCH("Macroactividad vacía",rValid_RO)))&gt;0))+SUMPRODUCT(--((ISNUMBER(SEARCH("Macroactividad vacía",rValid_RN)))&gt;0))+SUMPRODUCT(--((ISNUMBER(SEARCH("Macroactividad vacía",rValid_RF)))&gt;0))+SUMPRODUCT(--((ISNUMBER(SEARCH("Macroactividad vacía",rValid_ATR)))&gt;0))</f>
        <v/>
      </c>
      <c r="H63" s="43">
        <f>IF(G63=0,"✔ OK",IF("crit"="warn","● Atención","⚠ Revisar"))</f>
        <v/>
      </c>
      <c r="I63" s="44" t="inlineStr">
        <is>
          <t>Escribir el nombre de la actividad.</t>
        </is>
      </c>
      <c r="J63" s="44" t="n"/>
      <c r="K63" s="44" t="n"/>
      <c r="L63" s="44" t="n"/>
      <c r="M63" s="44" t="n"/>
    </row>
    <row r="64" ht="20" customHeight="1">
      <c r="B64" s="41" t="inlineStr">
        <is>
          <t>Actividades vencidas sin observación que explique el incumplimiento</t>
        </is>
      </c>
      <c r="C64" s="41" t="n"/>
      <c r="D64" s="41" t="n"/>
      <c r="E64" s="41" t="n"/>
      <c r="F64" s="41" t="n"/>
      <c r="G64" s="42">
        <f>SUMPRODUCT(--((ISNUMBER(SEARCH("sin observación",rValid_RO)))&gt;0))+SUMPRODUCT(--((ISNUMBER(SEARCH("sin observación",rValid_RN)))&gt;0))+SUMPRODUCT(--((ISNUMBER(SEARCH("sin observación",rValid_RF)))&gt;0))+SUMPRODUCT(--((ISNUMBER(SEARCH("sin observación",rValid_ATR)))&gt;0))</f>
        <v/>
      </c>
      <c r="H64" s="43">
        <f>IF(G64=0,"✔ OK",IF("crit"="warn","● Atención","⚠ Revisar"))</f>
        <v/>
      </c>
      <c r="I64" s="44" t="inlineStr">
        <is>
          <t>Escribir en Observaciones por qué no se cumplió y la nueva fecha prevista.</t>
        </is>
      </c>
      <c r="J64" s="44" t="n"/>
      <c r="K64" s="44" t="n"/>
      <c r="L64" s="44" t="n"/>
      <c r="M64" s="44" t="n"/>
    </row>
    <row r="65" ht="20" customHeight="1">
      <c r="B65" s="41" t="inlineStr">
        <is>
          <t>Avance global no definitivo (puestos no válidos)</t>
        </is>
      </c>
      <c r="C65" s="41" t="n"/>
      <c r="D65" s="41" t="n"/>
      <c r="E65" s="41" t="n"/>
      <c r="F65" s="41" t="n"/>
      <c r="G65" s="42">
        <f>4-'Calculos'!C8</f>
        <v/>
      </c>
      <c r="H65" s="43">
        <f>IF(G65=0,"✔ OK",IF("crit"="warn","● Atención","⚠ Revisar"))</f>
        <v/>
      </c>
      <c r="I65" s="44" t="inlineStr">
        <is>
          <t>El avance general solo es definitivo con los 4 puestos válidos.</t>
        </is>
      </c>
      <c r="J65" s="44" t="n"/>
      <c r="K65" s="44" t="n"/>
      <c r="L65" s="44" t="n"/>
      <c r="M65" s="44" t="n"/>
    </row>
    <row r="66" ht="26" customHeight="1">
      <c r="B66" s="40" t="inlineStr">
        <is>
          <t>Detalle por actividad: columna «Revisión automática (alertas)» de la hoja «Cronograma …» de cada puesto (filtrar por «⚠»). Pendiente normal = sin avance y dentro de plazo; Vencida = fecha límite anterior a la fecha de corte sin llegar a 100%.</t>
        </is>
      </c>
      <c r="C66" s="40" t="n"/>
      <c r="D66" s="40" t="n"/>
      <c r="E66" s="40" t="n"/>
      <c r="F66" s="40" t="n"/>
      <c r="G66" s="40" t="n"/>
      <c r="H66" s="40" t="n"/>
      <c r="I66" s="40" t="n"/>
      <c r="J66" s="40" t="n"/>
      <c r="K66" s="40" t="n"/>
      <c r="L66" s="40" t="n"/>
      <c r="M66" s="40" t="n"/>
    </row>
    <row r="68" ht="24" customHeight="1">
      <c r="B68" s="17" t="inlineStr">
        <is>
          <t>Entregas por semana según la fecha límite (completadas / programadas)</t>
        </is>
      </c>
      <c r="C68" s="17" t="n"/>
      <c r="D68" s="17" t="n"/>
      <c r="E68" s="17" t="n"/>
      <c r="F68" s="17" t="n"/>
      <c r="G68" s="17" t="n"/>
      <c r="H68" s="17" t="n"/>
      <c r="I68" s="17" t="n"/>
      <c r="J68" s="17" t="n"/>
      <c r="K68" s="17" t="n"/>
      <c r="L68" s="17" t="n"/>
      <c r="M68" s="17" t="n"/>
    </row>
    <row r="69">
      <c r="B69" s="7" t="inlineStr">
        <is>
          <t>Puesto</t>
        </is>
      </c>
      <c r="C69" s="7" t="inlineStr">
        <is>
          <t>Semana 1</t>
        </is>
      </c>
      <c r="D69" s="7" t="inlineStr">
        <is>
          <t>Semana 2</t>
        </is>
      </c>
      <c r="E69" s="7" t="inlineStr">
        <is>
          <t>Semana 3</t>
        </is>
      </c>
      <c r="F69" s="7" t="inlineStr">
        <is>
          <t>Semana 4</t>
        </is>
      </c>
      <c r="G69" s="7" t="inlineStr">
        <is>
          <t>Total</t>
        </is>
      </c>
      <c r="H69" s="7" t="inlineStr">
        <is>
          <t>Vencidas</t>
        </is>
      </c>
      <c r="I69" s="7" t="inlineStr">
        <is>
          <t>Lectura</t>
        </is>
      </c>
      <c r="J69" s="7" t="n"/>
      <c r="K69" s="7" t="n"/>
      <c r="L69" s="7" t="n"/>
      <c r="M69" s="7" t="n"/>
    </row>
    <row r="70">
      <c r="B70" s="19">
        <f>'Calculos'!A4</f>
        <v/>
      </c>
      <c r="C70" s="22">
        <f>COUNTIFS(hSemana_RO,"Semana 1",hEstado_RO,"Completado")&amp;" / "&amp;COUNTIF(hSemana_RO,"Semana 1")</f>
        <v/>
      </c>
      <c r="D70" s="22">
        <f>COUNTIFS(hSemana_RO,"Semana 2",hEstado_RO,"Completado")&amp;" / "&amp;COUNTIF(hSemana_RO,"Semana 2")</f>
        <v/>
      </c>
      <c r="E70" s="22">
        <f>COUNTIFS(hSemana_RO,"Semana 3",hEstado_RO,"Completado")&amp;" / "&amp;COUNTIF(hSemana_RO,"Semana 3")</f>
        <v/>
      </c>
      <c r="F70" s="22">
        <f>COUNTIFS(hSemana_RO,"Semana 4",hEstado_RO,"Completado")&amp;" / "&amp;COUNTIF(hSemana_RO,"Semana 4")</f>
        <v/>
      </c>
      <c r="G70" s="22">
        <f>COUNTIF(hEstado_RO,"Completado")&amp;" / "&amp;COUNTIF(hEstado_RO,"?*")</f>
        <v/>
      </c>
      <c r="H70" s="22">
        <f>COUNTIF(hEstado_RO,"Vencida")</f>
        <v/>
      </c>
      <c r="I70" s="44">
        <f>IF(H70&gt;0,"⚠ "&amp;H70&amp;" actividad(es) vencida(s) sin completar","Sin actividades vencidas")</f>
        <v/>
      </c>
      <c r="J70" s="44" t="n"/>
      <c r="K70" s="44" t="n"/>
      <c r="L70" s="44" t="n"/>
      <c r="M70" s="44" t="n"/>
    </row>
    <row r="71">
      <c r="B71" s="23">
        <f>'Calculos'!A5</f>
        <v/>
      </c>
      <c r="C71" s="22">
        <f>COUNTIFS(hSemana_RN,"Semana 1",hEstado_RN,"Completado")&amp;" / "&amp;COUNTIF(hSemana_RN,"Semana 1")</f>
        <v/>
      </c>
      <c r="D71" s="22">
        <f>COUNTIFS(hSemana_RN,"Semana 2",hEstado_RN,"Completado")&amp;" / "&amp;COUNTIF(hSemana_RN,"Semana 2")</f>
        <v/>
      </c>
      <c r="E71" s="22">
        <f>COUNTIFS(hSemana_RN,"Semana 3",hEstado_RN,"Completado")&amp;" / "&amp;COUNTIF(hSemana_RN,"Semana 3")</f>
        <v/>
      </c>
      <c r="F71" s="22">
        <f>COUNTIFS(hSemana_RN,"Semana 4",hEstado_RN,"Completado")&amp;" / "&amp;COUNTIF(hSemana_RN,"Semana 4")</f>
        <v/>
      </c>
      <c r="G71" s="22">
        <f>COUNTIF(hEstado_RN,"Completado")&amp;" / "&amp;COUNTIF(hEstado_RN,"?*")</f>
        <v/>
      </c>
      <c r="H71" s="22">
        <f>COUNTIF(hEstado_RN,"Vencida")</f>
        <v/>
      </c>
      <c r="I71" s="44">
        <f>IF(H71&gt;0,"⚠ "&amp;H71&amp;" actividad(es) vencida(s) sin completar","Sin actividades vencidas")</f>
        <v/>
      </c>
      <c r="J71" s="44" t="n"/>
      <c r="K71" s="44" t="n"/>
      <c r="L71" s="44" t="n"/>
      <c r="M71" s="44" t="n"/>
    </row>
    <row r="72">
      <c r="B72" s="24">
        <f>'Calculos'!A6</f>
        <v/>
      </c>
      <c r="C72" s="22">
        <f>COUNTIFS(hSemana_RF,"Semana 1",hEstado_RF,"Completado")&amp;" / "&amp;COUNTIF(hSemana_RF,"Semana 1")</f>
        <v/>
      </c>
      <c r="D72" s="22">
        <f>COUNTIFS(hSemana_RF,"Semana 2",hEstado_RF,"Completado")&amp;" / "&amp;COUNTIF(hSemana_RF,"Semana 2")</f>
        <v/>
      </c>
      <c r="E72" s="22">
        <f>COUNTIFS(hSemana_RF,"Semana 3",hEstado_RF,"Completado")&amp;" / "&amp;COUNTIF(hSemana_RF,"Semana 3")</f>
        <v/>
      </c>
      <c r="F72" s="22">
        <f>COUNTIFS(hSemana_RF,"Semana 4",hEstado_RF,"Completado")&amp;" / "&amp;COUNTIF(hSemana_RF,"Semana 4")</f>
        <v/>
      </c>
      <c r="G72" s="22">
        <f>COUNTIF(hEstado_RF,"Completado")&amp;" / "&amp;COUNTIF(hEstado_RF,"?*")</f>
        <v/>
      </c>
      <c r="H72" s="22">
        <f>COUNTIF(hEstado_RF,"Vencida")</f>
        <v/>
      </c>
      <c r="I72" s="44">
        <f>IF(H72&gt;0,"⚠ "&amp;H72&amp;" actividad(es) vencida(s) sin completar","Sin actividades vencidas")</f>
        <v/>
      </c>
      <c r="J72" s="44" t="n"/>
      <c r="K72" s="44" t="n"/>
      <c r="L72" s="44" t="n"/>
      <c r="M72" s="44" t="n"/>
    </row>
    <row r="73">
      <c r="B73" s="25">
        <f>'Calculos'!A7</f>
        <v/>
      </c>
      <c r="C73" s="22">
        <f>COUNTIFS(hSemana_ATR,"Semana 1",hEstado_ATR,"Completado")&amp;" / "&amp;COUNTIF(hSemana_ATR,"Semana 1")</f>
        <v/>
      </c>
      <c r="D73" s="22">
        <f>COUNTIFS(hSemana_ATR,"Semana 2",hEstado_ATR,"Completado")&amp;" / "&amp;COUNTIF(hSemana_ATR,"Semana 2")</f>
        <v/>
      </c>
      <c r="E73" s="22">
        <f>COUNTIFS(hSemana_ATR,"Semana 3",hEstado_ATR,"Completado")&amp;" / "&amp;COUNTIF(hSemana_ATR,"Semana 3")</f>
        <v/>
      </c>
      <c r="F73" s="22">
        <f>COUNTIFS(hSemana_ATR,"Semana 4",hEstado_ATR,"Completado")&amp;" / "&amp;COUNTIF(hSemana_ATR,"Semana 4")</f>
        <v/>
      </c>
      <c r="G73" s="22">
        <f>COUNTIF(hEstado_ATR,"Completado")&amp;" / "&amp;COUNTIF(hEstado_ATR,"?*")</f>
        <v/>
      </c>
      <c r="H73" s="22">
        <f>COUNTIF(hEstado_ATR,"Vencida")</f>
        <v/>
      </c>
      <c r="I73" s="44">
        <f>IF(H73&gt;0,"⚠ "&amp;H73&amp;" actividad(es) vencida(s) sin completar","Sin actividades vencidas")</f>
        <v/>
      </c>
      <c r="J73" s="44" t="n"/>
      <c r="K73" s="44" t="n"/>
      <c r="L73" s="44" t="n"/>
      <c r="M73" s="44" t="n"/>
    </row>
  </sheetData>
  <sheetProtection selectLockedCells="0" selectUnlockedCells="0" sheet="1" objects="0" insertRows="1" insertHyperlinks="1" autoFilter="1" scenarios="0" formatColumns="1" deleteColumns="1" insertColumns="1" pivotTables="1" deleteRows="1" formatCells="1" formatRows="1" sort="1"/>
  <mergeCells count="84">
    <mergeCell ref="L17:M17"/>
    <mergeCell ref="L19:M19"/>
    <mergeCell ref="L28:M28"/>
    <mergeCell ref="B58:F58"/>
    <mergeCell ref="I61:M61"/>
    <mergeCell ref="B52:F52"/>
    <mergeCell ref="I70:M70"/>
    <mergeCell ref="I54:M54"/>
    <mergeCell ref="B60:F60"/>
    <mergeCell ref="I72:M72"/>
    <mergeCell ref="G12:M12"/>
    <mergeCell ref="B6:D6"/>
    <mergeCell ref="B53:F53"/>
    <mergeCell ref="I56:M56"/>
    <mergeCell ref="L29:M29"/>
    <mergeCell ref="K10:M10"/>
    <mergeCell ref="H5:J5"/>
    <mergeCell ref="B4:D4"/>
    <mergeCell ref="L31:M31"/>
    <mergeCell ref="I73:M73"/>
    <mergeCell ref="K9:M9"/>
    <mergeCell ref="K5:M5"/>
    <mergeCell ref="I63:M63"/>
    <mergeCell ref="I59:M59"/>
    <mergeCell ref="I65:M65"/>
    <mergeCell ref="I60:M60"/>
    <mergeCell ref="B54:F54"/>
    <mergeCell ref="L16:M16"/>
    <mergeCell ref="B8:D8"/>
    <mergeCell ref="B56:F56"/>
    <mergeCell ref="E6:G6"/>
    <mergeCell ref="H23:K23"/>
    <mergeCell ref="B10:D10"/>
    <mergeCell ref="K8:M8"/>
    <mergeCell ref="B9:D9"/>
    <mergeCell ref="B68:M68"/>
    <mergeCell ref="B57:F57"/>
    <mergeCell ref="L30:M30"/>
    <mergeCell ref="B5:D5"/>
    <mergeCell ref="L20:M20"/>
    <mergeCell ref="K4:M4"/>
    <mergeCell ref="I62:M62"/>
    <mergeCell ref="I64:M64"/>
    <mergeCell ref="E8:G8"/>
    <mergeCell ref="H4:J4"/>
    <mergeCell ref="H6:J6"/>
    <mergeCell ref="E10:G10"/>
    <mergeCell ref="B62:F62"/>
    <mergeCell ref="B59:F59"/>
    <mergeCell ref="E9:G9"/>
    <mergeCell ref="L24:M24"/>
    <mergeCell ref="L18:M18"/>
    <mergeCell ref="I53:M53"/>
    <mergeCell ref="L26:M26"/>
    <mergeCell ref="I55:M55"/>
    <mergeCell ref="H8:J8"/>
    <mergeCell ref="L25:M25"/>
    <mergeCell ref="I52:M52"/>
    <mergeCell ref="B65:F65"/>
    <mergeCell ref="H10:J10"/>
    <mergeCell ref="C12:F12"/>
    <mergeCell ref="B22:M22"/>
    <mergeCell ref="B63:F63"/>
    <mergeCell ref="E4:G4"/>
    <mergeCell ref="H9:J9"/>
    <mergeCell ref="C23:F23"/>
    <mergeCell ref="B14:M14"/>
    <mergeCell ref="B1:M1"/>
    <mergeCell ref="H2:M2"/>
    <mergeCell ref="I57:M57"/>
    <mergeCell ref="L15:M15"/>
    <mergeCell ref="B61:F61"/>
    <mergeCell ref="L23:M23"/>
    <mergeCell ref="I71:M71"/>
    <mergeCell ref="I58:M58"/>
    <mergeCell ref="B33:M33"/>
    <mergeCell ref="B51:M51"/>
    <mergeCell ref="K6:M6"/>
    <mergeCell ref="B55:F55"/>
    <mergeCell ref="B64:F64"/>
    <mergeCell ref="E5:G5"/>
    <mergeCell ref="B66:M66"/>
    <mergeCell ref="L27:M27"/>
    <mergeCell ref="I69:M69"/>
  </mergeCells>
  <conditionalFormatting sqref="B5">
    <cfRule type="expression" priority="1" dxfId="0">
      <formula>AND(ISNUMBER($B$5),$B$5&gt;=1)</formula>
    </cfRule>
    <cfRule type="expression" priority="2" dxfId="1">
      <formula>NOT(ISNUMBER($B$5))</formula>
    </cfRule>
  </conditionalFormatting>
  <conditionalFormatting sqref="K9">
    <cfRule type="expression" priority="3" dxfId="2">
      <formula>$K$9&gt;0</formula>
    </cfRule>
    <cfRule type="expression" priority="4" dxfId="0">
      <formula>$K$9=0</formula>
    </cfRule>
  </conditionalFormatting>
  <conditionalFormatting sqref="H9">
    <cfRule type="expression" priority="5" dxfId="0">
      <formula>$H$9=4</formula>
    </cfRule>
  </conditionalFormatting>
  <conditionalFormatting sqref="E9">
    <cfRule type="expression" priority="6" dxfId="0">
      <formula>$E$9&gt;0</formula>
    </cfRule>
  </conditionalFormatting>
  <conditionalFormatting sqref="C12:F12">
    <cfRule type="dataBar" priority="7">
      <dataBar showValue="1">
        <cfvo type="num" val="0"/>
        <cfvo type="num" val="1"/>
        <color rgb="002E75B6"/>
      </dataBar>
    </cfRule>
  </conditionalFormatting>
  <conditionalFormatting sqref="G12:M12">
    <cfRule type="expression" priority="8" dxfId="3" stopIfTrue="1">
      <formula>ISNUMBER(SEARCH("Enhorabuena",$G$12))</formula>
    </cfRule>
    <cfRule type="expression" priority="9" dxfId="0" stopIfTrue="1">
      <formula>ISNUMBER(SEARCH("ompletado",$G$12))</formula>
    </cfRule>
    <cfRule type="expression" priority="10" dxfId="2" stopIfTrue="1">
      <formula>LEFT($G$12,1)="⚠"</formula>
    </cfRule>
    <cfRule type="expression" priority="11" dxfId="4">
      <formula>ISNUMBER(SEARCH("ejecución",$G$12))</formula>
    </cfRule>
  </conditionalFormatting>
  <conditionalFormatting sqref="D16:D20">
    <cfRule type="dataBar" priority="12">
      <dataBar showValue="0">
        <cfvo type="num" val="0"/>
        <cfvo type="num" val="1"/>
        <color rgb="002E75B6"/>
      </dataBar>
    </cfRule>
  </conditionalFormatting>
  <conditionalFormatting sqref="C16:C20">
    <cfRule type="expression" priority="13" dxfId="0">
      <formula>AND(ISNUMBER(C16),C16&gt;=1)</formula>
    </cfRule>
    <cfRule type="expression" priority="14" dxfId="4">
      <formula>AND(ISNUMBER(C16),C16&gt;0,C16&lt;1)</formula>
    </cfRule>
    <cfRule type="expression" priority="15" dxfId="2">
      <formula>OR(NOT(ISNUMBER(C16)),C16=0)</formula>
    </cfRule>
  </conditionalFormatting>
  <conditionalFormatting sqref="K16:K20">
    <cfRule type="expression" priority="16" dxfId="0">
      <formula>K16="Completado"</formula>
    </cfRule>
    <cfRule type="expression" priority="17" dxfId="4">
      <formula>K16="En curso"</formula>
    </cfRule>
    <cfRule type="expression" priority="18" dxfId="1">
      <formula>OR(K16="Sin actividades",LEFT(K16,11)="Pesos suman",K16="No definitivo")</formula>
    </cfRule>
    <cfRule type="expression" priority="19" dxfId="5">
      <formula>K16="Pendiente"</formula>
    </cfRule>
  </conditionalFormatting>
  <conditionalFormatting sqref="I16:J20">
    <cfRule type="expression" priority="20" dxfId="6">
      <formula>I16&gt;0</formula>
    </cfRule>
  </conditionalFormatting>
  <conditionalFormatting sqref="L16:M20">
    <cfRule type="expression" priority="21" dxfId="3" stopIfTrue="1">
      <formula>ISNUMBER(SEARCH("Enhorabuena",$L16))</formula>
    </cfRule>
    <cfRule type="expression" priority="22" dxfId="0" stopIfTrue="1">
      <formula>ISNUMBER(SEARCH("ompletado",$L16))</formula>
    </cfRule>
    <cfRule type="expression" priority="23" dxfId="2" stopIfTrue="1">
      <formula>LEFT($L16,1)="⚠"</formula>
    </cfRule>
    <cfRule type="expression" priority="24" dxfId="4">
      <formula>ISNUMBER(SEARCH("ejecución",$L16))</formula>
    </cfRule>
  </conditionalFormatting>
  <conditionalFormatting sqref="C25:F29">
    <cfRule type="expression" priority="25" dxfId="0">
      <formula>AND(ISNUMBER(C25),C25&gt;=1)</formula>
    </cfRule>
    <cfRule type="expression" priority="26" dxfId="7">
      <formula>AND(ISNUMBER(C25),C25&lt;INDEX(PlanRef,COLUMN(C25)-2))</formula>
    </cfRule>
  </conditionalFormatting>
  <conditionalFormatting sqref="H25:K29">
    <cfRule type="expression" priority="27" dxfId="2">
      <formula>AND(ISNUMBER(H25),H25&lt;0)</formula>
    </cfRule>
  </conditionalFormatting>
  <conditionalFormatting sqref="H53:H65">
    <cfRule type="expression" priority="28" dxfId="0">
      <formula>LEFT(H53,1)="✔"</formula>
    </cfRule>
    <cfRule type="expression" priority="29" dxfId="1">
      <formula>LEFT(H53,1)="●"</formula>
    </cfRule>
    <cfRule type="expression" priority="30" dxfId="2">
      <formula>LEFT(H53,1)="⚠"</formula>
    </cfRule>
  </conditionalFormatting>
  <conditionalFormatting sqref="H70:H73">
    <cfRule type="expression" priority="31" dxfId="6">
      <formula>H70&gt;0</formula>
    </cfRule>
  </conditionalFormatting>
  <conditionalFormatting sqref="I70:M73">
    <cfRule type="expression" priority="32" dxfId="1">
      <formula>LEFT($I70,1)="⚠"</formula>
    </cfRule>
  </conditionalFormatting>
  <hyperlinks>
    <hyperlink xmlns:r="http://schemas.openxmlformats.org/officeDocument/2006/relationships" ref="B16"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70" r:id="rId5"/>
    <hyperlink xmlns:r="http://schemas.openxmlformats.org/officeDocument/2006/relationships" ref="B71" r:id="rId6"/>
    <hyperlink xmlns:r="http://schemas.openxmlformats.org/officeDocument/2006/relationships" ref="B72" r:id="rId7"/>
    <hyperlink xmlns:r="http://schemas.openxmlformats.org/officeDocument/2006/relationships" ref="B73" r:id="rId8"/>
  </hyperlinks>
  <pageMargins left="0.3" right="0.3" top="0.4" bottom="0.4" header="0.5" footer="0.5"/>
  <pageSetup orientation="landscape" paperSize="1" fitToHeight="0" fitToWidth="1"/>
  <headerFooter>
    <oddHeader/>
    <oddFooter>&amp;CPágina &amp;P de &amp;N</oddFooter>
    <evenHeader/>
    <evenFooter/>
    <firstHeader/>
    <firstFooter/>
  </headerFooter>
  <rowBreaks count="1" manualBreakCount="1">
    <brk id="34" min="0" max="16383" man="1"/>
  </rowBreaks>
  <drawing xmlns:r="http://schemas.openxmlformats.org/officeDocument/2006/relationships" r:id="rId9"/>
</worksheet>
</file>

<file path=xl/worksheets/sheet2.xml><?xml version="1.0" encoding="utf-8"?>
<worksheet xmlns="http://schemas.openxmlformats.org/spreadsheetml/2006/main">
  <sheetPr>
    <tabColor rgb="002E75B6"/>
    <outlinePr summaryBelow="1" summaryRight="1"/>
    <pageSetUpPr fitToPage="1"/>
  </sheetPr>
  <dimension ref="A1:N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6" customWidth="1" min="2" max="2"/>
    <col width="22" customWidth="1" min="3" max="3"/>
    <col width="12" customWidth="1" min="4" max="4"/>
    <col width="12" customWidth="1" min="5" max="5"/>
    <col width="11" customWidth="1" min="6" max="6"/>
    <col width="11" customWidth="1" min="7" max="7"/>
    <col width="11" customWidth="1" min="8" max="8"/>
    <col width="11" customWidth="1" min="9" max="9"/>
    <col width="11" customWidth="1" min="10" max="10"/>
    <col width="12" customWidth="1" min="11" max="11"/>
    <col width="13" customWidth="1" min="12" max="12"/>
    <col width="42" customWidth="1" min="13" max="13"/>
    <col width="52" customWidth="1" min="14" max="14"/>
  </cols>
  <sheetData>
    <row r="1" ht="28" customHeight="1">
      <c r="A1" s="45" t="inlineStr">
        <is>
          <t>Cronograma – Riesgo Operacional</t>
        </is>
      </c>
      <c r="B1" s="45" t="n"/>
      <c r="C1" s="45" t="n"/>
      <c r="D1" s="45" t="n"/>
      <c r="E1" s="45" t="n"/>
      <c r="F1" s="45" t="n"/>
      <c r="G1" s="45" t="n"/>
      <c r="H1" s="45" t="n"/>
      <c r="I1" s="45" t="n"/>
      <c r="J1" s="45" t="n"/>
      <c r="K1" s="45" t="n"/>
      <c r="L1" s="45" t="n"/>
      <c r="M1" s="45" t="n"/>
      <c r="N1" s="45" t="n"/>
    </row>
    <row r="2" ht="30" customHeight="1">
      <c r="A2" s="46" t="inlineStr">
        <is>
          <t>Llene solo las celdas AMARILLAS; las GRISES se calculan solas (el N° se numera solo). En cada semana escriba el % TOTAL logrado hasta esa semana (ej. 20%, 45%, 75%, 100%). Los pesos de esta hoja deben sumar 100%. Si una actividad no se cumple, explique el motivo en Observaciones.</t>
        </is>
      </c>
      <c r="B2" s="46" t="n"/>
      <c r="C2" s="46" t="n"/>
      <c r="D2" s="46" t="n"/>
      <c r="E2" s="46" t="n"/>
      <c r="F2" s="46" t="n"/>
      <c r="G2" s="46" t="n"/>
      <c r="H2" s="46" t="n"/>
      <c r="I2" s="46" t="n"/>
      <c r="J2" s="46" t="n"/>
      <c r="K2" s="46" t="n"/>
      <c r="L2" s="46" t="n"/>
      <c r="M2" s="46" t="n"/>
      <c r="N2" s="46" t="n"/>
    </row>
    <row r="3">
      <c r="A3" s="47" t="inlineStr">
        <is>
          <t>Entrada</t>
        </is>
      </c>
      <c r="B3" s="48" t="inlineStr">
        <is>
          <t>Gris = automático</t>
        </is>
      </c>
      <c r="C3" s="49" t="inlineStr">
        <is>
          <t>Suma de pesos:</t>
        </is>
      </c>
      <c r="D3" s="50">
        <f>SUM(F5:F1000)</f>
        <v/>
      </c>
      <c r="E3" s="51">
        <f>IF(COUNTIF(N5:N1000,"?*")=0,"",IF(ABS(D3-1)&lt;=0.0001,"✔ 100%","⚠ Debe sumar 100%"))</f>
        <v/>
      </c>
      <c r="F3" s="51" t="n"/>
    </row>
    <row r="4" ht="42" customHeight="1">
      <c r="A4" s="52" t="inlineStr">
        <is>
          <t>N°</t>
        </is>
      </c>
      <c r="B4" s="7" t="inlineStr">
        <is>
          <t>Macro Actividad</t>
        </is>
      </c>
      <c r="C4" s="7" t="inlineStr">
        <is>
          <t>Responsable</t>
        </is>
      </c>
      <c r="D4" s="7" t="inlineStr">
        <is>
          <t>Fecha de inicio</t>
        </is>
      </c>
      <c r="E4" s="7" t="inlineStr">
        <is>
          <t>Fecha límite</t>
        </is>
      </c>
      <c r="F4" s="7" t="inlineStr">
        <is>
          <t>Peso de actividad (%)</t>
        </is>
      </c>
      <c r="G4" s="7" t="inlineStr">
        <is>
          <t>Avance Semana 1 (%)</t>
        </is>
      </c>
      <c r="H4" s="7" t="inlineStr">
        <is>
          <t>Avance Semana 2 (%)</t>
        </is>
      </c>
      <c r="I4" s="7" t="inlineStr">
        <is>
          <t>Avance Semana 3 (%)</t>
        </is>
      </c>
      <c r="J4" s="7" t="inlineStr">
        <is>
          <t>Avance Semana 4 (%)</t>
        </is>
      </c>
      <c r="K4" s="52" t="inlineStr">
        <is>
          <t>% de Avance Total Actual</t>
        </is>
      </c>
      <c r="L4" s="52" t="inlineStr">
        <is>
          <t>Estado</t>
        </is>
      </c>
      <c r="M4" s="7" t="inlineStr">
        <is>
          <t>Observaciones</t>
        </is>
      </c>
      <c r="N4" s="52" t="inlineStr">
        <is>
          <t>Revisión automática (alertas)</t>
        </is>
      </c>
    </row>
    <row r="5">
      <c r="A5" s="53">
        <f>IF(NOT((COUNTA($B5:$J5)+COUNTA($M5))&gt;0),"",COUNTIF($L$5:$L5,"?*"))</f>
        <v/>
      </c>
      <c r="B5" s="54" t="n"/>
      <c r="C5" s="54" t="n"/>
      <c r="D5" s="55" t="n"/>
      <c r="E5" s="55" t="n"/>
      <c r="F5" s="56" t="n"/>
      <c r="G5" s="57" t="n"/>
      <c r="H5" s="57" t="n"/>
      <c r="I5" s="57" t="n"/>
      <c r="J5" s="57" t="n"/>
      <c r="K5" s="58">
        <f>IF(NOT((COUNTA($B5:$J5)+COUNTA($M5))&gt;0),"",IFERROR(LOOKUP(2,1/(G5:J5&lt;&gt;""),G5:J5),0))</f>
        <v/>
      </c>
      <c r="L5" s="53">
        <f>IF(K5="","",IF(K5&gt;=1,"Completado",IF(K5&gt;0,"En curso","Pendiente")))</f>
        <v/>
      </c>
      <c r="M5" s="54" t="n"/>
      <c r="N5" s="59">
        <f>IF(NOT((COUNTA($B5:$J5)+COUNTA($M5))&gt;0),"",IF((IF(B5="","Macroactividad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","")&amp;IF(ABS(SUM($F$5:$F$1000)-1)&gt;0.0001,"Pesos del puesto suman "&amp;TEXT(SUM($F$5:$F$1000),"0%")&amp;"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 OK","⚠ "&amp;LEFT(IF(B5="","Macroactividad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","")&amp;IF(ABS(SUM($F$5:$F$1000)-1)&gt;0.0001,"Pesos del puesto suman "&amp;TEXT(SUM($F$5:$F$1000),"0%")&amp;"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",""),LEN(IF(B5="","Macroactividad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","")&amp;IF(ABS(SUM($F$5:$F$1000)-1)&gt;0.0001,"Pesos del puesto suman "&amp;TEXT(SUM($F$5:$F$1000),"0%")&amp;"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",""))-3)))</f>
        <v/>
      </c>
    </row>
    <row r="6">
      <c r="A6" s="53">
        <f>IF(NOT((COUNTA($B6:$J6)+COUNTA($M6))&gt;0),"",COUNTIF($L$5:$L6,"?*"))</f>
        <v/>
      </c>
      <c r="B6" s="54" t="n"/>
      <c r="C6" s="54" t="n"/>
      <c r="D6" s="55" t="n"/>
      <c r="E6" s="55" t="n"/>
      <c r="F6" s="56" t="n"/>
      <c r="G6" s="57" t="n"/>
      <c r="H6" s="57" t="n"/>
      <c r="I6" s="57" t="n"/>
      <c r="J6" s="57" t="n"/>
      <c r="K6" s="58">
        <f>IF(NOT((COUNTA($B6:$J6)+COUNTA($M6))&gt;0),"",IFERROR(LOOKUP(2,1/(G6:J6&lt;&gt;""),G6:J6),0))</f>
        <v/>
      </c>
      <c r="L6" s="53">
        <f>IF(K6="","",IF(K6&gt;=1,"Completado",IF(K6&gt;0,"En curso","Pendiente")))</f>
        <v/>
      </c>
      <c r="M6" s="54" t="n"/>
      <c r="N6" s="59">
        <f>IF(NOT((COUNTA($B6:$J6)+COUNTA($M6))&gt;0),"",IF((IF(B6="","Macroactividad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","")&amp;IF(ABS(SUM($F$5:$F$1000)-1)&gt;0.0001,"Pesos del puesto suman "&amp;TEXT(SUM($F$5:$F$1000),"0%")&amp;"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 OK","⚠ "&amp;LEFT(IF(B6="","Macroactividad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","")&amp;IF(ABS(SUM($F$5:$F$1000)-1)&gt;0.0001,"Pesos del puesto suman "&amp;TEXT(SUM($F$5:$F$1000),"0%")&amp;"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",""),LEN(IF(B6="","Macroactividad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","")&amp;IF(ABS(SUM($F$5:$F$1000)-1)&gt;0.0001,"Pesos del puesto suman "&amp;TEXT(SUM($F$5:$F$1000),"0%")&amp;"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",""))-3)))</f>
        <v/>
      </c>
    </row>
    <row r="7">
      <c r="A7" s="53">
        <f>IF(NOT((COUNTA($B7:$J7)+COUNTA($M7))&gt;0),"",COUNTIF($L$5:$L7,"?*"))</f>
        <v/>
      </c>
      <c r="B7" s="54" t="n"/>
      <c r="C7" s="54" t="n"/>
      <c r="D7" s="55" t="n"/>
      <c r="E7" s="55" t="n"/>
      <c r="F7" s="56" t="n"/>
      <c r="G7" s="57" t="n"/>
      <c r="H7" s="57" t="n"/>
      <c r="I7" s="57" t="n"/>
      <c r="J7" s="57" t="n"/>
      <c r="K7" s="58">
        <f>IF(NOT((COUNTA($B7:$J7)+COUNTA($M7))&gt;0),"",IFERROR(LOOKUP(2,1/(G7:J7&lt;&gt;""),G7:J7),0))</f>
        <v/>
      </c>
      <c r="L7" s="53">
        <f>IF(K7="","",IF(K7&gt;=1,"Completado",IF(K7&gt;0,"En curso","Pendiente")))</f>
        <v/>
      </c>
      <c r="M7" s="54" t="n"/>
      <c r="N7" s="59">
        <f>IF(NOT((COUNTA($B7:$J7)+COUNTA($M7))&gt;0),"",IF((IF(B7="","Macroactividad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","")&amp;IF(ABS(SUM($F$5:$F$1000)-1)&gt;0.0001,"Pesos del puesto suman "&amp;TEXT(SUM($F$5:$F$1000),"0%")&amp;"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 OK","⚠ "&amp;LEFT(IF(B7="","Macroactividad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","")&amp;IF(ABS(SUM($F$5:$F$1000)-1)&gt;0.0001,"Pesos del puesto suman "&amp;TEXT(SUM($F$5:$F$1000),"0%")&amp;"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",""),LEN(IF(B7="","Macroactividad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","")&amp;IF(ABS(SUM($F$5:$F$1000)-1)&gt;0.0001,"Pesos del puesto suman "&amp;TEXT(SUM($F$5:$F$1000),"0%")&amp;"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",""))-3)))</f>
        <v/>
      </c>
    </row>
    <row r="8">
      <c r="A8" s="53">
        <f>IF(NOT((COUNTA($B8:$J8)+COUNTA($M8))&gt;0),"",COUNTIF($L$5:$L8,"?*"))</f>
        <v/>
      </c>
      <c r="B8" s="54" t="n"/>
      <c r="C8" s="54" t="n"/>
      <c r="D8" s="55" t="n"/>
      <c r="E8" s="55" t="n"/>
      <c r="F8" s="56" t="n"/>
      <c r="G8" s="57" t="n"/>
      <c r="H8" s="57" t="n"/>
      <c r="I8" s="57" t="n"/>
      <c r="J8" s="57" t="n"/>
      <c r="K8" s="58">
        <f>IF(NOT((COUNTA($B8:$J8)+COUNTA($M8))&gt;0),"",IFERROR(LOOKUP(2,1/(G8:J8&lt;&gt;""),G8:J8),0))</f>
        <v/>
      </c>
      <c r="L8" s="53">
        <f>IF(K8="","",IF(K8&gt;=1,"Completado",IF(K8&gt;0,"En curso","Pendiente")))</f>
        <v/>
      </c>
      <c r="M8" s="54" t="n"/>
      <c r="N8" s="59">
        <f>IF(NOT((COUNTA($B8:$J8)+COUNTA($M8))&gt;0),"",IF((IF(B8="","Macroactividad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","")&amp;IF(ABS(SUM($F$5:$F$1000)-1)&gt;0.0001,"Pesos del puesto suman "&amp;TEXT(SUM($F$5:$F$1000),"0%")&amp;"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 OK","⚠ "&amp;LEFT(IF(B8="","Macroactividad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","")&amp;IF(ABS(SUM($F$5:$F$1000)-1)&gt;0.0001,"Pesos del puesto suman "&amp;TEXT(SUM($F$5:$F$1000),"0%")&amp;"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",""),LEN(IF(B8="","Macroactividad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","")&amp;IF(ABS(SUM($F$5:$F$1000)-1)&gt;0.0001,"Pesos del puesto suman "&amp;TEXT(SUM($F$5:$F$1000),"0%")&amp;"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",""))-3)))</f>
        <v/>
      </c>
    </row>
    <row r="9">
      <c r="A9" s="53">
        <f>IF(NOT((COUNTA($B9:$J9)+COUNTA($M9))&gt;0),"",COUNTIF($L$5:$L9,"?*"))</f>
        <v/>
      </c>
      <c r="B9" s="54" t="n"/>
      <c r="C9" s="54" t="n"/>
      <c r="D9" s="55" t="n"/>
      <c r="E9" s="55" t="n"/>
      <c r="F9" s="56" t="n"/>
      <c r="G9" s="57" t="n"/>
      <c r="H9" s="57" t="n"/>
      <c r="I9" s="57" t="n"/>
      <c r="J9" s="57" t="n"/>
      <c r="K9" s="58">
        <f>IF(NOT((COUNTA($B9:$J9)+COUNTA($M9))&gt;0),"",IFERROR(LOOKUP(2,1/(G9:J9&lt;&gt;""),G9:J9),0))</f>
        <v/>
      </c>
      <c r="L9" s="53">
        <f>IF(K9="","",IF(K9&gt;=1,"Completado",IF(K9&gt;0,"En curso","Pendiente")))</f>
        <v/>
      </c>
      <c r="M9" s="54" t="n"/>
      <c r="N9" s="59">
        <f>IF(NOT((COUNTA($B9:$J9)+COUNTA($M9))&gt;0),"",IF((IF(B9="","Macroactividad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","")&amp;IF(ABS(SUM($F$5:$F$1000)-1)&gt;0.0001,"Pesos del puesto suman "&amp;TEXT(SUM($F$5:$F$1000),"0%")&amp;"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 OK","⚠ "&amp;LEFT(IF(B9="","Macroactividad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","")&amp;IF(ABS(SUM($F$5:$F$1000)-1)&gt;0.0001,"Pesos del puesto suman "&amp;TEXT(SUM($F$5:$F$1000),"0%")&amp;"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",""),LEN(IF(B9="","Macroactividad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","")&amp;IF(ABS(SUM($F$5:$F$1000)-1)&gt;0.0001,"Pesos del puesto suman "&amp;TEXT(SUM($F$5:$F$1000),"0%")&amp;"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",""))-3)))</f>
        <v/>
      </c>
    </row>
    <row r="10">
      <c r="A10" s="53">
        <f>IF(NOT((COUNTA($B10:$J10)+COUNTA($M10))&gt;0),"",COUNTIF($L$5:$L10,"?*"))</f>
        <v/>
      </c>
      <c r="B10" s="54" t="n"/>
      <c r="C10" s="54" t="n"/>
      <c r="D10" s="55" t="n"/>
      <c r="E10" s="55" t="n"/>
      <c r="F10" s="56" t="n"/>
      <c r="G10" s="57" t="n"/>
      <c r="H10" s="57" t="n"/>
      <c r="I10" s="57" t="n"/>
      <c r="J10" s="57" t="n"/>
      <c r="K10" s="58">
        <f>IF(NOT((COUNTA($B10:$J10)+COUNTA($M10))&gt;0),"",IFERROR(LOOKUP(2,1/(G10:J10&lt;&gt;""),G10:J10),0))</f>
        <v/>
      </c>
      <c r="L10" s="53">
        <f>IF(K10="","",IF(K10&gt;=1,"Completado",IF(K10&gt;0,"En curso","Pendiente")))</f>
        <v/>
      </c>
      <c r="M10" s="54" t="n"/>
      <c r="N10" s="59">
        <f>IF(NOT((COUNTA($B10:$J10)+COUNTA($M10))&gt;0),"",IF((IF(B10="","Macroactividad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","")&amp;IF(ABS(SUM($F$5:$F$1000)-1)&gt;0.0001,"Pesos del puesto suman "&amp;TEXT(SUM($F$5:$F$1000),"0%")&amp;"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 OK","⚠ "&amp;LEFT(IF(B10="","Macroactividad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","")&amp;IF(ABS(SUM($F$5:$F$1000)-1)&gt;0.0001,"Pesos del puesto suman "&amp;TEXT(SUM($F$5:$F$1000),"0%")&amp;"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",""),LEN(IF(B10="","Macroactividad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","")&amp;IF(ABS(SUM($F$5:$F$1000)-1)&gt;0.0001,"Pesos del puesto suman "&amp;TEXT(SUM($F$5:$F$1000),"0%")&amp;"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",""))-3)))</f>
        <v/>
      </c>
    </row>
    <row r="11">
      <c r="A11" s="53">
        <f>IF(NOT((COUNTA($B11:$J11)+COUNTA($M11))&gt;0),"",COUNTIF($L$5:$L11,"?*"))</f>
        <v/>
      </c>
      <c r="B11" s="54" t="n"/>
      <c r="C11" s="54" t="n"/>
      <c r="D11" s="55" t="n"/>
      <c r="E11" s="55" t="n"/>
      <c r="F11" s="56" t="n"/>
      <c r="G11" s="57" t="n"/>
      <c r="H11" s="57" t="n"/>
      <c r="I11" s="57" t="n"/>
      <c r="J11" s="57" t="n"/>
      <c r="K11" s="58">
        <f>IF(NOT((COUNTA($B11:$J11)+COUNTA($M11))&gt;0),"",IFERROR(LOOKUP(2,1/(G11:J11&lt;&gt;""),G11:J11),0))</f>
        <v/>
      </c>
      <c r="L11" s="53">
        <f>IF(K11="","",IF(K11&gt;=1,"Completado",IF(K11&gt;0,"En curso","Pendiente")))</f>
        <v/>
      </c>
      <c r="M11" s="54" t="n"/>
      <c r="N11" s="59">
        <f>IF(NOT((COUNTA($B11:$J11)+COUNTA($M11))&gt;0),"",IF((IF(B11="","Macroactividad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","")&amp;IF(ABS(SUM($F$5:$F$1000)-1)&gt;0.0001,"Pesos del puesto suman "&amp;TEXT(SUM($F$5:$F$1000),"0%")&amp;"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 OK","⚠ "&amp;LEFT(IF(B11="","Macroactividad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","")&amp;IF(ABS(SUM($F$5:$F$1000)-1)&gt;0.0001,"Pesos del puesto suman "&amp;TEXT(SUM($F$5:$F$1000),"0%")&amp;"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",""),LEN(IF(B11="","Macroactividad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","")&amp;IF(ABS(SUM($F$5:$F$1000)-1)&gt;0.0001,"Pesos del puesto suman "&amp;TEXT(SUM($F$5:$F$1000),"0%")&amp;"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",""))-3)))</f>
        <v/>
      </c>
    </row>
    <row r="12">
      <c r="A12" s="53">
        <f>IF(NOT((COUNTA($B12:$J12)+COUNTA($M12))&gt;0),"",COUNTIF($L$5:$L12,"?*"))</f>
        <v/>
      </c>
      <c r="B12" s="54" t="n"/>
      <c r="C12" s="54" t="n"/>
      <c r="D12" s="55" t="n"/>
      <c r="E12" s="55" t="n"/>
      <c r="F12" s="56" t="n"/>
      <c r="G12" s="57" t="n"/>
      <c r="H12" s="57" t="n"/>
      <c r="I12" s="57" t="n"/>
      <c r="J12" s="57" t="n"/>
      <c r="K12" s="58">
        <f>IF(NOT((COUNTA($B12:$J12)+COUNTA($M12))&gt;0),"",IFERROR(LOOKUP(2,1/(G12:J12&lt;&gt;""),G12:J12),0))</f>
        <v/>
      </c>
      <c r="L12" s="53">
        <f>IF(K12="","",IF(K12&gt;=1,"Completado",IF(K12&gt;0,"En curso","Pendiente")))</f>
        <v/>
      </c>
      <c r="M12" s="54" t="n"/>
      <c r="N12" s="59">
        <f>IF(NOT((COUNTA($B12:$J12)+COUNTA($M12))&gt;0),"",IF((IF(B12="","Macroactividad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","")&amp;IF(ABS(SUM($F$5:$F$1000)-1)&gt;0.0001,"Pesos del puesto suman "&amp;TEXT(SUM($F$5:$F$1000),"0%")&amp;"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 OK","⚠ "&amp;LEFT(IF(B12="","Macroactividad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","")&amp;IF(ABS(SUM($F$5:$F$1000)-1)&gt;0.0001,"Pesos del puesto suman "&amp;TEXT(SUM($F$5:$F$1000),"0%")&amp;"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",""),LEN(IF(B12="","Macroactividad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","")&amp;IF(ABS(SUM($F$5:$F$1000)-1)&gt;0.0001,"Pesos del puesto suman "&amp;TEXT(SUM($F$5:$F$1000),"0%")&amp;"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",""))-3)))</f>
        <v/>
      </c>
    </row>
    <row r="13">
      <c r="A13" s="53">
        <f>IF(NOT((COUNTA($B13:$J13)+COUNTA($M13))&gt;0),"",COUNTIF($L$5:$L13,"?*"))</f>
        <v/>
      </c>
      <c r="B13" s="54" t="n"/>
      <c r="C13" s="54" t="n"/>
      <c r="D13" s="55" t="n"/>
      <c r="E13" s="55" t="n"/>
      <c r="F13" s="56" t="n"/>
      <c r="G13" s="57" t="n"/>
      <c r="H13" s="57" t="n"/>
      <c r="I13" s="57" t="n"/>
      <c r="J13" s="57" t="n"/>
      <c r="K13" s="58">
        <f>IF(NOT((COUNTA($B13:$J13)+COUNTA($M13))&gt;0),"",IFERROR(LOOKUP(2,1/(G13:J13&lt;&gt;""),G13:J13),0))</f>
        <v/>
      </c>
      <c r="L13" s="53">
        <f>IF(K13="","",IF(K13&gt;=1,"Completado",IF(K13&gt;0,"En curso","Pendiente")))</f>
        <v/>
      </c>
      <c r="M13" s="54" t="n"/>
      <c r="N13" s="59">
        <f>IF(NOT((COUNTA($B13:$J13)+COUNTA($M13))&gt;0),"",IF((IF(B13="","Macroactividad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","")&amp;IF(ABS(SUM($F$5:$F$1000)-1)&gt;0.0001,"Pesos del puesto suman "&amp;TEXT(SUM($F$5:$F$1000),"0%")&amp;"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 OK","⚠ "&amp;LEFT(IF(B13="","Macroactividad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","")&amp;IF(ABS(SUM($F$5:$F$1000)-1)&gt;0.0001,"Pesos del puesto suman "&amp;TEXT(SUM($F$5:$F$1000),"0%")&amp;"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",""),LEN(IF(B13="","Macroactividad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","")&amp;IF(ABS(SUM($F$5:$F$1000)-1)&gt;0.0001,"Pesos del puesto suman "&amp;TEXT(SUM($F$5:$F$1000),"0%")&amp;"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",""))-3)))</f>
        <v/>
      </c>
    </row>
    <row r="14">
      <c r="A14" s="53">
        <f>IF(NOT((COUNTA($B14:$J14)+COUNTA($M14))&gt;0),"",COUNTIF($L$5:$L14,"?*"))</f>
        <v/>
      </c>
      <c r="B14" s="54" t="n"/>
      <c r="C14" s="54" t="n"/>
      <c r="D14" s="55" t="n"/>
      <c r="E14" s="55" t="n"/>
      <c r="F14" s="56" t="n"/>
      <c r="G14" s="57" t="n"/>
      <c r="H14" s="57" t="n"/>
      <c r="I14" s="57" t="n"/>
      <c r="J14" s="57" t="n"/>
      <c r="K14" s="58">
        <f>IF(NOT((COUNTA($B14:$J14)+COUNTA($M14))&gt;0),"",IFERROR(LOOKUP(2,1/(G14:J14&lt;&gt;""),G14:J14),0))</f>
        <v/>
      </c>
      <c r="L14" s="53">
        <f>IF(K14="","",IF(K14&gt;=1,"Completado",IF(K14&gt;0,"En curso","Pendiente")))</f>
        <v/>
      </c>
      <c r="M14" s="54" t="n"/>
      <c r="N14" s="59">
        <f>IF(NOT((COUNTA($B14:$J14)+COUNTA($M14))&gt;0),"",IF((IF(B14="","Macroactividad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","")&amp;IF(ABS(SUM($F$5:$F$1000)-1)&gt;0.0001,"Pesos del puesto suman "&amp;TEXT(SUM($F$5:$F$1000),"0%")&amp;"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 OK","⚠ "&amp;LEFT(IF(B14="","Macroactividad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","")&amp;IF(ABS(SUM($F$5:$F$1000)-1)&gt;0.0001,"Pesos del puesto suman "&amp;TEXT(SUM($F$5:$F$1000),"0%")&amp;"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",""),LEN(IF(B14="","Macroactividad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","")&amp;IF(ABS(SUM($F$5:$F$1000)-1)&gt;0.0001,"Pesos del puesto suman "&amp;TEXT(SUM($F$5:$F$1000),"0%")&amp;"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",""))-3)))</f>
        <v/>
      </c>
    </row>
    <row r="15">
      <c r="A15" s="53">
        <f>IF(NOT((COUNTA($B15:$J15)+COUNTA($M15))&gt;0),"",COUNTIF($L$5:$L15,"?*"))</f>
        <v/>
      </c>
      <c r="B15" s="54" t="n"/>
      <c r="C15" s="54" t="n"/>
      <c r="D15" s="55" t="n"/>
      <c r="E15" s="55" t="n"/>
      <c r="F15" s="56" t="n"/>
      <c r="G15" s="57" t="n"/>
      <c r="H15" s="57" t="n"/>
      <c r="I15" s="57" t="n"/>
      <c r="J15" s="57" t="n"/>
      <c r="K15" s="58">
        <f>IF(NOT((COUNTA($B15:$J15)+COUNTA($M15))&gt;0),"",IFERROR(LOOKUP(2,1/(G15:J15&lt;&gt;""),G15:J15),0))</f>
        <v/>
      </c>
      <c r="L15" s="53">
        <f>IF(K15="","",IF(K15&gt;=1,"Completado",IF(K15&gt;0,"En curso","Pendiente")))</f>
        <v/>
      </c>
      <c r="M15" s="54" t="n"/>
      <c r="N15" s="59">
        <f>IF(NOT((COUNTA($B15:$J15)+COUNTA($M15))&gt;0),"",IF((IF(B15="","Macroactividad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","")&amp;IF(ABS(SUM($F$5:$F$1000)-1)&gt;0.0001,"Pesos del puesto suman "&amp;TEXT(SUM($F$5:$F$1000),"0%")&amp;"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 OK","⚠ "&amp;LEFT(IF(B15="","Macroactividad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","")&amp;IF(ABS(SUM($F$5:$F$1000)-1)&gt;0.0001,"Pesos del puesto suman "&amp;TEXT(SUM($F$5:$F$1000),"0%")&amp;"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",""),LEN(IF(B15="","Macroactividad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","")&amp;IF(ABS(SUM($F$5:$F$1000)-1)&gt;0.0001,"Pesos del puesto suman "&amp;TEXT(SUM($F$5:$F$1000),"0%")&amp;"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",""))-3)))</f>
        <v/>
      </c>
    </row>
    <row r="16">
      <c r="A16" s="53">
        <f>IF(NOT((COUNTA($B16:$J16)+COUNTA($M16))&gt;0),"",COUNTIF($L$5:$L16,"?*"))</f>
        <v/>
      </c>
      <c r="B16" s="54" t="n"/>
      <c r="C16" s="54" t="n"/>
      <c r="D16" s="55" t="n"/>
      <c r="E16" s="55" t="n"/>
      <c r="F16" s="56" t="n"/>
      <c r="G16" s="57" t="n"/>
      <c r="H16" s="57" t="n"/>
      <c r="I16" s="57" t="n"/>
      <c r="J16" s="57" t="n"/>
      <c r="K16" s="58">
        <f>IF(NOT((COUNTA($B16:$J16)+COUNTA($M16))&gt;0),"",IFERROR(LOOKUP(2,1/(G16:J16&lt;&gt;""),G16:J16),0))</f>
        <v/>
      </c>
      <c r="L16" s="53">
        <f>IF(K16="","",IF(K16&gt;=1,"Completado",IF(K16&gt;0,"En curso","Pendiente")))</f>
        <v/>
      </c>
      <c r="M16" s="54" t="n"/>
      <c r="N16" s="59">
        <f>IF(NOT((COUNTA($B16:$J16)+COUNTA($M16))&gt;0),"",IF((IF(B16="","Macroactividad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","")&amp;IF(ABS(SUM($F$5:$F$1000)-1)&gt;0.0001,"Pesos del puesto suman "&amp;TEXT(SUM($F$5:$F$1000),"0%")&amp;"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 OK","⚠ "&amp;LEFT(IF(B16="","Macroactividad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","")&amp;IF(ABS(SUM($F$5:$F$1000)-1)&gt;0.0001,"Pesos del puesto suman "&amp;TEXT(SUM($F$5:$F$1000),"0%")&amp;"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",""),LEN(IF(B16="","Macroactividad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","")&amp;IF(ABS(SUM($F$5:$F$1000)-1)&gt;0.0001,"Pesos del puesto suman "&amp;TEXT(SUM($F$5:$F$1000),"0%")&amp;"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",""))-3)))</f>
        <v/>
      </c>
    </row>
    <row r="17">
      <c r="A17" s="53">
        <f>IF(NOT((COUNTA($B17:$J17)+COUNTA($M17))&gt;0),"",COUNTIF($L$5:$L17,"?*"))</f>
        <v/>
      </c>
      <c r="B17" s="54" t="n"/>
      <c r="C17" s="54" t="n"/>
      <c r="D17" s="55" t="n"/>
      <c r="E17" s="55" t="n"/>
      <c r="F17" s="56" t="n"/>
      <c r="G17" s="57" t="n"/>
      <c r="H17" s="57" t="n"/>
      <c r="I17" s="57" t="n"/>
      <c r="J17" s="57" t="n"/>
      <c r="K17" s="58">
        <f>IF(NOT((COUNTA($B17:$J17)+COUNTA($M17))&gt;0),"",IFERROR(LOOKUP(2,1/(G17:J17&lt;&gt;""),G17:J17),0))</f>
        <v/>
      </c>
      <c r="L17" s="53">
        <f>IF(K17="","",IF(K17&gt;=1,"Completado",IF(K17&gt;0,"En curso","Pendiente")))</f>
        <v/>
      </c>
      <c r="M17" s="54" t="n"/>
      <c r="N17" s="59">
        <f>IF(NOT((COUNTA($B17:$J17)+COUNTA($M17))&gt;0),"",IF((IF(B17="","Macroactividad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","")&amp;IF(ABS(SUM($F$5:$F$1000)-1)&gt;0.0001,"Pesos del puesto suman "&amp;TEXT(SUM($F$5:$F$1000),"0%")&amp;"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 OK","⚠ "&amp;LEFT(IF(B17="","Macroactividad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","")&amp;IF(ABS(SUM($F$5:$F$1000)-1)&gt;0.0001,"Pesos del puesto suman "&amp;TEXT(SUM($F$5:$F$1000),"0%")&amp;"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",""),LEN(IF(B17="","Macroactividad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","")&amp;IF(ABS(SUM($F$5:$F$1000)-1)&gt;0.0001,"Pesos del puesto suman "&amp;TEXT(SUM($F$5:$F$1000),"0%")&amp;"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",""))-3)))</f>
        <v/>
      </c>
    </row>
    <row r="18">
      <c r="A18" s="53">
        <f>IF(NOT((COUNTA($B18:$J18)+COUNTA($M18))&gt;0),"",COUNTIF($L$5:$L18,"?*"))</f>
        <v/>
      </c>
      <c r="B18" s="54" t="n"/>
      <c r="C18" s="54" t="n"/>
      <c r="D18" s="55" t="n"/>
      <c r="E18" s="55" t="n"/>
      <c r="F18" s="56" t="n"/>
      <c r="G18" s="57" t="n"/>
      <c r="H18" s="57" t="n"/>
      <c r="I18" s="57" t="n"/>
      <c r="J18" s="57" t="n"/>
      <c r="K18" s="58">
        <f>IF(NOT((COUNTA($B18:$J18)+COUNTA($M18))&gt;0),"",IFERROR(LOOKUP(2,1/(G18:J18&lt;&gt;""),G18:J18),0))</f>
        <v/>
      </c>
      <c r="L18" s="53">
        <f>IF(K18="","",IF(K18&gt;=1,"Completado",IF(K18&gt;0,"En curso","Pendiente")))</f>
        <v/>
      </c>
      <c r="M18" s="54" t="n"/>
      <c r="N18" s="59">
        <f>IF(NOT((COUNTA($B18:$J18)+COUNTA($M18))&gt;0),"",IF((IF(B18="","Macroactividad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","")&amp;IF(ABS(SUM($F$5:$F$1000)-1)&gt;0.0001,"Pesos del puesto suman "&amp;TEXT(SUM($F$5:$F$1000),"0%")&amp;"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 OK","⚠ "&amp;LEFT(IF(B18="","Macroactividad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","")&amp;IF(ABS(SUM($F$5:$F$1000)-1)&gt;0.0001,"Pesos del puesto suman "&amp;TEXT(SUM($F$5:$F$1000),"0%")&amp;"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",""),LEN(IF(B18="","Macroactividad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","")&amp;IF(ABS(SUM($F$5:$F$1000)-1)&gt;0.0001,"Pesos del puesto suman "&amp;TEXT(SUM($F$5:$F$1000),"0%")&amp;"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",""))-3)))</f>
        <v/>
      </c>
    </row>
    <row r="19">
      <c r="A19" s="53">
        <f>IF(NOT((COUNTA($B19:$J19)+COUNTA($M19))&gt;0),"",COUNTIF($L$5:$L19,"?*"))</f>
        <v/>
      </c>
      <c r="B19" s="54" t="n"/>
      <c r="C19" s="54" t="n"/>
      <c r="D19" s="55" t="n"/>
      <c r="E19" s="55" t="n"/>
      <c r="F19" s="56" t="n"/>
      <c r="G19" s="57" t="n"/>
      <c r="H19" s="57" t="n"/>
      <c r="I19" s="57" t="n"/>
      <c r="J19" s="57" t="n"/>
      <c r="K19" s="58">
        <f>IF(NOT((COUNTA($B19:$J19)+COUNTA($M19))&gt;0),"",IFERROR(LOOKUP(2,1/(G19:J19&lt;&gt;""),G19:J19),0))</f>
        <v/>
      </c>
      <c r="L19" s="53">
        <f>IF(K19="","",IF(K19&gt;=1,"Completado",IF(K19&gt;0,"En curso","Pendiente")))</f>
        <v/>
      </c>
      <c r="M19" s="54" t="n"/>
      <c r="N19" s="59">
        <f>IF(NOT((COUNTA($B19:$J19)+COUNTA($M19))&gt;0),"",IF((IF(B19="","Macroactividad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","")&amp;IF(ABS(SUM($F$5:$F$1000)-1)&gt;0.0001,"Pesos del puesto suman "&amp;TEXT(SUM($F$5:$F$1000),"0%")&amp;"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 OK","⚠ "&amp;LEFT(IF(B19="","Macroactividad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","")&amp;IF(ABS(SUM($F$5:$F$1000)-1)&gt;0.0001,"Pesos del puesto suman "&amp;TEXT(SUM($F$5:$F$1000),"0%")&amp;"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",""),LEN(IF(B19="","Macroactividad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","")&amp;IF(ABS(SUM($F$5:$F$1000)-1)&gt;0.0001,"Pesos del puesto suman "&amp;TEXT(SUM($F$5:$F$1000),"0%")&amp;"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",""))-3)))</f>
        <v/>
      </c>
    </row>
    <row r="20">
      <c r="A20" s="53">
        <f>IF(NOT((COUNTA($B20:$J20)+COUNTA($M20))&gt;0),"",COUNTIF($L$5:$L20,"?*"))</f>
        <v/>
      </c>
      <c r="B20" s="54" t="n"/>
      <c r="C20" s="54" t="n"/>
      <c r="D20" s="55" t="n"/>
      <c r="E20" s="55" t="n"/>
      <c r="F20" s="56" t="n"/>
      <c r="G20" s="57" t="n"/>
      <c r="H20" s="57" t="n"/>
      <c r="I20" s="57" t="n"/>
      <c r="J20" s="57" t="n"/>
      <c r="K20" s="58">
        <f>IF(NOT((COUNTA($B20:$J20)+COUNTA($M20))&gt;0),"",IFERROR(LOOKUP(2,1/(G20:J20&lt;&gt;""),G20:J20),0))</f>
        <v/>
      </c>
      <c r="L20" s="53">
        <f>IF(K20="","",IF(K20&gt;=1,"Completado",IF(K20&gt;0,"En curso","Pendiente")))</f>
        <v/>
      </c>
      <c r="M20" s="54" t="n"/>
      <c r="N20" s="59">
        <f>IF(NOT((COUNTA($B20:$J20)+COUNTA($M20))&gt;0),"",IF((IF(B20="","Macroactividad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","")&amp;IF(ABS(SUM($F$5:$F$1000)-1)&gt;0.0001,"Pesos del puesto suman "&amp;TEXT(SUM($F$5:$F$1000),"0%")&amp;"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 OK","⚠ "&amp;LEFT(IF(B20="","Macroactividad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","")&amp;IF(ABS(SUM($F$5:$F$1000)-1)&gt;0.0001,"Pesos del puesto suman "&amp;TEXT(SUM($F$5:$F$1000),"0%")&amp;"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",""),LEN(IF(B20="","Macroactividad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","")&amp;IF(ABS(SUM($F$5:$F$1000)-1)&gt;0.0001,"Pesos del puesto suman "&amp;TEXT(SUM($F$5:$F$1000),"0%")&amp;"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",""))-3)))</f>
        <v/>
      </c>
    </row>
    <row r="21">
      <c r="A21" s="53">
        <f>IF(NOT((COUNTA($B21:$J21)+COUNTA($M21))&gt;0),"",COUNTIF($L$5:$L21,"?*"))</f>
        <v/>
      </c>
      <c r="B21" s="54" t="n"/>
      <c r="C21" s="54" t="n"/>
      <c r="D21" s="55" t="n"/>
      <c r="E21" s="55" t="n"/>
      <c r="F21" s="56" t="n"/>
      <c r="G21" s="57" t="n"/>
      <c r="H21" s="57" t="n"/>
      <c r="I21" s="57" t="n"/>
      <c r="J21" s="57" t="n"/>
      <c r="K21" s="58">
        <f>IF(NOT((COUNTA($B21:$J21)+COUNTA($M21))&gt;0),"",IFERROR(LOOKUP(2,1/(G21:J21&lt;&gt;""),G21:J21),0))</f>
        <v/>
      </c>
      <c r="L21" s="53">
        <f>IF(K21="","",IF(K21&gt;=1,"Completado",IF(K21&gt;0,"En curso","Pendiente")))</f>
        <v/>
      </c>
      <c r="M21" s="54" t="n"/>
      <c r="N21" s="59">
        <f>IF(NOT((COUNTA($B21:$J21)+COUNTA($M21))&gt;0),"",IF((IF(B21="","Macroactividad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","")&amp;IF(ABS(SUM($F$5:$F$1000)-1)&gt;0.0001,"Pesos del puesto suman "&amp;TEXT(SUM($F$5:$F$1000),"0%")&amp;"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 OK","⚠ "&amp;LEFT(IF(B21="","Macroactividad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","")&amp;IF(ABS(SUM($F$5:$F$1000)-1)&gt;0.0001,"Pesos del puesto suman "&amp;TEXT(SUM($F$5:$F$1000),"0%")&amp;"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",""),LEN(IF(B21="","Macroactividad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","")&amp;IF(ABS(SUM($F$5:$F$1000)-1)&gt;0.0001,"Pesos del puesto suman "&amp;TEXT(SUM($F$5:$F$1000),"0%")&amp;"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",""))-3)))</f>
        <v/>
      </c>
    </row>
    <row r="22">
      <c r="A22" s="53">
        <f>IF(NOT((COUNTA($B22:$J22)+COUNTA($M22))&gt;0),"",COUNTIF($L$5:$L22,"?*"))</f>
        <v/>
      </c>
      <c r="B22" s="54" t="n"/>
      <c r="C22" s="54" t="n"/>
      <c r="D22" s="55" t="n"/>
      <c r="E22" s="55" t="n"/>
      <c r="F22" s="56" t="n"/>
      <c r="G22" s="57" t="n"/>
      <c r="H22" s="57" t="n"/>
      <c r="I22" s="57" t="n"/>
      <c r="J22" s="57" t="n"/>
      <c r="K22" s="58">
        <f>IF(NOT((COUNTA($B22:$J22)+COUNTA($M22))&gt;0),"",IFERROR(LOOKUP(2,1/(G22:J22&lt;&gt;""),G22:J22),0))</f>
        <v/>
      </c>
      <c r="L22" s="53">
        <f>IF(K22="","",IF(K22&gt;=1,"Completado",IF(K22&gt;0,"En curso","Pendiente")))</f>
        <v/>
      </c>
      <c r="M22" s="54" t="n"/>
      <c r="N22" s="59">
        <f>IF(NOT((COUNTA($B22:$J22)+COUNTA($M22))&gt;0),"",IF((IF(B22="","Macroactividad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","")&amp;IF(ABS(SUM($F$5:$F$1000)-1)&gt;0.0001,"Pesos del puesto suman "&amp;TEXT(SUM($F$5:$F$1000),"0%")&amp;"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 OK","⚠ "&amp;LEFT(IF(B22="","Macroactividad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","")&amp;IF(ABS(SUM($F$5:$F$1000)-1)&gt;0.0001,"Pesos del puesto suman "&amp;TEXT(SUM($F$5:$F$1000),"0%")&amp;"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",""),LEN(IF(B22="","Macroactividad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","")&amp;IF(ABS(SUM($F$5:$F$1000)-1)&gt;0.0001,"Pesos del puesto suman "&amp;TEXT(SUM($F$5:$F$1000),"0%")&amp;"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",""))-3)))</f>
        <v/>
      </c>
    </row>
    <row r="23">
      <c r="A23" s="53">
        <f>IF(NOT((COUNTA($B23:$J23)+COUNTA($M23))&gt;0),"",COUNTIF($L$5:$L23,"?*"))</f>
        <v/>
      </c>
      <c r="B23" s="54" t="n"/>
      <c r="C23" s="54" t="n"/>
      <c r="D23" s="55" t="n"/>
      <c r="E23" s="55" t="n"/>
      <c r="F23" s="56" t="n"/>
      <c r="G23" s="57" t="n"/>
      <c r="H23" s="57" t="n"/>
      <c r="I23" s="57" t="n"/>
      <c r="J23" s="57" t="n"/>
      <c r="K23" s="58">
        <f>IF(NOT((COUNTA($B23:$J23)+COUNTA($M23))&gt;0),"",IFERROR(LOOKUP(2,1/(G23:J23&lt;&gt;""),G23:J23),0))</f>
        <v/>
      </c>
      <c r="L23" s="53">
        <f>IF(K23="","",IF(K23&gt;=1,"Completado",IF(K23&gt;0,"En curso","Pendiente")))</f>
        <v/>
      </c>
      <c r="M23" s="54" t="n"/>
      <c r="N23" s="59">
        <f>IF(NOT((COUNTA($B23:$J23)+COUNTA($M23))&gt;0),"",IF((IF(B23="","Macroactividad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","")&amp;IF(ABS(SUM($F$5:$F$1000)-1)&gt;0.0001,"Pesos del puesto suman "&amp;TEXT(SUM($F$5:$F$1000),"0%")&amp;"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 OK","⚠ "&amp;LEFT(IF(B23="","Macroactividad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","")&amp;IF(ABS(SUM($F$5:$F$1000)-1)&gt;0.0001,"Pesos del puesto suman "&amp;TEXT(SUM($F$5:$F$1000),"0%")&amp;"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",""),LEN(IF(B23="","Macroactividad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","")&amp;IF(ABS(SUM($F$5:$F$1000)-1)&gt;0.0001,"Pesos del puesto suman "&amp;TEXT(SUM($F$5:$F$1000),"0%")&amp;"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",""))-3)))</f>
        <v/>
      </c>
    </row>
    <row r="24">
      <c r="A24" s="53">
        <f>IF(NOT((COUNTA($B24:$J24)+COUNTA($M24))&gt;0),"",COUNTIF($L$5:$L24,"?*"))</f>
        <v/>
      </c>
      <c r="B24" s="54" t="n"/>
      <c r="C24" s="54" t="n"/>
      <c r="D24" s="55" t="n"/>
      <c r="E24" s="55" t="n"/>
      <c r="F24" s="56" t="n"/>
      <c r="G24" s="57" t="n"/>
      <c r="H24" s="57" t="n"/>
      <c r="I24" s="57" t="n"/>
      <c r="J24" s="57" t="n"/>
      <c r="K24" s="58">
        <f>IF(NOT((COUNTA($B24:$J24)+COUNTA($M24))&gt;0),"",IFERROR(LOOKUP(2,1/(G24:J24&lt;&gt;""),G24:J24),0))</f>
        <v/>
      </c>
      <c r="L24" s="53">
        <f>IF(K24="","",IF(K24&gt;=1,"Completado",IF(K24&gt;0,"En curso","Pendiente")))</f>
        <v/>
      </c>
      <c r="M24" s="54" t="n"/>
      <c r="N24" s="59">
        <f>IF(NOT((COUNTA($B24:$J24)+COUNTA($M24))&gt;0),"",IF((IF(B24="","Macroactividad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","")&amp;IF(ABS(SUM($F$5:$F$1000)-1)&gt;0.0001,"Pesos del puesto suman "&amp;TEXT(SUM($F$5:$F$1000),"0%")&amp;"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 OK","⚠ "&amp;LEFT(IF(B24="","Macroactividad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","")&amp;IF(ABS(SUM($F$5:$F$1000)-1)&gt;0.0001,"Pesos del puesto suman "&amp;TEXT(SUM($F$5:$F$1000),"0%")&amp;"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",""),LEN(IF(B24="","Macroactividad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","")&amp;IF(ABS(SUM($F$5:$F$1000)-1)&gt;0.0001,"Pesos del puesto suman "&amp;TEXT(SUM($F$5:$F$1000),"0%")&amp;"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",""))-3)))</f>
        <v/>
      </c>
    </row>
    <row r="25">
      <c r="A25" s="53">
        <f>IF(NOT((COUNTA($B25:$J25)+COUNTA($M25))&gt;0),"",COUNTIF($L$5:$L25,"?*"))</f>
        <v/>
      </c>
      <c r="B25" s="54" t="n"/>
      <c r="C25" s="54" t="n"/>
      <c r="D25" s="55" t="n"/>
      <c r="E25" s="55" t="n"/>
      <c r="F25" s="56" t="n"/>
      <c r="G25" s="57" t="n"/>
      <c r="H25" s="57" t="n"/>
      <c r="I25" s="57" t="n"/>
      <c r="J25" s="57" t="n"/>
      <c r="K25" s="58">
        <f>IF(NOT((COUNTA($B25:$J25)+COUNTA($M25))&gt;0),"",IFERROR(LOOKUP(2,1/(G25:J25&lt;&gt;""),G25:J25),0))</f>
        <v/>
      </c>
      <c r="L25" s="53">
        <f>IF(K25="","",IF(K25&gt;=1,"Completado",IF(K25&gt;0,"En curso","Pendiente")))</f>
        <v/>
      </c>
      <c r="M25" s="54" t="n"/>
      <c r="N25" s="59">
        <f>IF(NOT((COUNTA($B25:$J25)+COUNTA($M25))&gt;0),"",IF((IF(B25="","Macroactividad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","")&amp;IF(ABS(SUM($F$5:$F$1000)-1)&gt;0.0001,"Pesos del puesto suman "&amp;TEXT(SUM($F$5:$F$1000),"0%")&amp;"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 OK","⚠ "&amp;LEFT(IF(B25="","Macroactividad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","")&amp;IF(ABS(SUM($F$5:$F$1000)-1)&gt;0.0001,"Pesos del puesto suman "&amp;TEXT(SUM($F$5:$F$1000),"0%")&amp;"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",""),LEN(IF(B25="","Macroactividad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","")&amp;IF(ABS(SUM($F$5:$F$1000)-1)&gt;0.0001,"Pesos del puesto suman "&amp;TEXT(SUM($F$5:$F$1000),"0%")&amp;"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",""))-3)))</f>
        <v/>
      </c>
    </row>
    <row r="26">
      <c r="A26" s="53">
        <f>IF(NOT((COUNTA($B26:$J26)+COUNTA($M26))&gt;0),"",COUNTIF($L$5:$L26,"?*"))</f>
        <v/>
      </c>
      <c r="B26" s="54" t="n"/>
      <c r="C26" s="54" t="n"/>
      <c r="D26" s="55" t="n"/>
      <c r="E26" s="55" t="n"/>
      <c r="F26" s="56" t="n"/>
      <c r="G26" s="57" t="n"/>
      <c r="H26" s="57" t="n"/>
      <c r="I26" s="57" t="n"/>
      <c r="J26" s="57" t="n"/>
      <c r="K26" s="58">
        <f>IF(NOT((COUNTA($B26:$J26)+COUNTA($M26))&gt;0),"",IFERROR(LOOKUP(2,1/(G26:J26&lt;&gt;""),G26:J26),0))</f>
        <v/>
      </c>
      <c r="L26" s="53">
        <f>IF(K26="","",IF(K26&gt;=1,"Completado",IF(K26&gt;0,"En curso","Pendiente")))</f>
        <v/>
      </c>
      <c r="M26" s="54" t="n"/>
      <c r="N26" s="59">
        <f>IF(NOT((COUNTA($B26:$J26)+COUNTA($M26))&gt;0),"",IF((IF(B26="","Macroactividad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","")&amp;IF(ABS(SUM($F$5:$F$1000)-1)&gt;0.0001,"Pesos del puesto suman "&amp;TEXT(SUM($F$5:$F$1000),"0%")&amp;"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 OK","⚠ "&amp;LEFT(IF(B26="","Macroactividad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","")&amp;IF(ABS(SUM($F$5:$F$1000)-1)&gt;0.0001,"Pesos del puesto suman "&amp;TEXT(SUM($F$5:$F$1000),"0%")&amp;"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",""),LEN(IF(B26="","Macroactividad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","")&amp;IF(ABS(SUM($F$5:$F$1000)-1)&gt;0.0001,"Pesos del puesto suman "&amp;TEXT(SUM($F$5:$F$1000),"0%")&amp;"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",""))-3)))</f>
        <v/>
      </c>
    </row>
    <row r="27">
      <c r="A27" s="53">
        <f>IF(NOT((COUNTA($B27:$J27)+COUNTA($M27))&gt;0),"",COUNTIF($L$5:$L27,"?*"))</f>
        <v/>
      </c>
      <c r="B27" s="54" t="n"/>
      <c r="C27" s="54" t="n"/>
      <c r="D27" s="55" t="n"/>
      <c r="E27" s="55" t="n"/>
      <c r="F27" s="56" t="n"/>
      <c r="G27" s="57" t="n"/>
      <c r="H27" s="57" t="n"/>
      <c r="I27" s="57" t="n"/>
      <c r="J27" s="57" t="n"/>
      <c r="K27" s="58">
        <f>IF(NOT((COUNTA($B27:$J27)+COUNTA($M27))&gt;0),"",IFERROR(LOOKUP(2,1/(G27:J27&lt;&gt;""),G27:J27),0))</f>
        <v/>
      </c>
      <c r="L27" s="53">
        <f>IF(K27="","",IF(K27&gt;=1,"Completado",IF(K27&gt;0,"En curso","Pendiente")))</f>
        <v/>
      </c>
      <c r="M27" s="54" t="n"/>
      <c r="N27" s="59">
        <f>IF(NOT((COUNTA($B27:$J27)+COUNTA($M27))&gt;0),"",IF((IF(B27="","Macroactividad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","")&amp;IF(ABS(SUM($F$5:$F$1000)-1)&gt;0.0001,"Pesos del puesto suman "&amp;TEXT(SUM($F$5:$F$1000),"0%")&amp;"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 OK","⚠ "&amp;LEFT(IF(B27="","Macroactividad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","")&amp;IF(ABS(SUM($F$5:$F$1000)-1)&gt;0.0001,"Pesos del puesto suman "&amp;TEXT(SUM($F$5:$F$1000),"0%")&amp;"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",""),LEN(IF(B27="","Macroactividad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","")&amp;IF(ABS(SUM($F$5:$F$1000)-1)&gt;0.0001,"Pesos del puesto suman "&amp;TEXT(SUM($F$5:$F$1000),"0%")&amp;"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",""))-3)))</f>
        <v/>
      </c>
    </row>
    <row r="28">
      <c r="A28" s="53">
        <f>IF(NOT((COUNTA($B28:$J28)+COUNTA($M28))&gt;0),"",COUNTIF($L$5:$L28,"?*"))</f>
        <v/>
      </c>
      <c r="B28" s="54" t="n"/>
      <c r="C28" s="54" t="n"/>
      <c r="D28" s="55" t="n"/>
      <c r="E28" s="55" t="n"/>
      <c r="F28" s="56" t="n"/>
      <c r="G28" s="57" t="n"/>
      <c r="H28" s="57" t="n"/>
      <c r="I28" s="57" t="n"/>
      <c r="J28" s="57" t="n"/>
      <c r="K28" s="58">
        <f>IF(NOT((COUNTA($B28:$J28)+COUNTA($M28))&gt;0),"",IFERROR(LOOKUP(2,1/(G28:J28&lt;&gt;""),G28:J28),0))</f>
        <v/>
      </c>
      <c r="L28" s="53">
        <f>IF(K28="","",IF(K28&gt;=1,"Completado",IF(K28&gt;0,"En curso","Pendiente")))</f>
        <v/>
      </c>
      <c r="M28" s="54" t="n"/>
      <c r="N28" s="59">
        <f>IF(NOT((COUNTA($B28:$J28)+COUNTA($M28))&gt;0),"",IF((IF(B28="","Macroactividad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","")&amp;IF(ABS(SUM($F$5:$F$1000)-1)&gt;0.0001,"Pesos del puesto suman "&amp;TEXT(SUM($F$5:$F$1000),"0%")&amp;"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 OK","⚠ "&amp;LEFT(IF(B28="","Macroactividad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","")&amp;IF(ABS(SUM($F$5:$F$1000)-1)&gt;0.0001,"Pesos del puesto suman "&amp;TEXT(SUM($F$5:$F$1000),"0%")&amp;"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",""),LEN(IF(B28="","Macroactividad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","")&amp;IF(ABS(SUM($F$5:$F$1000)-1)&gt;0.0001,"Pesos del puesto suman "&amp;TEXT(SUM($F$5:$F$1000),"0%")&amp;"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",""))-3)))</f>
        <v/>
      </c>
    </row>
    <row r="29">
      <c r="A29" s="53">
        <f>IF(NOT((COUNTA($B29:$J29)+COUNTA($M29))&gt;0),"",COUNTIF($L$5:$L29,"?*"))</f>
        <v/>
      </c>
      <c r="B29" s="54" t="n"/>
      <c r="C29" s="54" t="n"/>
      <c r="D29" s="55" t="n"/>
      <c r="E29" s="55" t="n"/>
      <c r="F29" s="56" t="n"/>
      <c r="G29" s="57" t="n"/>
      <c r="H29" s="57" t="n"/>
      <c r="I29" s="57" t="n"/>
      <c r="J29" s="57" t="n"/>
      <c r="K29" s="58">
        <f>IF(NOT((COUNTA($B29:$J29)+COUNTA($M29))&gt;0),"",IFERROR(LOOKUP(2,1/(G29:J29&lt;&gt;""),G29:J29),0))</f>
        <v/>
      </c>
      <c r="L29" s="53">
        <f>IF(K29="","",IF(K29&gt;=1,"Completado",IF(K29&gt;0,"En curso","Pendiente")))</f>
        <v/>
      </c>
      <c r="M29" s="54" t="n"/>
      <c r="N29" s="59">
        <f>IF(NOT((COUNTA($B29:$J29)+COUNTA($M29))&gt;0),"",IF((IF(B29="","Macroactividad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","")&amp;IF(ABS(SUM($F$5:$F$1000)-1)&gt;0.0001,"Pesos del puesto suman "&amp;TEXT(SUM($F$5:$F$1000),"0%")&amp;"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 OK","⚠ "&amp;LEFT(IF(B29="","Macroactividad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","")&amp;IF(ABS(SUM($F$5:$F$1000)-1)&gt;0.0001,"Pesos del puesto suman "&amp;TEXT(SUM($F$5:$F$1000),"0%")&amp;"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",""),LEN(IF(B29="","Macroactividad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","")&amp;IF(ABS(SUM($F$5:$F$1000)-1)&gt;0.0001,"Pesos del puesto suman "&amp;TEXT(SUM($F$5:$F$1000),"0%")&amp;"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",""))-3)))</f>
        <v/>
      </c>
    </row>
    <row r="30">
      <c r="A30" s="53">
        <f>IF(NOT((COUNTA($B30:$J30)+COUNTA($M30))&gt;0),"",COUNTIF($L$5:$L30,"?*"))</f>
        <v/>
      </c>
      <c r="B30" s="54" t="n"/>
      <c r="C30" s="54" t="n"/>
      <c r="D30" s="55" t="n"/>
      <c r="E30" s="55" t="n"/>
      <c r="F30" s="56" t="n"/>
      <c r="G30" s="57" t="n"/>
      <c r="H30" s="57" t="n"/>
      <c r="I30" s="57" t="n"/>
      <c r="J30" s="57" t="n"/>
      <c r="K30" s="58">
        <f>IF(NOT((COUNTA($B30:$J30)+COUNTA($M30))&gt;0),"",IFERROR(LOOKUP(2,1/(G30:J30&lt;&gt;""),G30:J30),0))</f>
        <v/>
      </c>
      <c r="L30" s="53">
        <f>IF(K30="","",IF(K30&gt;=1,"Completado",IF(K30&gt;0,"En curso","Pendiente")))</f>
        <v/>
      </c>
      <c r="M30" s="54" t="n"/>
      <c r="N30" s="59">
        <f>IF(NOT((COUNTA($B30:$J30)+COUNTA($M30))&gt;0),"",IF((IF(B30="","Macroactividad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","")&amp;IF(ABS(SUM($F$5:$F$1000)-1)&gt;0.0001,"Pesos del puesto suman "&amp;TEXT(SUM($F$5:$F$1000),"0%")&amp;"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 OK","⚠ "&amp;LEFT(IF(B30="","Macroactividad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","")&amp;IF(ABS(SUM($F$5:$F$1000)-1)&gt;0.0001,"Pesos del puesto suman "&amp;TEXT(SUM($F$5:$F$1000),"0%")&amp;"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",""),LEN(IF(B30="","Macroactividad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","")&amp;IF(ABS(SUM($F$5:$F$1000)-1)&gt;0.0001,"Pesos del puesto suman "&amp;TEXT(SUM($F$5:$F$1000),"0%")&amp;"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",""))-3)))</f>
        <v/>
      </c>
    </row>
    <row r="31">
      <c r="A31" s="53">
        <f>IF(NOT((COUNTA($B31:$J31)+COUNTA($M31))&gt;0),"",COUNTIF($L$5:$L31,"?*"))</f>
        <v/>
      </c>
      <c r="B31" s="54" t="n"/>
      <c r="C31" s="54" t="n"/>
      <c r="D31" s="55" t="n"/>
      <c r="E31" s="55" t="n"/>
      <c r="F31" s="56" t="n"/>
      <c r="G31" s="57" t="n"/>
      <c r="H31" s="57" t="n"/>
      <c r="I31" s="57" t="n"/>
      <c r="J31" s="57" t="n"/>
      <c r="K31" s="58">
        <f>IF(NOT((COUNTA($B31:$J31)+COUNTA($M31))&gt;0),"",IFERROR(LOOKUP(2,1/(G31:J31&lt;&gt;""),G31:J31),0))</f>
        <v/>
      </c>
      <c r="L31" s="53">
        <f>IF(K31="","",IF(K31&gt;=1,"Completado",IF(K31&gt;0,"En curso","Pendiente")))</f>
        <v/>
      </c>
      <c r="M31" s="54" t="n"/>
      <c r="N31" s="59">
        <f>IF(NOT((COUNTA($B31:$J31)+COUNTA($M31))&gt;0),"",IF((IF(B31="","Macroactividad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","")&amp;IF(ABS(SUM($F$5:$F$1000)-1)&gt;0.0001,"Pesos del puesto suman "&amp;TEXT(SUM($F$5:$F$1000),"0%")&amp;"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 OK","⚠ "&amp;LEFT(IF(B31="","Macroactividad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","")&amp;IF(ABS(SUM($F$5:$F$1000)-1)&gt;0.0001,"Pesos del puesto suman "&amp;TEXT(SUM($F$5:$F$1000),"0%")&amp;"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",""),LEN(IF(B31="","Macroactividad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","")&amp;IF(ABS(SUM($F$5:$F$1000)-1)&gt;0.0001,"Pesos del puesto suman "&amp;TEXT(SUM($F$5:$F$1000),"0%")&amp;"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",""))-3)))</f>
        <v/>
      </c>
    </row>
    <row r="32">
      <c r="A32" s="53">
        <f>IF(NOT((COUNTA($B32:$J32)+COUNTA($M32))&gt;0),"",COUNTIF($L$5:$L32,"?*"))</f>
        <v/>
      </c>
      <c r="B32" s="54" t="n"/>
      <c r="C32" s="54" t="n"/>
      <c r="D32" s="55" t="n"/>
      <c r="E32" s="55" t="n"/>
      <c r="F32" s="56" t="n"/>
      <c r="G32" s="57" t="n"/>
      <c r="H32" s="57" t="n"/>
      <c r="I32" s="57" t="n"/>
      <c r="J32" s="57" t="n"/>
      <c r="K32" s="58">
        <f>IF(NOT((COUNTA($B32:$J32)+COUNTA($M32))&gt;0),"",IFERROR(LOOKUP(2,1/(G32:J32&lt;&gt;""),G32:J32),0))</f>
        <v/>
      </c>
      <c r="L32" s="53">
        <f>IF(K32="","",IF(K32&gt;=1,"Completado",IF(K32&gt;0,"En curso","Pendiente")))</f>
        <v/>
      </c>
      <c r="M32" s="54" t="n"/>
      <c r="N32" s="59">
        <f>IF(NOT((COUNTA($B32:$J32)+COUNTA($M32))&gt;0),"",IF((IF(B32="","Macroactividad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","")&amp;IF(ABS(SUM($F$5:$F$1000)-1)&gt;0.0001,"Pesos del puesto suman "&amp;TEXT(SUM($F$5:$F$1000),"0%")&amp;"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 OK","⚠ "&amp;LEFT(IF(B32="","Macroactividad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","")&amp;IF(ABS(SUM($F$5:$F$1000)-1)&gt;0.0001,"Pesos del puesto suman "&amp;TEXT(SUM($F$5:$F$1000),"0%")&amp;"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",""),LEN(IF(B32="","Macroactividad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","")&amp;IF(ABS(SUM($F$5:$F$1000)-1)&gt;0.0001,"Pesos del puesto suman "&amp;TEXT(SUM($F$5:$F$1000),"0%")&amp;"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",""))-3)))</f>
        <v/>
      </c>
    </row>
    <row r="33">
      <c r="A33" s="53">
        <f>IF(NOT((COUNTA($B33:$J33)+COUNTA($M33))&gt;0),"",COUNTIF($L$5:$L33,"?*"))</f>
        <v/>
      </c>
      <c r="B33" s="54" t="n"/>
      <c r="C33" s="54" t="n"/>
      <c r="D33" s="55" t="n"/>
      <c r="E33" s="55" t="n"/>
      <c r="F33" s="56" t="n"/>
      <c r="G33" s="57" t="n"/>
      <c r="H33" s="57" t="n"/>
      <c r="I33" s="57" t="n"/>
      <c r="J33" s="57" t="n"/>
      <c r="K33" s="58">
        <f>IF(NOT((COUNTA($B33:$J33)+COUNTA($M33))&gt;0),"",IFERROR(LOOKUP(2,1/(G33:J33&lt;&gt;""),G33:J33),0))</f>
        <v/>
      </c>
      <c r="L33" s="53">
        <f>IF(K33="","",IF(K33&gt;=1,"Completado",IF(K33&gt;0,"En curso","Pendiente")))</f>
        <v/>
      </c>
      <c r="M33" s="54" t="n"/>
      <c r="N33" s="59">
        <f>IF(NOT((COUNTA($B33:$J33)+COUNTA($M33))&gt;0),"",IF((IF(B33="","Macroactividad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","")&amp;IF(ABS(SUM($F$5:$F$1000)-1)&gt;0.0001,"Pesos del puesto suman "&amp;TEXT(SUM($F$5:$F$1000),"0%")&amp;"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 OK","⚠ "&amp;LEFT(IF(B33="","Macroactividad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","")&amp;IF(ABS(SUM($F$5:$F$1000)-1)&gt;0.0001,"Pesos del puesto suman "&amp;TEXT(SUM($F$5:$F$1000),"0%")&amp;"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",""),LEN(IF(B33="","Macroactividad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","")&amp;IF(ABS(SUM($F$5:$F$1000)-1)&gt;0.0001,"Pesos del puesto suman "&amp;TEXT(SUM($F$5:$F$1000),"0%")&amp;"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",""))-3)))</f>
        <v/>
      </c>
    </row>
    <row r="34">
      <c r="A34" s="53">
        <f>IF(NOT((COUNTA($B34:$J34)+COUNTA($M34))&gt;0),"",COUNTIF($L$5:$L34,"?*"))</f>
        <v/>
      </c>
      <c r="B34" s="54" t="n"/>
      <c r="C34" s="54" t="n"/>
      <c r="D34" s="55" t="n"/>
      <c r="E34" s="55" t="n"/>
      <c r="F34" s="56" t="n"/>
      <c r="G34" s="57" t="n"/>
      <c r="H34" s="57" t="n"/>
      <c r="I34" s="57" t="n"/>
      <c r="J34" s="57" t="n"/>
      <c r="K34" s="58">
        <f>IF(NOT((COUNTA($B34:$J34)+COUNTA($M34))&gt;0),"",IFERROR(LOOKUP(2,1/(G34:J34&lt;&gt;""),G34:J34),0))</f>
        <v/>
      </c>
      <c r="L34" s="53">
        <f>IF(K34="","",IF(K34&gt;=1,"Completado",IF(K34&gt;0,"En curso","Pendiente")))</f>
        <v/>
      </c>
      <c r="M34" s="54" t="n"/>
      <c r="N34" s="59">
        <f>IF(NOT((COUNTA($B34:$J34)+COUNTA($M34))&gt;0),"",IF((IF(B34="","Macroactividad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","")&amp;IF(ABS(SUM($F$5:$F$1000)-1)&gt;0.0001,"Pesos del puesto suman "&amp;TEXT(SUM($F$5:$F$1000),"0%")&amp;"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 OK","⚠ "&amp;LEFT(IF(B34="","Macroactividad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","")&amp;IF(ABS(SUM($F$5:$F$1000)-1)&gt;0.0001,"Pesos del puesto suman "&amp;TEXT(SUM($F$5:$F$1000),"0%")&amp;"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",""),LEN(IF(B34="","Macroactividad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","")&amp;IF(ABS(SUM($F$5:$F$1000)-1)&gt;0.0001,"Pesos del puesto suman "&amp;TEXT(SUM($F$5:$F$1000),"0%")&amp;"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",""))-3)))</f>
        <v/>
      </c>
    </row>
    <row r="35">
      <c r="A35" s="53">
        <f>IF(NOT((COUNTA($B35:$J35)+COUNTA($M35))&gt;0),"",COUNTIF($L$5:$L35,"?*"))</f>
        <v/>
      </c>
      <c r="B35" s="54" t="n"/>
      <c r="C35" s="54" t="n"/>
      <c r="D35" s="55" t="n"/>
      <c r="E35" s="55" t="n"/>
      <c r="F35" s="56" t="n"/>
      <c r="G35" s="57" t="n"/>
      <c r="H35" s="57" t="n"/>
      <c r="I35" s="57" t="n"/>
      <c r="J35" s="57" t="n"/>
      <c r="K35" s="58">
        <f>IF(NOT((COUNTA($B35:$J35)+COUNTA($M35))&gt;0),"",IFERROR(LOOKUP(2,1/(G35:J35&lt;&gt;""),G35:J35),0))</f>
        <v/>
      </c>
      <c r="L35" s="53">
        <f>IF(K35="","",IF(K35&gt;=1,"Completado",IF(K35&gt;0,"En curso","Pendiente")))</f>
        <v/>
      </c>
      <c r="M35" s="54" t="n"/>
      <c r="N35" s="59">
        <f>IF(NOT((COUNTA($B35:$J35)+COUNTA($M35))&gt;0),"",IF((IF(B35="","Macroactividad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","")&amp;IF(ABS(SUM($F$5:$F$1000)-1)&gt;0.0001,"Pesos del puesto suman "&amp;TEXT(SUM($F$5:$F$1000),"0%")&amp;"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 OK","⚠ "&amp;LEFT(IF(B35="","Macroactividad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","")&amp;IF(ABS(SUM($F$5:$F$1000)-1)&gt;0.0001,"Pesos del puesto suman "&amp;TEXT(SUM($F$5:$F$1000),"0%")&amp;"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",""),LEN(IF(B35="","Macroactividad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","")&amp;IF(ABS(SUM($F$5:$F$1000)-1)&gt;0.0001,"Pesos del puesto suman "&amp;TEXT(SUM($F$5:$F$1000),"0%")&amp;"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",""))-3)))</f>
        <v/>
      </c>
    </row>
    <row r="36">
      <c r="A36" s="53">
        <f>IF(NOT((COUNTA($B36:$J36)+COUNTA($M36))&gt;0),"",COUNTIF($L$5:$L36,"?*"))</f>
        <v/>
      </c>
      <c r="B36" s="54" t="n"/>
      <c r="C36" s="54" t="n"/>
      <c r="D36" s="55" t="n"/>
      <c r="E36" s="55" t="n"/>
      <c r="F36" s="56" t="n"/>
      <c r="G36" s="57" t="n"/>
      <c r="H36" s="57" t="n"/>
      <c r="I36" s="57" t="n"/>
      <c r="J36" s="57" t="n"/>
      <c r="K36" s="58">
        <f>IF(NOT((COUNTA($B36:$J36)+COUNTA($M36))&gt;0),"",IFERROR(LOOKUP(2,1/(G36:J36&lt;&gt;""),G36:J36),0))</f>
        <v/>
      </c>
      <c r="L36" s="53">
        <f>IF(K36="","",IF(K36&gt;=1,"Completado",IF(K36&gt;0,"En curso","Pendiente")))</f>
        <v/>
      </c>
      <c r="M36" s="54" t="n"/>
      <c r="N36" s="59">
        <f>IF(NOT((COUNTA($B36:$J36)+COUNTA($M36))&gt;0),"",IF((IF(B36="","Macroactividad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","")&amp;IF(ABS(SUM($F$5:$F$1000)-1)&gt;0.0001,"Pesos del puesto suman "&amp;TEXT(SUM($F$5:$F$1000),"0%")&amp;"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 OK","⚠ "&amp;LEFT(IF(B36="","Macroactividad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","")&amp;IF(ABS(SUM($F$5:$F$1000)-1)&gt;0.0001,"Pesos del puesto suman "&amp;TEXT(SUM($F$5:$F$1000),"0%")&amp;"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",""),LEN(IF(B36="","Macroactividad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","")&amp;IF(ABS(SUM($F$5:$F$1000)-1)&gt;0.0001,"Pesos del puesto suman "&amp;TEXT(SUM($F$5:$F$1000),"0%")&amp;"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",""))-3)))</f>
        <v/>
      </c>
    </row>
    <row r="37">
      <c r="A37" s="53">
        <f>IF(NOT((COUNTA($B37:$J37)+COUNTA($M37))&gt;0),"",COUNTIF($L$5:$L37,"?*"))</f>
        <v/>
      </c>
      <c r="B37" s="54" t="n"/>
      <c r="C37" s="54" t="n"/>
      <c r="D37" s="55" t="n"/>
      <c r="E37" s="55" t="n"/>
      <c r="F37" s="56" t="n"/>
      <c r="G37" s="57" t="n"/>
      <c r="H37" s="57" t="n"/>
      <c r="I37" s="57" t="n"/>
      <c r="J37" s="57" t="n"/>
      <c r="K37" s="58">
        <f>IF(NOT((COUNTA($B37:$J37)+COUNTA($M37))&gt;0),"",IFERROR(LOOKUP(2,1/(G37:J37&lt;&gt;""),G37:J37),0))</f>
        <v/>
      </c>
      <c r="L37" s="53">
        <f>IF(K37="","",IF(K37&gt;=1,"Completado",IF(K37&gt;0,"En curso","Pendiente")))</f>
        <v/>
      </c>
      <c r="M37" s="54" t="n"/>
      <c r="N37" s="59">
        <f>IF(NOT((COUNTA($B37:$J37)+COUNTA($M37))&gt;0),"",IF((IF(B37="","Macroactividad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","")&amp;IF(ABS(SUM($F$5:$F$1000)-1)&gt;0.0001,"Pesos del puesto suman "&amp;TEXT(SUM($F$5:$F$1000),"0%")&amp;"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 OK","⚠ "&amp;LEFT(IF(B37="","Macroactividad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","")&amp;IF(ABS(SUM($F$5:$F$1000)-1)&gt;0.0001,"Pesos del puesto suman "&amp;TEXT(SUM($F$5:$F$1000),"0%")&amp;"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",""),LEN(IF(B37="","Macroactividad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","")&amp;IF(ABS(SUM($F$5:$F$1000)-1)&gt;0.0001,"Pesos del puesto suman "&amp;TEXT(SUM($F$5:$F$1000),"0%")&amp;"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",""))-3)))</f>
        <v/>
      </c>
    </row>
    <row r="38">
      <c r="A38" s="53">
        <f>IF(NOT((COUNTA($B38:$J38)+COUNTA($M38))&gt;0),"",COUNTIF($L$5:$L38,"?*"))</f>
        <v/>
      </c>
      <c r="B38" s="54" t="n"/>
      <c r="C38" s="54" t="n"/>
      <c r="D38" s="55" t="n"/>
      <c r="E38" s="55" t="n"/>
      <c r="F38" s="56" t="n"/>
      <c r="G38" s="57" t="n"/>
      <c r="H38" s="57" t="n"/>
      <c r="I38" s="57" t="n"/>
      <c r="J38" s="57" t="n"/>
      <c r="K38" s="58">
        <f>IF(NOT((COUNTA($B38:$J38)+COUNTA($M38))&gt;0),"",IFERROR(LOOKUP(2,1/(G38:J38&lt;&gt;""),G38:J38),0))</f>
        <v/>
      </c>
      <c r="L38" s="53">
        <f>IF(K38="","",IF(K38&gt;=1,"Completado",IF(K38&gt;0,"En curso","Pendiente")))</f>
        <v/>
      </c>
      <c r="M38" s="54" t="n"/>
      <c r="N38" s="59">
        <f>IF(NOT((COUNTA($B38:$J38)+COUNTA($M38))&gt;0),"",IF((IF(B38="","Macroactividad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","")&amp;IF(ABS(SUM($F$5:$F$1000)-1)&gt;0.0001,"Pesos del puesto suman "&amp;TEXT(SUM($F$5:$F$1000),"0%")&amp;"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 OK","⚠ "&amp;LEFT(IF(B38="","Macroactividad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","")&amp;IF(ABS(SUM($F$5:$F$1000)-1)&gt;0.0001,"Pesos del puesto suman "&amp;TEXT(SUM($F$5:$F$1000),"0%")&amp;"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",""),LEN(IF(B38="","Macroactividad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","")&amp;IF(ABS(SUM($F$5:$F$1000)-1)&gt;0.0001,"Pesos del puesto suman "&amp;TEXT(SUM($F$5:$F$1000),"0%")&amp;"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",""))-3)))</f>
        <v/>
      </c>
    </row>
    <row r="39">
      <c r="A39" s="53">
        <f>IF(NOT((COUNTA($B39:$J39)+COUNTA($M39))&gt;0),"",COUNTIF($L$5:$L39,"?*"))</f>
        <v/>
      </c>
      <c r="B39" s="54" t="n"/>
      <c r="C39" s="54" t="n"/>
      <c r="D39" s="55" t="n"/>
      <c r="E39" s="55" t="n"/>
      <c r="F39" s="56" t="n"/>
      <c r="G39" s="57" t="n"/>
      <c r="H39" s="57" t="n"/>
      <c r="I39" s="57" t="n"/>
      <c r="J39" s="57" t="n"/>
      <c r="K39" s="58">
        <f>IF(NOT((COUNTA($B39:$J39)+COUNTA($M39))&gt;0),"",IFERROR(LOOKUP(2,1/(G39:J39&lt;&gt;""),G39:J39),0))</f>
        <v/>
      </c>
      <c r="L39" s="53">
        <f>IF(K39="","",IF(K39&gt;=1,"Completado",IF(K39&gt;0,"En curso","Pendiente")))</f>
        <v/>
      </c>
      <c r="M39" s="54" t="n"/>
      <c r="N39" s="59">
        <f>IF(NOT((COUNTA($B39:$J39)+COUNTA($M39))&gt;0),"",IF((IF(B39="","Macroactividad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","")&amp;IF(ABS(SUM($F$5:$F$1000)-1)&gt;0.0001,"Pesos del puesto suman "&amp;TEXT(SUM($F$5:$F$1000),"0%")&amp;"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 OK","⚠ "&amp;LEFT(IF(B39="","Macroactividad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","")&amp;IF(ABS(SUM($F$5:$F$1000)-1)&gt;0.0001,"Pesos del puesto suman "&amp;TEXT(SUM($F$5:$F$1000),"0%")&amp;"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",""),LEN(IF(B39="","Macroactividad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","")&amp;IF(ABS(SUM($F$5:$F$1000)-1)&gt;0.0001,"Pesos del puesto suman "&amp;TEXT(SUM($F$5:$F$1000),"0%")&amp;"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",""))-3)))</f>
        <v/>
      </c>
    </row>
    <row r="40">
      <c r="A40" s="53">
        <f>IF(NOT((COUNTA($B40:$J40)+COUNTA($M40))&gt;0),"",COUNTIF($L$5:$L40,"?*"))</f>
        <v/>
      </c>
      <c r="B40" s="54" t="n"/>
      <c r="C40" s="54" t="n"/>
      <c r="D40" s="55" t="n"/>
      <c r="E40" s="55" t="n"/>
      <c r="F40" s="56" t="n"/>
      <c r="G40" s="57" t="n"/>
      <c r="H40" s="57" t="n"/>
      <c r="I40" s="57" t="n"/>
      <c r="J40" s="57" t="n"/>
      <c r="K40" s="58">
        <f>IF(NOT((COUNTA($B40:$J40)+COUNTA($M40))&gt;0),"",IFERROR(LOOKUP(2,1/(G40:J40&lt;&gt;""),G40:J40),0))</f>
        <v/>
      </c>
      <c r="L40" s="53">
        <f>IF(K40="","",IF(K40&gt;=1,"Completado",IF(K40&gt;0,"En curso","Pendiente")))</f>
        <v/>
      </c>
      <c r="M40" s="54" t="n"/>
      <c r="N40" s="59">
        <f>IF(NOT((COUNTA($B40:$J40)+COUNTA($M40))&gt;0),"",IF((IF(B40="","Macroactividad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","")&amp;IF(ABS(SUM($F$5:$F$1000)-1)&gt;0.0001,"Pesos del puesto suman "&amp;TEXT(SUM($F$5:$F$1000),"0%")&amp;"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 OK","⚠ "&amp;LEFT(IF(B40="","Macroactividad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","")&amp;IF(ABS(SUM($F$5:$F$1000)-1)&gt;0.0001,"Pesos del puesto suman "&amp;TEXT(SUM($F$5:$F$1000),"0%")&amp;"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",""),LEN(IF(B40="","Macroactividad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","")&amp;IF(ABS(SUM($F$5:$F$1000)-1)&gt;0.0001,"Pesos del puesto suman "&amp;TEXT(SUM($F$5:$F$1000),"0%")&amp;"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",""))-3)))</f>
        <v/>
      </c>
    </row>
    <row r="41">
      <c r="A41" s="53">
        <f>IF(NOT((COUNTA($B41:$J41)+COUNTA($M41))&gt;0),"",COUNTIF($L$5:$L41,"?*"))</f>
        <v/>
      </c>
      <c r="B41" s="54" t="n"/>
      <c r="C41" s="54" t="n"/>
      <c r="D41" s="55" t="n"/>
      <c r="E41" s="55" t="n"/>
      <c r="F41" s="56" t="n"/>
      <c r="G41" s="57" t="n"/>
      <c r="H41" s="57" t="n"/>
      <c r="I41" s="57" t="n"/>
      <c r="J41" s="57" t="n"/>
      <c r="K41" s="58">
        <f>IF(NOT((COUNTA($B41:$J41)+COUNTA($M41))&gt;0),"",IFERROR(LOOKUP(2,1/(G41:J41&lt;&gt;""),G41:J41),0))</f>
        <v/>
      </c>
      <c r="L41" s="53">
        <f>IF(K41="","",IF(K41&gt;=1,"Completado",IF(K41&gt;0,"En curso","Pendiente")))</f>
        <v/>
      </c>
      <c r="M41" s="54" t="n"/>
      <c r="N41" s="59">
        <f>IF(NOT((COUNTA($B41:$J41)+COUNTA($M41))&gt;0),"",IF((IF(B41="","Macroactividad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","")&amp;IF(ABS(SUM($F$5:$F$1000)-1)&gt;0.0001,"Pesos del puesto suman "&amp;TEXT(SUM($F$5:$F$1000),"0%")&amp;"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 OK","⚠ "&amp;LEFT(IF(B41="","Macroactividad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","")&amp;IF(ABS(SUM($F$5:$F$1000)-1)&gt;0.0001,"Pesos del puesto suman "&amp;TEXT(SUM($F$5:$F$1000),"0%")&amp;"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",""),LEN(IF(B41="","Macroactividad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","")&amp;IF(ABS(SUM($F$5:$F$1000)-1)&gt;0.0001,"Pesos del puesto suman "&amp;TEXT(SUM($F$5:$F$1000),"0%")&amp;"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",""))-3)))</f>
        <v/>
      </c>
    </row>
    <row r="42">
      <c r="A42" s="53">
        <f>IF(NOT((COUNTA($B42:$J42)+COUNTA($M42))&gt;0),"",COUNTIF($L$5:$L42,"?*"))</f>
        <v/>
      </c>
      <c r="B42" s="54" t="n"/>
      <c r="C42" s="54" t="n"/>
      <c r="D42" s="55" t="n"/>
      <c r="E42" s="55" t="n"/>
      <c r="F42" s="56" t="n"/>
      <c r="G42" s="57" t="n"/>
      <c r="H42" s="57" t="n"/>
      <c r="I42" s="57" t="n"/>
      <c r="J42" s="57" t="n"/>
      <c r="K42" s="58">
        <f>IF(NOT((COUNTA($B42:$J42)+COUNTA($M42))&gt;0),"",IFERROR(LOOKUP(2,1/(G42:J42&lt;&gt;""),G42:J42),0))</f>
        <v/>
      </c>
      <c r="L42" s="53">
        <f>IF(K42="","",IF(K42&gt;=1,"Completado",IF(K42&gt;0,"En curso","Pendiente")))</f>
        <v/>
      </c>
      <c r="M42" s="54" t="n"/>
      <c r="N42" s="59">
        <f>IF(NOT((COUNTA($B42:$J42)+COUNTA($M42))&gt;0),"",IF((IF(B42="","Macroactividad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","")&amp;IF(ABS(SUM($F$5:$F$1000)-1)&gt;0.0001,"Pesos del puesto suman "&amp;TEXT(SUM($F$5:$F$1000),"0%")&amp;"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 OK","⚠ "&amp;LEFT(IF(B42="","Macroactividad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","")&amp;IF(ABS(SUM($F$5:$F$1000)-1)&gt;0.0001,"Pesos del puesto suman "&amp;TEXT(SUM($F$5:$F$1000),"0%")&amp;"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",""),LEN(IF(B42="","Macroactividad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","")&amp;IF(ABS(SUM($F$5:$F$1000)-1)&gt;0.0001,"Pesos del puesto suman "&amp;TEXT(SUM($F$5:$F$1000),"0%")&amp;"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",""))-3)))</f>
        <v/>
      </c>
    </row>
    <row r="43">
      <c r="A43" s="53">
        <f>IF(NOT((COUNTA($B43:$J43)+COUNTA($M43))&gt;0),"",COUNTIF($L$5:$L43,"?*"))</f>
        <v/>
      </c>
      <c r="B43" s="54" t="n"/>
      <c r="C43" s="54" t="n"/>
      <c r="D43" s="55" t="n"/>
      <c r="E43" s="55" t="n"/>
      <c r="F43" s="56" t="n"/>
      <c r="G43" s="57" t="n"/>
      <c r="H43" s="57" t="n"/>
      <c r="I43" s="57" t="n"/>
      <c r="J43" s="57" t="n"/>
      <c r="K43" s="58">
        <f>IF(NOT((COUNTA($B43:$J43)+COUNTA($M43))&gt;0),"",IFERROR(LOOKUP(2,1/(G43:J43&lt;&gt;""),G43:J43),0))</f>
        <v/>
      </c>
      <c r="L43" s="53">
        <f>IF(K43="","",IF(K43&gt;=1,"Completado",IF(K43&gt;0,"En curso","Pendiente")))</f>
        <v/>
      </c>
      <c r="M43" s="54" t="n"/>
      <c r="N43" s="59">
        <f>IF(NOT((COUNTA($B43:$J43)+COUNTA($M43))&gt;0),"",IF((IF(B43="","Macroactividad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","")&amp;IF(ABS(SUM($F$5:$F$1000)-1)&gt;0.0001,"Pesos del puesto suman "&amp;TEXT(SUM($F$5:$F$1000),"0%")&amp;"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 OK","⚠ "&amp;LEFT(IF(B43="","Macroactividad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","")&amp;IF(ABS(SUM($F$5:$F$1000)-1)&gt;0.0001,"Pesos del puesto suman "&amp;TEXT(SUM($F$5:$F$1000),"0%")&amp;"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",""),LEN(IF(B43="","Macroactividad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","")&amp;IF(ABS(SUM($F$5:$F$1000)-1)&gt;0.0001,"Pesos del puesto suman "&amp;TEXT(SUM($F$5:$F$1000),"0%")&amp;"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",""))-3)))</f>
        <v/>
      </c>
    </row>
    <row r="44">
      <c r="A44" s="53">
        <f>IF(NOT((COUNTA($B44:$J44)+COUNTA($M44))&gt;0),"",COUNTIF($L$5:$L44,"?*"))</f>
        <v/>
      </c>
      <c r="B44" s="54" t="n"/>
      <c r="C44" s="54" t="n"/>
      <c r="D44" s="55" t="n"/>
      <c r="E44" s="55" t="n"/>
      <c r="F44" s="56" t="n"/>
      <c r="G44" s="57" t="n"/>
      <c r="H44" s="57" t="n"/>
      <c r="I44" s="57" t="n"/>
      <c r="J44" s="57" t="n"/>
      <c r="K44" s="58">
        <f>IF(NOT((COUNTA($B44:$J44)+COUNTA($M44))&gt;0),"",IFERROR(LOOKUP(2,1/(G44:J44&lt;&gt;""),G44:J44),0))</f>
        <v/>
      </c>
      <c r="L44" s="53">
        <f>IF(K44="","",IF(K44&gt;=1,"Completado",IF(K44&gt;0,"En curso","Pendiente")))</f>
        <v/>
      </c>
      <c r="M44" s="54" t="n"/>
      <c r="N44" s="59">
        <f>IF(NOT((COUNTA($B44:$J44)+COUNTA($M44))&gt;0),"",IF((IF(B44="","Macroactividad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","")&amp;IF(ABS(SUM($F$5:$F$1000)-1)&gt;0.0001,"Pesos del puesto suman "&amp;TEXT(SUM($F$5:$F$1000),"0%")&amp;"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 OK","⚠ "&amp;LEFT(IF(B44="","Macroactividad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","")&amp;IF(ABS(SUM($F$5:$F$1000)-1)&gt;0.0001,"Pesos del puesto suman "&amp;TEXT(SUM($F$5:$F$1000),"0%")&amp;"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",""),LEN(IF(B44="","Macroactividad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","")&amp;IF(ABS(SUM($F$5:$F$1000)-1)&gt;0.0001,"Pesos del puesto suman "&amp;TEXT(SUM($F$5:$F$1000),"0%")&amp;"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",""))-3)))</f>
        <v/>
      </c>
    </row>
    <row r="45">
      <c r="A45" s="53">
        <f>IF(NOT((COUNTA($B45:$J45)+COUNTA($M45))&gt;0),"",COUNTIF($L$5:$L45,"?*"))</f>
        <v/>
      </c>
      <c r="B45" s="54" t="n"/>
      <c r="C45" s="54" t="n"/>
      <c r="D45" s="55" t="n"/>
      <c r="E45" s="55" t="n"/>
      <c r="F45" s="56" t="n"/>
      <c r="G45" s="57" t="n"/>
      <c r="H45" s="57" t="n"/>
      <c r="I45" s="57" t="n"/>
      <c r="J45" s="57" t="n"/>
      <c r="K45" s="58">
        <f>IF(NOT((COUNTA($B45:$J45)+COUNTA($M45))&gt;0),"",IFERROR(LOOKUP(2,1/(G45:J45&lt;&gt;""),G45:J45),0))</f>
        <v/>
      </c>
      <c r="L45" s="53">
        <f>IF(K45="","",IF(K45&gt;=1,"Completado",IF(K45&gt;0,"En curso","Pendiente")))</f>
        <v/>
      </c>
      <c r="M45" s="54" t="n"/>
      <c r="N45" s="59">
        <f>IF(NOT((COUNTA($B45:$J45)+COUNTA($M45))&gt;0),"",IF((IF(B45="","Macroactividad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","")&amp;IF(ABS(SUM($F$5:$F$1000)-1)&gt;0.0001,"Pesos del puesto suman "&amp;TEXT(SUM($F$5:$F$1000),"0%")&amp;"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 OK","⚠ "&amp;LEFT(IF(B45="","Macroactividad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","")&amp;IF(ABS(SUM($F$5:$F$1000)-1)&gt;0.0001,"Pesos del puesto suman "&amp;TEXT(SUM($F$5:$F$1000),"0%")&amp;"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",""),LEN(IF(B45="","Macroactividad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","")&amp;IF(ABS(SUM($F$5:$F$1000)-1)&gt;0.0001,"Pesos del puesto suman "&amp;TEXT(SUM($F$5:$F$1000),"0%")&amp;"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",""))-3)))</f>
        <v/>
      </c>
    </row>
    <row r="46">
      <c r="A46" s="53">
        <f>IF(NOT((COUNTA($B46:$J46)+COUNTA($M46))&gt;0),"",COUNTIF($L$5:$L46,"?*"))</f>
        <v/>
      </c>
      <c r="B46" s="54" t="n"/>
      <c r="C46" s="54" t="n"/>
      <c r="D46" s="55" t="n"/>
      <c r="E46" s="55" t="n"/>
      <c r="F46" s="56" t="n"/>
      <c r="G46" s="57" t="n"/>
      <c r="H46" s="57" t="n"/>
      <c r="I46" s="57" t="n"/>
      <c r="J46" s="57" t="n"/>
      <c r="K46" s="58">
        <f>IF(NOT((COUNTA($B46:$J46)+COUNTA($M46))&gt;0),"",IFERROR(LOOKUP(2,1/(G46:J46&lt;&gt;""),G46:J46),0))</f>
        <v/>
      </c>
      <c r="L46" s="53">
        <f>IF(K46="","",IF(K46&gt;=1,"Completado",IF(K46&gt;0,"En curso","Pendiente")))</f>
        <v/>
      </c>
      <c r="M46" s="54" t="n"/>
      <c r="N46" s="59">
        <f>IF(NOT((COUNTA($B46:$J46)+COUNTA($M46))&gt;0),"",IF((IF(B46="","Macroactividad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","")&amp;IF(ABS(SUM($F$5:$F$1000)-1)&gt;0.0001,"Pesos del puesto suman "&amp;TEXT(SUM($F$5:$F$1000),"0%")&amp;"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 OK","⚠ "&amp;LEFT(IF(B46="","Macroactividad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","")&amp;IF(ABS(SUM($F$5:$F$1000)-1)&gt;0.0001,"Pesos del puesto suman "&amp;TEXT(SUM($F$5:$F$1000),"0%")&amp;"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",""),LEN(IF(B46="","Macroactividad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","")&amp;IF(ABS(SUM($F$5:$F$1000)-1)&gt;0.0001,"Pesos del puesto suman "&amp;TEXT(SUM($F$5:$F$1000),"0%")&amp;"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",""))-3)))</f>
        <v/>
      </c>
    </row>
    <row r="47">
      <c r="A47" s="53">
        <f>IF(NOT((COUNTA($B47:$J47)+COUNTA($M47))&gt;0),"",COUNTIF($L$5:$L47,"?*"))</f>
        <v/>
      </c>
      <c r="B47" s="54" t="n"/>
      <c r="C47" s="54" t="n"/>
      <c r="D47" s="55" t="n"/>
      <c r="E47" s="55" t="n"/>
      <c r="F47" s="56" t="n"/>
      <c r="G47" s="57" t="n"/>
      <c r="H47" s="57" t="n"/>
      <c r="I47" s="57" t="n"/>
      <c r="J47" s="57" t="n"/>
      <c r="K47" s="58">
        <f>IF(NOT((COUNTA($B47:$J47)+COUNTA($M47))&gt;0),"",IFERROR(LOOKUP(2,1/(G47:J47&lt;&gt;""),G47:J47),0))</f>
        <v/>
      </c>
      <c r="L47" s="53">
        <f>IF(K47="","",IF(K47&gt;=1,"Completado",IF(K47&gt;0,"En curso","Pendiente")))</f>
        <v/>
      </c>
      <c r="M47" s="54" t="n"/>
      <c r="N47" s="59">
        <f>IF(NOT((COUNTA($B47:$J47)+COUNTA($M47))&gt;0),"",IF((IF(B47="","Macroactividad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","")&amp;IF(ABS(SUM($F$5:$F$1000)-1)&gt;0.0001,"Pesos del puesto suman "&amp;TEXT(SUM($F$5:$F$1000),"0%")&amp;"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 OK","⚠ "&amp;LEFT(IF(B47="","Macroactividad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","")&amp;IF(ABS(SUM($F$5:$F$1000)-1)&gt;0.0001,"Pesos del puesto suman "&amp;TEXT(SUM($F$5:$F$1000),"0%")&amp;"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",""),LEN(IF(B47="","Macroactividad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","")&amp;IF(ABS(SUM($F$5:$F$1000)-1)&gt;0.0001,"Pesos del puesto suman "&amp;TEXT(SUM($F$5:$F$1000),"0%")&amp;"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",""))-3)))</f>
        <v/>
      </c>
    </row>
    <row r="48">
      <c r="A48" s="53">
        <f>IF(NOT((COUNTA($B48:$J48)+COUNTA($M48))&gt;0),"",COUNTIF($L$5:$L48,"?*"))</f>
        <v/>
      </c>
      <c r="B48" s="54" t="n"/>
      <c r="C48" s="54" t="n"/>
      <c r="D48" s="55" t="n"/>
      <c r="E48" s="55" t="n"/>
      <c r="F48" s="56" t="n"/>
      <c r="G48" s="57" t="n"/>
      <c r="H48" s="57" t="n"/>
      <c r="I48" s="57" t="n"/>
      <c r="J48" s="57" t="n"/>
      <c r="K48" s="58">
        <f>IF(NOT((COUNTA($B48:$J48)+COUNTA($M48))&gt;0),"",IFERROR(LOOKUP(2,1/(G48:J48&lt;&gt;""),G48:J48),0))</f>
        <v/>
      </c>
      <c r="L48" s="53">
        <f>IF(K48="","",IF(K48&gt;=1,"Completado",IF(K48&gt;0,"En curso","Pendiente")))</f>
        <v/>
      </c>
      <c r="M48" s="54" t="n"/>
      <c r="N48" s="59">
        <f>IF(NOT((COUNTA($B48:$J48)+COUNTA($M48))&gt;0),"",IF((IF(B48="","Macroactividad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","")&amp;IF(ABS(SUM($F$5:$F$1000)-1)&gt;0.0001,"Pesos del puesto suman "&amp;TEXT(SUM($F$5:$F$1000),"0%")&amp;"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 OK","⚠ "&amp;LEFT(IF(B48="","Macroactividad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","")&amp;IF(ABS(SUM($F$5:$F$1000)-1)&gt;0.0001,"Pesos del puesto suman "&amp;TEXT(SUM($F$5:$F$1000),"0%")&amp;"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",""),LEN(IF(B48="","Macroactividad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","")&amp;IF(ABS(SUM($F$5:$F$1000)-1)&gt;0.0001,"Pesos del puesto suman "&amp;TEXT(SUM($F$5:$F$1000),"0%")&amp;"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",""))-3)))</f>
        <v/>
      </c>
    </row>
    <row r="49">
      <c r="A49" s="53">
        <f>IF(NOT((COUNTA($B49:$J49)+COUNTA($M49))&gt;0),"",COUNTIF($L$5:$L49,"?*"))</f>
        <v/>
      </c>
      <c r="B49" s="54" t="n"/>
      <c r="C49" s="54" t="n"/>
      <c r="D49" s="55" t="n"/>
      <c r="E49" s="55" t="n"/>
      <c r="F49" s="56" t="n"/>
      <c r="G49" s="57" t="n"/>
      <c r="H49" s="57" t="n"/>
      <c r="I49" s="57" t="n"/>
      <c r="J49" s="57" t="n"/>
      <c r="K49" s="58">
        <f>IF(NOT((COUNTA($B49:$J49)+COUNTA($M49))&gt;0),"",IFERROR(LOOKUP(2,1/(G49:J49&lt;&gt;""),G49:J49),0))</f>
        <v/>
      </c>
      <c r="L49" s="53">
        <f>IF(K49="","",IF(K49&gt;=1,"Completado",IF(K49&gt;0,"En curso","Pendiente")))</f>
        <v/>
      </c>
      <c r="M49" s="54" t="n"/>
      <c r="N49" s="59">
        <f>IF(NOT((COUNTA($B49:$J49)+COUNTA($M49))&gt;0),"",IF((IF(B49="","Macroactividad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","")&amp;IF(ABS(SUM($F$5:$F$1000)-1)&gt;0.0001,"Pesos del puesto suman "&amp;TEXT(SUM($F$5:$F$1000),"0%")&amp;"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 OK","⚠ "&amp;LEFT(IF(B49="","Macroactividad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","")&amp;IF(ABS(SUM($F$5:$F$1000)-1)&gt;0.0001,"Pesos del puesto suman "&amp;TEXT(SUM($F$5:$F$1000),"0%")&amp;"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",""),LEN(IF(B49="","Macroactividad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","")&amp;IF(ABS(SUM($F$5:$F$1000)-1)&gt;0.0001,"Pesos del puesto suman "&amp;TEXT(SUM($F$5:$F$1000),"0%")&amp;"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",""))-3)))</f>
        <v/>
      </c>
    </row>
    <row r="50">
      <c r="A50" s="53">
        <f>IF(NOT((COUNTA($B50:$J50)+COUNTA($M50))&gt;0),"",COUNTIF($L$5:$L50,"?*"))</f>
        <v/>
      </c>
      <c r="B50" s="54" t="n"/>
      <c r="C50" s="54" t="n"/>
      <c r="D50" s="55" t="n"/>
      <c r="E50" s="55" t="n"/>
      <c r="F50" s="56" t="n"/>
      <c r="G50" s="57" t="n"/>
      <c r="H50" s="57" t="n"/>
      <c r="I50" s="57" t="n"/>
      <c r="J50" s="57" t="n"/>
      <c r="K50" s="58">
        <f>IF(NOT((COUNTA($B50:$J50)+COUNTA($M50))&gt;0),"",IFERROR(LOOKUP(2,1/(G50:J50&lt;&gt;""),G50:J50),0))</f>
        <v/>
      </c>
      <c r="L50" s="53">
        <f>IF(K50="","",IF(K50&gt;=1,"Completado",IF(K50&gt;0,"En curso","Pendiente")))</f>
        <v/>
      </c>
      <c r="M50" s="54" t="n"/>
      <c r="N50" s="59">
        <f>IF(NOT((COUNTA($B50:$J50)+COUNTA($M50))&gt;0),"",IF((IF(B50="","Macroactividad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","")&amp;IF(ABS(SUM($F$5:$F$1000)-1)&gt;0.0001,"Pesos del puesto suman "&amp;TEXT(SUM($F$5:$F$1000),"0%")&amp;"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 OK","⚠ "&amp;LEFT(IF(B50="","Macroactividad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","")&amp;IF(ABS(SUM($F$5:$F$1000)-1)&gt;0.0001,"Pesos del puesto suman "&amp;TEXT(SUM($F$5:$F$1000),"0%")&amp;"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",""),LEN(IF(B50="","Macroactividad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","")&amp;IF(ABS(SUM($F$5:$F$1000)-1)&gt;0.0001,"Pesos del puesto suman "&amp;TEXT(SUM($F$5:$F$1000),"0%")&amp;"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",""))-3)))</f>
        <v/>
      </c>
    </row>
    <row r="51">
      <c r="A51" s="53">
        <f>IF(NOT((COUNTA($B51:$J51)+COUNTA($M51))&gt;0),"",COUNTIF($L$5:$L51,"?*"))</f>
        <v/>
      </c>
      <c r="B51" s="54" t="n"/>
      <c r="C51" s="54" t="n"/>
      <c r="D51" s="55" t="n"/>
      <c r="E51" s="55" t="n"/>
      <c r="F51" s="56" t="n"/>
      <c r="G51" s="57" t="n"/>
      <c r="H51" s="57" t="n"/>
      <c r="I51" s="57" t="n"/>
      <c r="J51" s="57" t="n"/>
      <c r="K51" s="58">
        <f>IF(NOT((COUNTA($B51:$J51)+COUNTA($M51))&gt;0),"",IFERROR(LOOKUP(2,1/(G51:J51&lt;&gt;""),G51:J51),0))</f>
        <v/>
      </c>
      <c r="L51" s="53">
        <f>IF(K51="","",IF(K51&gt;=1,"Completado",IF(K51&gt;0,"En curso","Pendiente")))</f>
        <v/>
      </c>
      <c r="M51" s="54" t="n"/>
      <c r="N51" s="59">
        <f>IF(NOT((COUNTA($B51:$J51)+COUNTA($M51))&gt;0),"",IF((IF(B51="","Macroactividad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","")&amp;IF(ABS(SUM($F$5:$F$1000)-1)&gt;0.0001,"Pesos del puesto suman "&amp;TEXT(SUM($F$5:$F$1000),"0%")&amp;"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 OK","⚠ "&amp;LEFT(IF(B51="","Macroactividad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","")&amp;IF(ABS(SUM($F$5:$F$1000)-1)&gt;0.0001,"Pesos del puesto suman "&amp;TEXT(SUM($F$5:$F$1000),"0%")&amp;"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",""),LEN(IF(B51="","Macroactividad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","")&amp;IF(ABS(SUM($F$5:$F$1000)-1)&gt;0.0001,"Pesos del puesto suman "&amp;TEXT(SUM($F$5:$F$1000),"0%")&amp;"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",""))-3)))</f>
        <v/>
      </c>
    </row>
    <row r="52">
      <c r="A52" s="53">
        <f>IF(NOT((COUNTA($B52:$J52)+COUNTA($M52))&gt;0),"",COUNTIF($L$5:$L52,"?*"))</f>
        <v/>
      </c>
      <c r="B52" s="54" t="n"/>
      <c r="C52" s="54" t="n"/>
      <c r="D52" s="55" t="n"/>
      <c r="E52" s="55" t="n"/>
      <c r="F52" s="56" t="n"/>
      <c r="G52" s="57" t="n"/>
      <c r="H52" s="57" t="n"/>
      <c r="I52" s="57" t="n"/>
      <c r="J52" s="57" t="n"/>
      <c r="K52" s="58">
        <f>IF(NOT((COUNTA($B52:$J52)+COUNTA($M52))&gt;0),"",IFERROR(LOOKUP(2,1/(G52:J52&lt;&gt;""),G52:J52),0))</f>
        <v/>
      </c>
      <c r="L52" s="53">
        <f>IF(K52="","",IF(K52&gt;=1,"Completado",IF(K52&gt;0,"En curso","Pendiente")))</f>
        <v/>
      </c>
      <c r="M52" s="54" t="n"/>
      <c r="N52" s="59">
        <f>IF(NOT((COUNTA($B52:$J52)+COUNTA($M52))&gt;0),"",IF((IF(B52="","Macroactividad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","")&amp;IF(ABS(SUM($F$5:$F$1000)-1)&gt;0.0001,"Pesos del puesto suman "&amp;TEXT(SUM($F$5:$F$1000),"0%")&amp;"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 OK","⚠ "&amp;LEFT(IF(B52="","Macroactividad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","")&amp;IF(ABS(SUM($F$5:$F$1000)-1)&gt;0.0001,"Pesos del puesto suman "&amp;TEXT(SUM($F$5:$F$1000),"0%")&amp;"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",""),LEN(IF(B52="","Macroactividad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","")&amp;IF(ABS(SUM($F$5:$F$1000)-1)&gt;0.0001,"Pesos del puesto suman "&amp;TEXT(SUM($F$5:$F$1000),"0%")&amp;"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",""))-3)))</f>
        <v/>
      </c>
    </row>
    <row r="53">
      <c r="A53" s="53">
        <f>IF(NOT((COUNTA($B53:$J53)+COUNTA($M53))&gt;0),"",COUNTIF($L$5:$L53,"?*"))</f>
        <v/>
      </c>
      <c r="B53" s="54" t="n"/>
      <c r="C53" s="54" t="n"/>
      <c r="D53" s="55" t="n"/>
      <c r="E53" s="55" t="n"/>
      <c r="F53" s="56" t="n"/>
      <c r="G53" s="57" t="n"/>
      <c r="H53" s="57" t="n"/>
      <c r="I53" s="57" t="n"/>
      <c r="J53" s="57" t="n"/>
      <c r="K53" s="58">
        <f>IF(NOT((COUNTA($B53:$J53)+COUNTA($M53))&gt;0),"",IFERROR(LOOKUP(2,1/(G53:J53&lt;&gt;""),G53:J53),0))</f>
        <v/>
      </c>
      <c r="L53" s="53">
        <f>IF(K53="","",IF(K53&gt;=1,"Completado",IF(K53&gt;0,"En curso","Pendiente")))</f>
        <v/>
      </c>
      <c r="M53" s="54" t="n"/>
      <c r="N53" s="59">
        <f>IF(NOT((COUNTA($B53:$J53)+COUNTA($M53))&gt;0),"",IF((IF(B53="","Macroactividad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","")&amp;IF(ABS(SUM($F$5:$F$1000)-1)&gt;0.0001,"Pesos del puesto suman "&amp;TEXT(SUM($F$5:$F$1000),"0%")&amp;"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 OK","⚠ "&amp;LEFT(IF(B53="","Macroactividad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","")&amp;IF(ABS(SUM($F$5:$F$1000)-1)&gt;0.0001,"Pesos del puesto suman "&amp;TEXT(SUM($F$5:$F$1000),"0%")&amp;"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",""),LEN(IF(B53="","Macroactividad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","")&amp;IF(ABS(SUM($F$5:$F$1000)-1)&gt;0.0001,"Pesos del puesto suman "&amp;TEXT(SUM($F$5:$F$1000),"0%")&amp;"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",""))-3)))</f>
        <v/>
      </c>
    </row>
    <row r="54">
      <c r="A54" s="53">
        <f>IF(NOT((COUNTA($B54:$J54)+COUNTA($M54))&gt;0),"",COUNTIF($L$5:$L54,"?*"))</f>
        <v/>
      </c>
      <c r="B54" s="54" t="n"/>
      <c r="C54" s="54" t="n"/>
      <c r="D54" s="55" t="n"/>
      <c r="E54" s="55" t="n"/>
      <c r="F54" s="56" t="n"/>
      <c r="G54" s="57" t="n"/>
      <c r="H54" s="57" t="n"/>
      <c r="I54" s="57" t="n"/>
      <c r="J54" s="57" t="n"/>
      <c r="K54" s="58">
        <f>IF(NOT((COUNTA($B54:$J54)+COUNTA($M54))&gt;0),"",IFERROR(LOOKUP(2,1/(G54:J54&lt;&gt;""),G54:J54),0))</f>
        <v/>
      </c>
      <c r="L54" s="53">
        <f>IF(K54="","",IF(K54&gt;=1,"Completado",IF(K54&gt;0,"En curso","Pendiente")))</f>
        <v/>
      </c>
      <c r="M54" s="54" t="n"/>
      <c r="N54" s="59">
        <f>IF(NOT((COUNTA($B54:$J54)+COUNTA($M54))&gt;0),"",IF((IF(B54="","Macroactividad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","")&amp;IF(ABS(SUM($F$5:$F$1000)-1)&gt;0.0001,"Pesos del puesto suman "&amp;TEXT(SUM($F$5:$F$1000),"0%")&amp;"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 OK","⚠ "&amp;LEFT(IF(B54="","Macroactividad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","")&amp;IF(ABS(SUM($F$5:$F$1000)-1)&gt;0.0001,"Pesos del puesto suman "&amp;TEXT(SUM($F$5:$F$1000),"0%")&amp;"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",""),LEN(IF(B54="","Macroactividad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","")&amp;IF(ABS(SUM($F$5:$F$1000)-1)&gt;0.0001,"Pesos del puesto suman "&amp;TEXT(SUM($F$5:$F$1000),"0%")&amp;"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",""))-3)))</f>
        <v/>
      </c>
    </row>
    <row r="55">
      <c r="A55" s="53">
        <f>IF(NOT((COUNTA($B55:$J55)+COUNTA($M55))&gt;0),"",COUNTIF($L$5:$L55,"?*"))</f>
        <v/>
      </c>
      <c r="B55" s="54" t="n"/>
      <c r="C55" s="54" t="n"/>
      <c r="D55" s="55" t="n"/>
      <c r="E55" s="55" t="n"/>
      <c r="F55" s="56" t="n"/>
      <c r="G55" s="57" t="n"/>
      <c r="H55" s="57" t="n"/>
      <c r="I55" s="57" t="n"/>
      <c r="J55" s="57" t="n"/>
      <c r="K55" s="58">
        <f>IF(NOT((COUNTA($B55:$J55)+COUNTA($M55))&gt;0),"",IFERROR(LOOKUP(2,1/(G55:J55&lt;&gt;""),G55:J55),0))</f>
        <v/>
      </c>
      <c r="L55" s="53">
        <f>IF(K55="","",IF(K55&gt;=1,"Completado",IF(K55&gt;0,"En curso","Pendiente")))</f>
        <v/>
      </c>
      <c r="M55" s="54" t="n"/>
      <c r="N55" s="59">
        <f>IF(NOT((COUNTA($B55:$J55)+COUNTA($M55))&gt;0),"",IF((IF(B55="","Macroactividad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","")&amp;IF(ABS(SUM($F$5:$F$1000)-1)&gt;0.0001,"Pesos del puesto suman "&amp;TEXT(SUM($F$5:$F$1000),"0%")&amp;"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 OK","⚠ "&amp;LEFT(IF(B55="","Macroactividad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","")&amp;IF(ABS(SUM($F$5:$F$1000)-1)&gt;0.0001,"Pesos del puesto suman "&amp;TEXT(SUM($F$5:$F$1000),"0%")&amp;"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",""),LEN(IF(B55="","Macroactividad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","")&amp;IF(ABS(SUM($F$5:$F$1000)-1)&gt;0.0001,"Pesos del puesto suman "&amp;TEXT(SUM($F$5:$F$1000),"0%")&amp;"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",""))-3)))</f>
        <v/>
      </c>
    </row>
    <row r="56">
      <c r="A56" s="53">
        <f>IF(NOT((COUNTA($B56:$J56)+COUNTA($M56))&gt;0),"",COUNTIF($L$5:$L56,"?*"))</f>
        <v/>
      </c>
      <c r="B56" s="54" t="n"/>
      <c r="C56" s="54" t="n"/>
      <c r="D56" s="55" t="n"/>
      <c r="E56" s="55" t="n"/>
      <c r="F56" s="56" t="n"/>
      <c r="G56" s="57" t="n"/>
      <c r="H56" s="57" t="n"/>
      <c r="I56" s="57" t="n"/>
      <c r="J56" s="57" t="n"/>
      <c r="K56" s="58">
        <f>IF(NOT((COUNTA($B56:$J56)+COUNTA($M56))&gt;0),"",IFERROR(LOOKUP(2,1/(G56:J56&lt;&gt;""),G56:J56),0))</f>
        <v/>
      </c>
      <c r="L56" s="53">
        <f>IF(K56="","",IF(K56&gt;=1,"Completado",IF(K56&gt;0,"En curso","Pendiente")))</f>
        <v/>
      </c>
      <c r="M56" s="54" t="n"/>
      <c r="N56" s="59">
        <f>IF(NOT((COUNTA($B56:$J56)+COUNTA($M56))&gt;0),"",IF((IF(B56="","Macroactividad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","")&amp;IF(ABS(SUM($F$5:$F$1000)-1)&gt;0.0001,"Pesos del puesto suman "&amp;TEXT(SUM($F$5:$F$1000),"0%")&amp;"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 OK","⚠ "&amp;LEFT(IF(B56="","Macroactividad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","")&amp;IF(ABS(SUM($F$5:$F$1000)-1)&gt;0.0001,"Pesos del puesto suman "&amp;TEXT(SUM($F$5:$F$1000),"0%")&amp;"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",""),LEN(IF(B56="","Macroactividad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","")&amp;IF(ABS(SUM($F$5:$F$1000)-1)&gt;0.0001,"Pesos del puesto suman "&amp;TEXT(SUM($F$5:$F$1000),"0%")&amp;"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",""))-3)))</f>
        <v/>
      </c>
    </row>
    <row r="57">
      <c r="A57" s="53">
        <f>IF(NOT((COUNTA($B57:$J57)+COUNTA($M57))&gt;0),"",COUNTIF($L$5:$L57,"?*"))</f>
        <v/>
      </c>
      <c r="B57" s="54" t="n"/>
      <c r="C57" s="54" t="n"/>
      <c r="D57" s="55" t="n"/>
      <c r="E57" s="55" t="n"/>
      <c r="F57" s="56" t="n"/>
      <c r="G57" s="57" t="n"/>
      <c r="H57" s="57" t="n"/>
      <c r="I57" s="57" t="n"/>
      <c r="J57" s="57" t="n"/>
      <c r="K57" s="58">
        <f>IF(NOT((COUNTA($B57:$J57)+COUNTA($M57))&gt;0),"",IFERROR(LOOKUP(2,1/(G57:J57&lt;&gt;""),G57:J57),0))</f>
        <v/>
      </c>
      <c r="L57" s="53">
        <f>IF(K57="","",IF(K57&gt;=1,"Completado",IF(K57&gt;0,"En curso","Pendiente")))</f>
        <v/>
      </c>
      <c r="M57" s="54" t="n"/>
      <c r="N57" s="59">
        <f>IF(NOT((COUNTA($B57:$J57)+COUNTA($M57))&gt;0),"",IF((IF(B57="","Macroactividad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","")&amp;IF(ABS(SUM($F$5:$F$1000)-1)&gt;0.0001,"Pesos del puesto suman "&amp;TEXT(SUM($F$5:$F$1000),"0%")&amp;"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 OK","⚠ "&amp;LEFT(IF(B57="","Macroactividad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","")&amp;IF(ABS(SUM($F$5:$F$1000)-1)&gt;0.0001,"Pesos del puesto suman "&amp;TEXT(SUM($F$5:$F$1000),"0%")&amp;"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",""),LEN(IF(B57="","Macroactividad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","")&amp;IF(ABS(SUM($F$5:$F$1000)-1)&gt;0.0001,"Pesos del puesto suman "&amp;TEXT(SUM($F$5:$F$1000),"0%")&amp;"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",""))-3)))</f>
        <v/>
      </c>
    </row>
    <row r="58">
      <c r="A58" s="53">
        <f>IF(NOT((COUNTA($B58:$J58)+COUNTA($M58))&gt;0),"",COUNTIF($L$5:$L58,"?*"))</f>
        <v/>
      </c>
      <c r="B58" s="54" t="n"/>
      <c r="C58" s="54" t="n"/>
      <c r="D58" s="55" t="n"/>
      <c r="E58" s="55" t="n"/>
      <c r="F58" s="56" t="n"/>
      <c r="G58" s="57" t="n"/>
      <c r="H58" s="57" t="n"/>
      <c r="I58" s="57" t="n"/>
      <c r="J58" s="57" t="n"/>
      <c r="K58" s="58">
        <f>IF(NOT((COUNTA($B58:$J58)+COUNTA($M58))&gt;0),"",IFERROR(LOOKUP(2,1/(G58:J58&lt;&gt;""),G58:J58),0))</f>
        <v/>
      </c>
      <c r="L58" s="53">
        <f>IF(K58="","",IF(K58&gt;=1,"Completado",IF(K58&gt;0,"En curso","Pendiente")))</f>
        <v/>
      </c>
      <c r="M58" s="54" t="n"/>
      <c r="N58" s="59">
        <f>IF(NOT((COUNTA($B58:$J58)+COUNTA($M58))&gt;0),"",IF((IF(B58="","Macroactividad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","")&amp;IF(ABS(SUM($F$5:$F$1000)-1)&gt;0.0001,"Pesos del puesto suman "&amp;TEXT(SUM($F$5:$F$1000),"0%")&amp;"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 OK","⚠ "&amp;LEFT(IF(B58="","Macroactividad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","")&amp;IF(ABS(SUM($F$5:$F$1000)-1)&gt;0.0001,"Pesos del puesto suman "&amp;TEXT(SUM($F$5:$F$1000),"0%")&amp;"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",""),LEN(IF(B58="","Macroactividad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","")&amp;IF(ABS(SUM($F$5:$F$1000)-1)&gt;0.0001,"Pesos del puesto suman "&amp;TEXT(SUM($F$5:$F$1000),"0%")&amp;"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",""))-3)))</f>
        <v/>
      </c>
    </row>
    <row r="59">
      <c r="A59" s="53">
        <f>IF(NOT((COUNTA($B59:$J59)+COUNTA($M59))&gt;0),"",COUNTIF($L$5:$L59,"?*"))</f>
        <v/>
      </c>
      <c r="B59" s="54" t="n"/>
      <c r="C59" s="54" t="n"/>
      <c r="D59" s="55" t="n"/>
      <c r="E59" s="55" t="n"/>
      <c r="F59" s="56" t="n"/>
      <c r="G59" s="57" t="n"/>
      <c r="H59" s="57" t="n"/>
      <c r="I59" s="57" t="n"/>
      <c r="J59" s="57" t="n"/>
      <c r="K59" s="58">
        <f>IF(NOT((COUNTA($B59:$J59)+COUNTA($M59))&gt;0),"",IFERROR(LOOKUP(2,1/(G59:J59&lt;&gt;""),G59:J59),0))</f>
        <v/>
      </c>
      <c r="L59" s="53">
        <f>IF(K59="","",IF(K59&gt;=1,"Completado",IF(K59&gt;0,"En curso","Pendiente")))</f>
        <v/>
      </c>
      <c r="M59" s="54" t="n"/>
      <c r="N59" s="59">
        <f>IF(NOT((COUNTA($B59:$J59)+COUNTA($M59))&gt;0),"",IF((IF(B59="","Macroactividad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","")&amp;IF(ABS(SUM($F$5:$F$1000)-1)&gt;0.0001,"Pesos del puesto suman "&amp;TEXT(SUM($F$5:$F$1000),"0%")&amp;"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 OK","⚠ "&amp;LEFT(IF(B59="","Macroactividad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","")&amp;IF(ABS(SUM($F$5:$F$1000)-1)&gt;0.0001,"Pesos del puesto suman "&amp;TEXT(SUM($F$5:$F$1000),"0%")&amp;"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",""),LEN(IF(B59="","Macroactividad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","")&amp;IF(ABS(SUM($F$5:$F$1000)-1)&gt;0.0001,"Pesos del puesto suman "&amp;TEXT(SUM($F$5:$F$1000),"0%")&amp;"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",""))-3)))</f>
        <v/>
      </c>
    </row>
    <row r="60">
      <c r="A60" s="53">
        <f>IF(NOT((COUNTA($B60:$J60)+COUNTA($M60))&gt;0),"",COUNTIF($L$5:$L60,"?*"))</f>
        <v/>
      </c>
      <c r="B60" s="54" t="n"/>
      <c r="C60" s="54" t="n"/>
      <c r="D60" s="55" t="n"/>
      <c r="E60" s="55" t="n"/>
      <c r="F60" s="56" t="n"/>
      <c r="G60" s="57" t="n"/>
      <c r="H60" s="57" t="n"/>
      <c r="I60" s="57" t="n"/>
      <c r="J60" s="57" t="n"/>
      <c r="K60" s="58">
        <f>IF(NOT((COUNTA($B60:$J60)+COUNTA($M60))&gt;0),"",IFERROR(LOOKUP(2,1/(G60:J60&lt;&gt;""),G60:J60),0))</f>
        <v/>
      </c>
      <c r="L60" s="53">
        <f>IF(K60="","",IF(K60&gt;=1,"Completado",IF(K60&gt;0,"En curso","Pendiente")))</f>
        <v/>
      </c>
      <c r="M60" s="54" t="n"/>
      <c r="N60" s="59">
        <f>IF(NOT((COUNTA($B60:$J60)+COUNTA($M60))&gt;0),"",IF((IF(B60="","Macroactividad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","")&amp;IF(ABS(SUM($F$5:$F$1000)-1)&gt;0.0001,"Pesos del puesto suman "&amp;TEXT(SUM($F$5:$F$1000),"0%")&amp;"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 OK","⚠ "&amp;LEFT(IF(B60="","Macroactividad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","")&amp;IF(ABS(SUM($F$5:$F$1000)-1)&gt;0.0001,"Pesos del puesto suman "&amp;TEXT(SUM($F$5:$F$1000),"0%")&amp;"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",""),LEN(IF(B60="","Macroactividad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","")&amp;IF(ABS(SUM($F$5:$F$1000)-1)&gt;0.0001,"Pesos del puesto suman "&amp;TEXT(SUM($F$5:$F$1000),"0%")&amp;"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",""))-3)))</f>
        <v/>
      </c>
    </row>
    <row r="61">
      <c r="A61" s="53">
        <f>IF(NOT((COUNTA($B61:$J61)+COUNTA($M61))&gt;0),"",COUNTIF($L$5:$L61,"?*"))</f>
        <v/>
      </c>
      <c r="B61" s="54" t="n"/>
      <c r="C61" s="54" t="n"/>
      <c r="D61" s="55" t="n"/>
      <c r="E61" s="55" t="n"/>
      <c r="F61" s="56" t="n"/>
      <c r="G61" s="57" t="n"/>
      <c r="H61" s="57" t="n"/>
      <c r="I61" s="57" t="n"/>
      <c r="J61" s="57" t="n"/>
      <c r="K61" s="58">
        <f>IF(NOT((COUNTA($B61:$J61)+COUNTA($M61))&gt;0),"",IFERROR(LOOKUP(2,1/(G61:J61&lt;&gt;""),G61:J61),0))</f>
        <v/>
      </c>
      <c r="L61" s="53">
        <f>IF(K61="","",IF(K61&gt;=1,"Completado",IF(K61&gt;0,"En curso","Pendiente")))</f>
        <v/>
      </c>
      <c r="M61" s="54" t="n"/>
      <c r="N61" s="59">
        <f>IF(NOT((COUNTA($B61:$J61)+COUNTA($M61))&gt;0),"",IF((IF(B61="","Macroactividad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","")&amp;IF(ABS(SUM($F$5:$F$1000)-1)&gt;0.0001,"Pesos del puesto suman "&amp;TEXT(SUM($F$5:$F$1000),"0%")&amp;"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 OK","⚠ "&amp;LEFT(IF(B61="","Macroactividad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","")&amp;IF(ABS(SUM($F$5:$F$1000)-1)&gt;0.0001,"Pesos del puesto suman "&amp;TEXT(SUM($F$5:$F$1000),"0%")&amp;"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",""),LEN(IF(B61="","Macroactividad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","")&amp;IF(ABS(SUM($F$5:$F$1000)-1)&gt;0.0001,"Pesos del puesto suman "&amp;TEXT(SUM($F$5:$F$1000),"0%")&amp;"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",""))-3)))</f>
        <v/>
      </c>
    </row>
    <row r="62">
      <c r="A62" s="53">
        <f>IF(NOT((COUNTA($B62:$J62)+COUNTA($M62))&gt;0),"",COUNTIF($L$5:$L62,"?*"))</f>
        <v/>
      </c>
      <c r="B62" s="54" t="n"/>
      <c r="C62" s="54" t="n"/>
      <c r="D62" s="55" t="n"/>
      <c r="E62" s="55" t="n"/>
      <c r="F62" s="56" t="n"/>
      <c r="G62" s="57" t="n"/>
      <c r="H62" s="57" t="n"/>
      <c r="I62" s="57" t="n"/>
      <c r="J62" s="57" t="n"/>
      <c r="K62" s="58">
        <f>IF(NOT((COUNTA($B62:$J62)+COUNTA($M62))&gt;0),"",IFERROR(LOOKUP(2,1/(G62:J62&lt;&gt;""),G62:J62),0))</f>
        <v/>
      </c>
      <c r="L62" s="53">
        <f>IF(K62="","",IF(K62&gt;=1,"Completado",IF(K62&gt;0,"En curso","Pendiente")))</f>
        <v/>
      </c>
      <c r="M62" s="54" t="n"/>
      <c r="N62" s="59">
        <f>IF(NOT((COUNTA($B62:$J62)+COUNTA($M62))&gt;0),"",IF((IF(B62="","Macroactividad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","")&amp;IF(ABS(SUM($F$5:$F$1000)-1)&gt;0.0001,"Pesos del puesto suman "&amp;TEXT(SUM($F$5:$F$1000),"0%")&amp;"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 OK","⚠ "&amp;LEFT(IF(B62="","Macroactividad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","")&amp;IF(ABS(SUM($F$5:$F$1000)-1)&gt;0.0001,"Pesos del puesto suman "&amp;TEXT(SUM($F$5:$F$1000),"0%")&amp;"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",""),LEN(IF(B62="","Macroactividad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","")&amp;IF(ABS(SUM($F$5:$F$1000)-1)&gt;0.0001,"Pesos del puesto suman "&amp;TEXT(SUM($F$5:$F$1000),"0%")&amp;"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",""))-3)))</f>
        <v/>
      </c>
    </row>
    <row r="63">
      <c r="A63" s="53">
        <f>IF(NOT((COUNTA($B63:$J63)+COUNTA($M63))&gt;0),"",COUNTIF($L$5:$L63,"?*"))</f>
        <v/>
      </c>
      <c r="B63" s="54" t="n"/>
      <c r="C63" s="54" t="n"/>
      <c r="D63" s="55" t="n"/>
      <c r="E63" s="55" t="n"/>
      <c r="F63" s="56" t="n"/>
      <c r="G63" s="57" t="n"/>
      <c r="H63" s="57" t="n"/>
      <c r="I63" s="57" t="n"/>
      <c r="J63" s="57" t="n"/>
      <c r="K63" s="58">
        <f>IF(NOT((COUNTA($B63:$J63)+COUNTA($M63))&gt;0),"",IFERROR(LOOKUP(2,1/(G63:J63&lt;&gt;""),G63:J63),0))</f>
        <v/>
      </c>
      <c r="L63" s="53">
        <f>IF(K63="","",IF(K63&gt;=1,"Completado",IF(K63&gt;0,"En curso","Pendiente")))</f>
        <v/>
      </c>
      <c r="M63" s="54" t="n"/>
      <c r="N63" s="59">
        <f>IF(NOT((COUNTA($B63:$J63)+COUNTA($M63))&gt;0),"",IF((IF(B63="","Macroactividad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","")&amp;IF(ABS(SUM($F$5:$F$1000)-1)&gt;0.0001,"Pesos del puesto suman "&amp;TEXT(SUM($F$5:$F$1000),"0%")&amp;"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 OK","⚠ "&amp;LEFT(IF(B63="","Macroactividad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","")&amp;IF(ABS(SUM($F$5:$F$1000)-1)&gt;0.0001,"Pesos del puesto suman "&amp;TEXT(SUM($F$5:$F$1000),"0%")&amp;"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",""),LEN(IF(B63="","Macroactividad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","")&amp;IF(ABS(SUM($F$5:$F$1000)-1)&gt;0.0001,"Pesos del puesto suman "&amp;TEXT(SUM($F$5:$F$1000),"0%")&amp;"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",""))-3)))</f>
        <v/>
      </c>
    </row>
    <row r="64">
      <c r="A64" s="53">
        <f>IF(NOT((COUNTA($B64:$J64)+COUNTA($M64))&gt;0),"",COUNTIF($L$5:$L64,"?*"))</f>
        <v/>
      </c>
      <c r="B64" s="54" t="n"/>
      <c r="C64" s="54" t="n"/>
      <c r="D64" s="55" t="n"/>
      <c r="E64" s="55" t="n"/>
      <c r="F64" s="56" t="n"/>
      <c r="G64" s="57" t="n"/>
      <c r="H64" s="57" t="n"/>
      <c r="I64" s="57" t="n"/>
      <c r="J64" s="57" t="n"/>
      <c r="K64" s="58">
        <f>IF(NOT((COUNTA($B64:$J64)+COUNTA($M64))&gt;0),"",IFERROR(LOOKUP(2,1/(G64:J64&lt;&gt;""),G64:J64),0))</f>
        <v/>
      </c>
      <c r="L64" s="53">
        <f>IF(K64="","",IF(K64&gt;=1,"Completado",IF(K64&gt;0,"En curso","Pendiente")))</f>
        <v/>
      </c>
      <c r="M64" s="54" t="n"/>
      <c r="N64" s="59">
        <f>IF(NOT((COUNTA($B64:$J64)+COUNTA($M64))&gt;0),"",IF((IF(B64="","Macroactividad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","")&amp;IF(ABS(SUM($F$5:$F$1000)-1)&gt;0.0001,"Pesos del puesto suman "&amp;TEXT(SUM($F$5:$F$1000),"0%")&amp;"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 OK","⚠ "&amp;LEFT(IF(B64="","Macroactividad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","")&amp;IF(ABS(SUM($F$5:$F$1000)-1)&gt;0.0001,"Pesos del puesto suman "&amp;TEXT(SUM($F$5:$F$1000),"0%")&amp;"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",""),LEN(IF(B64="","Macroactividad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","")&amp;IF(ABS(SUM($F$5:$F$1000)-1)&gt;0.0001,"Pesos del puesto suman "&amp;TEXT(SUM($F$5:$F$1000),"0%")&amp;"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",""))-3)))</f>
        <v/>
      </c>
    </row>
    <row r="65">
      <c r="A65" s="53">
        <f>IF(NOT((COUNTA($B65:$J65)+COUNTA($M65))&gt;0),"",COUNTIF($L$5:$L65,"?*"))</f>
        <v/>
      </c>
      <c r="B65" s="54" t="n"/>
      <c r="C65" s="54" t="n"/>
      <c r="D65" s="55" t="n"/>
      <c r="E65" s="55" t="n"/>
      <c r="F65" s="56" t="n"/>
      <c r="G65" s="57" t="n"/>
      <c r="H65" s="57" t="n"/>
      <c r="I65" s="57" t="n"/>
      <c r="J65" s="57" t="n"/>
      <c r="K65" s="58">
        <f>IF(NOT((COUNTA($B65:$J65)+COUNTA($M65))&gt;0),"",IFERROR(LOOKUP(2,1/(G65:J65&lt;&gt;""),G65:J65),0))</f>
        <v/>
      </c>
      <c r="L65" s="53">
        <f>IF(K65="","",IF(K65&gt;=1,"Completado",IF(K65&gt;0,"En curso","Pendiente")))</f>
        <v/>
      </c>
      <c r="M65" s="54" t="n"/>
      <c r="N65" s="59">
        <f>IF(NOT((COUNTA($B65:$J65)+COUNTA($M65))&gt;0),"",IF((IF(B65="","Macroactividad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","")&amp;IF(ABS(SUM($F$5:$F$1000)-1)&gt;0.0001,"Pesos del puesto suman "&amp;TEXT(SUM($F$5:$F$1000),"0%")&amp;"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 OK","⚠ "&amp;LEFT(IF(B65="","Macroactividad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","")&amp;IF(ABS(SUM($F$5:$F$1000)-1)&gt;0.0001,"Pesos del puesto suman "&amp;TEXT(SUM($F$5:$F$1000),"0%")&amp;"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",""),LEN(IF(B65="","Macroactividad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","")&amp;IF(ABS(SUM($F$5:$F$1000)-1)&gt;0.0001,"Pesos del puesto suman "&amp;TEXT(SUM($F$5:$F$1000),"0%")&amp;"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",""))-3)))</f>
        <v/>
      </c>
    </row>
    <row r="66">
      <c r="A66" s="53">
        <f>IF(NOT((COUNTA($B66:$J66)+COUNTA($M66))&gt;0),"",COUNTIF($L$5:$L66,"?*"))</f>
        <v/>
      </c>
      <c r="B66" s="54" t="n"/>
      <c r="C66" s="54" t="n"/>
      <c r="D66" s="55" t="n"/>
      <c r="E66" s="55" t="n"/>
      <c r="F66" s="56" t="n"/>
      <c r="G66" s="57" t="n"/>
      <c r="H66" s="57" t="n"/>
      <c r="I66" s="57" t="n"/>
      <c r="J66" s="57" t="n"/>
      <c r="K66" s="58">
        <f>IF(NOT((COUNTA($B66:$J66)+COUNTA($M66))&gt;0),"",IFERROR(LOOKUP(2,1/(G66:J66&lt;&gt;""),G66:J66),0))</f>
        <v/>
      </c>
      <c r="L66" s="53">
        <f>IF(K66="","",IF(K66&gt;=1,"Completado",IF(K66&gt;0,"En curso","Pendiente")))</f>
        <v/>
      </c>
      <c r="M66" s="54" t="n"/>
      <c r="N66" s="59">
        <f>IF(NOT((COUNTA($B66:$J66)+COUNTA($M66))&gt;0),"",IF((IF(B66="","Macroactividad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","")&amp;IF(ABS(SUM($F$5:$F$1000)-1)&gt;0.0001,"Pesos del puesto suman "&amp;TEXT(SUM($F$5:$F$1000),"0%")&amp;"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 OK","⚠ "&amp;LEFT(IF(B66="","Macroactividad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","")&amp;IF(ABS(SUM($F$5:$F$1000)-1)&gt;0.0001,"Pesos del puesto suman "&amp;TEXT(SUM($F$5:$F$1000),"0%")&amp;"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",""),LEN(IF(B66="","Macroactividad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","")&amp;IF(ABS(SUM($F$5:$F$1000)-1)&gt;0.0001,"Pesos del puesto suman "&amp;TEXT(SUM($F$5:$F$1000),"0%")&amp;"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",""))-3)))</f>
        <v/>
      </c>
    </row>
    <row r="67">
      <c r="A67" s="53">
        <f>IF(NOT((COUNTA($B67:$J67)+COUNTA($M67))&gt;0),"",COUNTIF($L$5:$L67,"?*"))</f>
        <v/>
      </c>
      <c r="B67" s="54" t="n"/>
      <c r="C67" s="54" t="n"/>
      <c r="D67" s="55" t="n"/>
      <c r="E67" s="55" t="n"/>
      <c r="F67" s="56" t="n"/>
      <c r="G67" s="57" t="n"/>
      <c r="H67" s="57" t="n"/>
      <c r="I67" s="57" t="n"/>
      <c r="J67" s="57" t="n"/>
      <c r="K67" s="58">
        <f>IF(NOT((COUNTA($B67:$J67)+COUNTA($M67))&gt;0),"",IFERROR(LOOKUP(2,1/(G67:J67&lt;&gt;""),G67:J67),0))</f>
        <v/>
      </c>
      <c r="L67" s="53">
        <f>IF(K67="","",IF(K67&gt;=1,"Completado",IF(K67&gt;0,"En curso","Pendiente")))</f>
        <v/>
      </c>
      <c r="M67" s="54" t="n"/>
      <c r="N67" s="59">
        <f>IF(NOT((COUNTA($B67:$J67)+COUNTA($M67))&gt;0),"",IF((IF(B67="","Macroactividad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","")&amp;IF(ABS(SUM($F$5:$F$1000)-1)&gt;0.0001,"Pesos del puesto suman "&amp;TEXT(SUM($F$5:$F$1000),"0%")&amp;"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 OK","⚠ "&amp;LEFT(IF(B67="","Macroactividad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","")&amp;IF(ABS(SUM($F$5:$F$1000)-1)&gt;0.0001,"Pesos del puesto suman "&amp;TEXT(SUM($F$5:$F$1000),"0%")&amp;"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",""),LEN(IF(B67="","Macroactividad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","")&amp;IF(ABS(SUM($F$5:$F$1000)-1)&gt;0.0001,"Pesos del puesto suman "&amp;TEXT(SUM($F$5:$F$1000),"0%")&amp;"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",""))-3)))</f>
        <v/>
      </c>
    </row>
    <row r="68">
      <c r="A68" s="53">
        <f>IF(NOT((COUNTA($B68:$J68)+COUNTA($M68))&gt;0),"",COUNTIF($L$5:$L68,"?*"))</f>
        <v/>
      </c>
      <c r="B68" s="54" t="n"/>
      <c r="C68" s="54" t="n"/>
      <c r="D68" s="55" t="n"/>
      <c r="E68" s="55" t="n"/>
      <c r="F68" s="56" t="n"/>
      <c r="G68" s="57" t="n"/>
      <c r="H68" s="57" t="n"/>
      <c r="I68" s="57" t="n"/>
      <c r="J68" s="57" t="n"/>
      <c r="K68" s="58">
        <f>IF(NOT((COUNTA($B68:$J68)+COUNTA($M68))&gt;0),"",IFERROR(LOOKUP(2,1/(G68:J68&lt;&gt;""),G68:J68),0))</f>
        <v/>
      </c>
      <c r="L68" s="53">
        <f>IF(K68="","",IF(K68&gt;=1,"Completado",IF(K68&gt;0,"En curso","Pendiente")))</f>
        <v/>
      </c>
      <c r="M68" s="54" t="n"/>
      <c r="N68" s="59">
        <f>IF(NOT((COUNTA($B68:$J68)+COUNTA($M68))&gt;0),"",IF((IF(B68="","Macroactividad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","")&amp;IF(ABS(SUM($F$5:$F$1000)-1)&gt;0.0001,"Pesos del puesto suman "&amp;TEXT(SUM($F$5:$F$1000),"0%")&amp;"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 OK","⚠ "&amp;LEFT(IF(B68="","Macroactividad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","")&amp;IF(ABS(SUM($F$5:$F$1000)-1)&gt;0.0001,"Pesos del puesto suman "&amp;TEXT(SUM($F$5:$F$1000),"0%")&amp;"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",""),LEN(IF(B68="","Macroactividad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","")&amp;IF(ABS(SUM($F$5:$F$1000)-1)&gt;0.0001,"Pesos del puesto suman "&amp;TEXT(SUM($F$5:$F$1000),"0%")&amp;"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",""))-3)))</f>
        <v/>
      </c>
    </row>
    <row r="69">
      <c r="A69" s="53">
        <f>IF(NOT((COUNTA($B69:$J69)+COUNTA($M69))&gt;0),"",COUNTIF($L$5:$L69,"?*"))</f>
        <v/>
      </c>
      <c r="B69" s="54" t="n"/>
      <c r="C69" s="54" t="n"/>
      <c r="D69" s="55" t="n"/>
      <c r="E69" s="55" t="n"/>
      <c r="F69" s="56" t="n"/>
      <c r="G69" s="57" t="n"/>
      <c r="H69" s="57" t="n"/>
      <c r="I69" s="57" t="n"/>
      <c r="J69" s="57" t="n"/>
      <c r="K69" s="58">
        <f>IF(NOT((COUNTA($B69:$J69)+COUNTA($M69))&gt;0),"",IFERROR(LOOKUP(2,1/(G69:J69&lt;&gt;""),G69:J69),0))</f>
        <v/>
      </c>
      <c r="L69" s="53">
        <f>IF(K69="","",IF(K69&gt;=1,"Completado",IF(K69&gt;0,"En curso","Pendiente")))</f>
        <v/>
      </c>
      <c r="M69" s="54" t="n"/>
      <c r="N69" s="59">
        <f>IF(NOT((COUNTA($B69:$J69)+COUNTA($M69))&gt;0),"",IF((IF(B69="","Macroactividad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","")&amp;IF(ABS(SUM($F$5:$F$1000)-1)&gt;0.0001,"Pesos del puesto suman "&amp;TEXT(SUM($F$5:$F$1000),"0%")&amp;"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 OK","⚠ "&amp;LEFT(IF(B69="","Macroactividad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","")&amp;IF(ABS(SUM($F$5:$F$1000)-1)&gt;0.0001,"Pesos del puesto suman "&amp;TEXT(SUM($F$5:$F$1000),"0%")&amp;"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",""),LEN(IF(B69="","Macroactividad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","")&amp;IF(ABS(SUM($F$5:$F$1000)-1)&gt;0.0001,"Pesos del puesto suman "&amp;TEXT(SUM($F$5:$F$1000),"0%")&amp;"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",""))-3)))</f>
        <v/>
      </c>
    </row>
    <row r="70">
      <c r="A70" s="53">
        <f>IF(NOT((COUNTA($B70:$J70)+COUNTA($M70))&gt;0),"",COUNTIF($L$5:$L70,"?*"))</f>
        <v/>
      </c>
      <c r="B70" s="54" t="n"/>
      <c r="C70" s="54" t="n"/>
      <c r="D70" s="55" t="n"/>
      <c r="E70" s="55" t="n"/>
      <c r="F70" s="56" t="n"/>
      <c r="G70" s="57" t="n"/>
      <c r="H70" s="57" t="n"/>
      <c r="I70" s="57" t="n"/>
      <c r="J70" s="57" t="n"/>
      <c r="K70" s="58">
        <f>IF(NOT((COUNTA($B70:$J70)+COUNTA($M70))&gt;0),"",IFERROR(LOOKUP(2,1/(G70:J70&lt;&gt;""),G70:J70),0))</f>
        <v/>
      </c>
      <c r="L70" s="53">
        <f>IF(K70="","",IF(K70&gt;=1,"Completado",IF(K70&gt;0,"En curso","Pendiente")))</f>
        <v/>
      </c>
      <c r="M70" s="54" t="n"/>
      <c r="N70" s="59">
        <f>IF(NOT((COUNTA($B70:$J70)+COUNTA($M70))&gt;0),"",IF((IF(B70="","Macroactividad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","")&amp;IF(ABS(SUM($F$5:$F$1000)-1)&gt;0.0001,"Pesos del puesto suman "&amp;TEXT(SUM($F$5:$F$1000),"0%")&amp;"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 OK","⚠ "&amp;LEFT(IF(B70="","Macroactividad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","")&amp;IF(ABS(SUM($F$5:$F$1000)-1)&gt;0.0001,"Pesos del puesto suman "&amp;TEXT(SUM($F$5:$F$1000),"0%")&amp;"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",""),LEN(IF(B70="","Macroactividad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","")&amp;IF(ABS(SUM($F$5:$F$1000)-1)&gt;0.0001,"Pesos del puesto suman "&amp;TEXT(SUM($F$5:$F$1000),"0%")&amp;"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",""))-3)))</f>
        <v/>
      </c>
    </row>
    <row r="71">
      <c r="A71" s="53">
        <f>IF(NOT((COUNTA($B71:$J71)+COUNTA($M71))&gt;0),"",COUNTIF($L$5:$L71,"?*"))</f>
        <v/>
      </c>
      <c r="B71" s="54" t="n"/>
      <c r="C71" s="54" t="n"/>
      <c r="D71" s="55" t="n"/>
      <c r="E71" s="55" t="n"/>
      <c r="F71" s="56" t="n"/>
      <c r="G71" s="57" t="n"/>
      <c r="H71" s="57" t="n"/>
      <c r="I71" s="57" t="n"/>
      <c r="J71" s="57" t="n"/>
      <c r="K71" s="58">
        <f>IF(NOT((COUNTA($B71:$J71)+COUNTA($M71))&gt;0),"",IFERROR(LOOKUP(2,1/(G71:J71&lt;&gt;""),G71:J71),0))</f>
        <v/>
      </c>
      <c r="L71" s="53">
        <f>IF(K71="","",IF(K71&gt;=1,"Completado",IF(K71&gt;0,"En curso","Pendiente")))</f>
        <v/>
      </c>
      <c r="M71" s="54" t="n"/>
      <c r="N71" s="59">
        <f>IF(NOT((COUNTA($B71:$J71)+COUNTA($M71))&gt;0),"",IF((IF(B71="","Macroactividad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","")&amp;IF(ABS(SUM($F$5:$F$1000)-1)&gt;0.0001,"Pesos del puesto suman "&amp;TEXT(SUM($F$5:$F$1000),"0%")&amp;"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 OK","⚠ "&amp;LEFT(IF(B71="","Macroactividad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","")&amp;IF(ABS(SUM($F$5:$F$1000)-1)&gt;0.0001,"Pesos del puesto suman "&amp;TEXT(SUM($F$5:$F$1000),"0%")&amp;"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",""),LEN(IF(B71="","Macroactividad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","")&amp;IF(ABS(SUM($F$5:$F$1000)-1)&gt;0.0001,"Pesos del puesto suman "&amp;TEXT(SUM($F$5:$F$1000),"0%")&amp;"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",""))-3)))</f>
        <v/>
      </c>
    </row>
    <row r="72">
      <c r="A72" s="53">
        <f>IF(NOT((COUNTA($B72:$J72)+COUNTA($M72))&gt;0),"",COUNTIF($L$5:$L72,"?*"))</f>
        <v/>
      </c>
      <c r="B72" s="54" t="n"/>
      <c r="C72" s="54" t="n"/>
      <c r="D72" s="55" t="n"/>
      <c r="E72" s="55" t="n"/>
      <c r="F72" s="56" t="n"/>
      <c r="G72" s="57" t="n"/>
      <c r="H72" s="57" t="n"/>
      <c r="I72" s="57" t="n"/>
      <c r="J72" s="57" t="n"/>
      <c r="K72" s="58">
        <f>IF(NOT((COUNTA($B72:$J72)+COUNTA($M72))&gt;0),"",IFERROR(LOOKUP(2,1/(G72:J72&lt;&gt;""),G72:J72),0))</f>
        <v/>
      </c>
      <c r="L72" s="53">
        <f>IF(K72="","",IF(K72&gt;=1,"Completado",IF(K72&gt;0,"En curso","Pendiente")))</f>
        <v/>
      </c>
      <c r="M72" s="54" t="n"/>
      <c r="N72" s="59">
        <f>IF(NOT((COUNTA($B72:$J72)+COUNTA($M72))&gt;0),"",IF((IF(B72="","Macroactividad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","")&amp;IF(ABS(SUM($F$5:$F$1000)-1)&gt;0.0001,"Pesos del puesto suman "&amp;TEXT(SUM($F$5:$F$1000),"0%")&amp;"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 OK","⚠ "&amp;LEFT(IF(B72="","Macroactividad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","")&amp;IF(ABS(SUM($F$5:$F$1000)-1)&gt;0.0001,"Pesos del puesto suman "&amp;TEXT(SUM($F$5:$F$1000),"0%")&amp;"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",""),LEN(IF(B72="","Macroactividad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","")&amp;IF(ABS(SUM($F$5:$F$1000)-1)&gt;0.0001,"Pesos del puesto suman "&amp;TEXT(SUM($F$5:$F$1000),"0%")&amp;"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",""))-3)))</f>
        <v/>
      </c>
    </row>
    <row r="73">
      <c r="A73" s="53">
        <f>IF(NOT((COUNTA($B73:$J73)+COUNTA($M73))&gt;0),"",COUNTIF($L$5:$L73,"?*"))</f>
        <v/>
      </c>
      <c r="B73" s="54" t="n"/>
      <c r="C73" s="54" t="n"/>
      <c r="D73" s="55" t="n"/>
      <c r="E73" s="55" t="n"/>
      <c r="F73" s="56" t="n"/>
      <c r="G73" s="57" t="n"/>
      <c r="H73" s="57" t="n"/>
      <c r="I73" s="57" t="n"/>
      <c r="J73" s="57" t="n"/>
      <c r="K73" s="58">
        <f>IF(NOT((COUNTA($B73:$J73)+COUNTA($M73))&gt;0),"",IFERROR(LOOKUP(2,1/(G73:J73&lt;&gt;""),G73:J73),0))</f>
        <v/>
      </c>
      <c r="L73" s="53">
        <f>IF(K73="","",IF(K73&gt;=1,"Completado",IF(K73&gt;0,"En curso","Pendiente")))</f>
        <v/>
      </c>
      <c r="M73" s="54" t="n"/>
      <c r="N73" s="59">
        <f>IF(NOT((COUNTA($B73:$J73)+COUNTA($M73))&gt;0),"",IF((IF(B73="","Macroactividad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","")&amp;IF(ABS(SUM($F$5:$F$1000)-1)&gt;0.0001,"Pesos del puesto suman "&amp;TEXT(SUM($F$5:$F$1000),"0%")&amp;"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 OK","⚠ "&amp;LEFT(IF(B73="","Macroactividad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","")&amp;IF(ABS(SUM($F$5:$F$1000)-1)&gt;0.0001,"Pesos del puesto suman "&amp;TEXT(SUM($F$5:$F$1000),"0%")&amp;"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",""),LEN(IF(B73="","Macroactividad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","")&amp;IF(ABS(SUM($F$5:$F$1000)-1)&gt;0.0001,"Pesos del puesto suman "&amp;TEXT(SUM($F$5:$F$1000),"0%")&amp;"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",""))-3)))</f>
        <v/>
      </c>
    </row>
    <row r="74">
      <c r="A74" s="53">
        <f>IF(NOT((COUNTA($B74:$J74)+COUNTA($M74))&gt;0),"",COUNTIF($L$5:$L74,"?*"))</f>
        <v/>
      </c>
      <c r="B74" s="54" t="n"/>
      <c r="C74" s="54" t="n"/>
      <c r="D74" s="55" t="n"/>
      <c r="E74" s="55" t="n"/>
      <c r="F74" s="56" t="n"/>
      <c r="G74" s="57" t="n"/>
      <c r="H74" s="57" t="n"/>
      <c r="I74" s="57" t="n"/>
      <c r="J74" s="57" t="n"/>
      <c r="K74" s="58">
        <f>IF(NOT((COUNTA($B74:$J74)+COUNTA($M74))&gt;0),"",IFERROR(LOOKUP(2,1/(G74:J74&lt;&gt;""),G74:J74),0))</f>
        <v/>
      </c>
      <c r="L74" s="53">
        <f>IF(K74="","",IF(K74&gt;=1,"Completado",IF(K74&gt;0,"En curso","Pendiente")))</f>
        <v/>
      </c>
      <c r="M74" s="54" t="n"/>
      <c r="N74" s="59">
        <f>IF(NOT((COUNTA($B74:$J74)+COUNTA($M74))&gt;0),"",IF((IF(B74="","Macroactividad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","")&amp;IF(ABS(SUM($F$5:$F$1000)-1)&gt;0.0001,"Pesos del puesto suman "&amp;TEXT(SUM($F$5:$F$1000),"0%")&amp;"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 OK","⚠ "&amp;LEFT(IF(B74="","Macroactividad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","")&amp;IF(ABS(SUM($F$5:$F$1000)-1)&gt;0.0001,"Pesos del puesto suman "&amp;TEXT(SUM($F$5:$F$1000),"0%")&amp;"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",""),LEN(IF(B74="","Macroactividad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","")&amp;IF(ABS(SUM($F$5:$F$1000)-1)&gt;0.0001,"Pesos del puesto suman "&amp;TEXT(SUM($F$5:$F$1000),"0%")&amp;"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",""))-3)))</f>
        <v/>
      </c>
    </row>
    <row r="75">
      <c r="A75" s="53">
        <f>IF(NOT((COUNTA($B75:$J75)+COUNTA($M75))&gt;0),"",COUNTIF($L$5:$L75,"?*"))</f>
        <v/>
      </c>
      <c r="B75" s="54" t="n"/>
      <c r="C75" s="54" t="n"/>
      <c r="D75" s="55" t="n"/>
      <c r="E75" s="55" t="n"/>
      <c r="F75" s="56" t="n"/>
      <c r="G75" s="57" t="n"/>
      <c r="H75" s="57" t="n"/>
      <c r="I75" s="57" t="n"/>
      <c r="J75" s="57" t="n"/>
      <c r="K75" s="58">
        <f>IF(NOT((COUNTA($B75:$J75)+COUNTA($M75))&gt;0),"",IFERROR(LOOKUP(2,1/(G75:J75&lt;&gt;""),G75:J75),0))</f>
        <v/>
      </c>
      <c r="L75" s="53">
        <f>IF(K75="","",IF(K75&gt;=1,"Completado",IF(K75&gt;0,"En curso","Pendiente")))</f>
        <v/>
      </c>
      <c r="M75" s="54" t="n"/>
      <c r="N75" s="59">
        <f>IF(NOT((COUNTA($B75:$J75)+COUNTA($M75))&gt;0),"",IF((IF(B75="","Macroactividad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","")&amp;IF(ABS(SUM($F$5:$F$1000)-1)&gt;0.0001,"Pesos del puesto suman "&amp;TEXT(SUM($F$5:$F$1000),"0%")&amp;"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 OK","⚠ "&amp;LEFT(IF(B75="","Macroactividad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","")&amp;IF(ABS(SUM($F$5:$F$1000)-1)&gt;0.0001,"Pesos del puesto suman "&amp;TEXT(SUM($F$5:$F$1000),"0%")&amp;"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",""),LEN(IF(B75="","Macroactividad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","")&amp;IF(ABS(SUM($F$5:$F$1000)-1)&gt;0.0001,"Pesos del puesto suman "&amp;TEXT(SUM($F$5:$F$1000),"0%")&amp;"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",""))-3)))</f>
        <v/>
      </c>
    </row>
    <row r="76">
      <c r="A76" s="53">
        <f>IF(NOT((COUNTA($B76:$J76)+COUNTA($M76))&gt;0),"",COUNTIF($L$5:$L76,"?*"))</f>
        <v/>
      </c>
      <c r="B76" s="54" t="n"/>
      <c r="C76" s="54" t="n"/>
      <c r="D76" s="55" t="n"/>
      <c r="E76" s="55" t="n"/>
      <c r="F76" s="56" t="n"/>
      <c r="G76" s="57" t="n"/>
      <c r="H76" s="57" t="n"/>
      <c r="I76" s="57" t="n"/>
      <c r="J76" s="57" t="n"/>
      <c r="K76" s="58">
        <f>IF(NOT((COUNTA($B76:$J76)+COUNTA($M76))&gt;0),"",IFERROR(LOOKUP(2,1/(G76:J76&lt;&gt;""),G76:J76),0))</f>
        <v/>
      </c>
      <c r="L76" s="53">
        <f>IF(K76="","",IF(K76&gt;=1,"Completado",IF(K76&gt;0,"En curso","Pendiente")))</f>
        <v/>
      </c>
      <c r="M76" s="54" t="n"/>
      <c r="N76" s="59">
        <f>IF(NOT((COUNTA($B76:$J76)+COUNTA($M76))&gt;0),"",IF((IF(B76="","Macroactividad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","")&amp;IF(ABS(SUM($F$5:$F$1000)-1)&gt;0.0001,"Pesos del puesto suman "&amp;TEXT(SUM($F$5:$F$1000),"0%")&amp;"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 OK","⚠ "&amp;LEFT(IF(B76="","Macroactividad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","")&amp;IF(ABS(SUM($F$5:$F$1000)-1)&gt;0.0001,"Pesos del puesto suman "&amp;TEXT(SUM($F$5:$F$1000),"0%")&amp;"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",""),LEN(IF(B76="","Macroactividad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","")&amp;IF(ABS(SUM($F$5:$F$1000)-1)&gt;0.0001,"Pesos del puesto suman "&amp;TEXT(SUM($F$5:$F$1000),"0%")&amp;"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",""))-3)))</f>
        <v/>
      </c>
    </row>
    <row r="77">
      <c r="A77" s="53">
        <f>IF(NOT((COUNTA($B77:$J77)+COUNTA($M77))&gt;0),"",COUNTIF($L$5:$L77,"?*"))</f>
        <v/>
      </c>
      <c r="B77" s="54" t="n"/>
      <c r="C77" s="54" t="n"/>
      <c r="D77" s="55" t="n"/>
      <c r="E77" s="55" t="n"/>
      <c r="F77" s="56" t="n"/>
      <c r="G77" s="57" t="n"/>
      <c r="H77" s="57" t="n"/>
      <c r="I77" s="57" t="n"/>
      <c r="J77" s="57" t="n"/>
      <c r="K77" s="58">
        <f>IF(NOT((COUNTA($B77:$J77)+COUNTA($M77))&gt;0),"",IFERROR(LOOKUP(2,1/(G77:J77&lt;&gt;""),G77:J77),0))</f>
        <v/>
      </c>
      <c r="L77" s="53">
        <f>IF(K77="","",IF(K77&gt;=1,"Completado",IF(K77&gt;0,"En curso","Pendiente")))</f>
        <v/>
      </c>
      <c r="M77" s="54" t="n"/>
      <c r="N77" s="59">
        <f>IF(NOT((COUNTA($B77:$J77)+COUNTA($M77))&gt;0),"",IF((IF(B77="","Macroactividad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","")&amp;IF(ABS(SUM($F$5:$F$1000)-1)&gt;0.0001,"Pesos del puesto suman "&amp;TEXT(SUM($F$5:$F$1000),"0%")&amp;"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 OK","⚠ "&amp;LEFT(IF(B77="","Macroactividad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","")&amp;IF(ABS(SUM($F$5:$F$1000)-1)&gt;0.0001,"Pesos del puesto suman "&amp;TEXT(SUM($F$5:$F$1000),"0%")&amp;"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",""),LEN(IF(B77="","Macroactividad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","")&amp;IF(ABS(SUM($F$5:$F$1000)-1)&gt;0.0001,"Pesos del puesto suman "&amp;TEXT(SUM($F$5:$F$1000),"0%")&amp;"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",""))-3)))</f>
        <v/>
      </c>
    </row>
    <row r="78">
      <c r="A78" s="53">
        <f>IF(NOT((COUNTA($B78:$J78)+COUNTA($M78))&gt;0),"",COUNTIF($L$5:$L78,"?*"))</f>
        <v/>
      </c>
      <c r="B78" s="54" t="n"/>
      <c r="C78" s="54" t="n"/>
      <c r="D78" s="55" t="n"/>
      <c r="E78" s="55" t="n"/>
      <c r="F78" s="56" t="n"/>
      <c r="G78" s="57" t="n"/>
      <c r="H78" s="57" t="n"/>
      <c r="I78" s="57" t="n"/>
      <c r="J78" s="57" t="n"/>
      <c r="K78" s="58">
        <f>IF(NOT((COUNTA($B78:$J78)+COUNTA($M78))&gt;0),"",IFERROR(LOOKUP(2,1/(G78:J78&lt;&gt;""),G78:J78),0))</f>
        <v/>
      </c>
      <c r="L78" s="53">
        <f>IF(K78="","",IF(K78&gt;=1,"Completado",IF(K78&gt;0,"En curso","Pendiente")))</f>
        <v/>
      </c>
      <c r="M78" s="54" t="n"/>
      <c r="N78" s="59">
        <f>IF(NOT((COUNTA($B78:$J78)+COUNTA($M78))&gt;0),"",IF((IF(B78="","Macroactividad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","")&amp;IF(ABS(SUM($F$5:$F$1000)-1)&gt;0.0001,"Pesos del puesto suman "&amp;TEXT(SUM($F$5:$F$1000),"0%")&amp;"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 OK","⚠ "&amp;LEFT(IF(B78="","Macroactividad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","")&amp;IF(ABS(SUM($F$5:$F$1000)-1)&gt;0.0001,"Pesos del puesto suman "&amp;TEXT(SUM($F$5:$F$1000),"0%")&amp;"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",""),LEN(IF(B78="","Macroactividad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","")&amp;IF(ABS(SUM($F$5:$F$1000)-1)&gt;0.0001,"Pesos del puesto suman "&amp;TEXT(SUM($F$5:$F$1000),"0%")&amp;"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",""))-3)))</f>
        <v/>
      </c>
    </row>
    <row r="79">
      <c r="A79" s="53">
        <f>IF(NOT((COUNTA($B79:$J79)+COUNTA($M79))&gt;0),"",COUNTIF($L$5:$L79,"?*"))</f>
        <v/>
      </c>
      <c r="B79" s="54" t="n"/>
      <c r="C79" s="54" t="n"/>
      <c r="D79" s="55" t="n"/>
      <c r="E79" s="55" t="n"/>
      <c r="F79" s="56" t="n"/>
      <c r="G79" s="57" t="n"/>
      <c r="H79" s="57" t="n"/>
      <c r="I79" s="57" t="n"/>
      <c r="J79" s="57" t="n"/>
      <c r="K79" s="58">
        <f>IF(NOT((COUNTA($B79:$J79)+COUNTA($M79))&gt;0),"",IFERROR(LOOKUP(2,1/(G79:J79&lt;&gt;""),G79:J79),0))</f>
        <v/>
      </c>
      <c r="L79" s="53">
        <f>IF(K79="","",IF(K79&gt;=1,"Completado",IF(K79&gt;0,"En curso","Pendiente")))</f>
        <v/>
      </c>
      <c r="M79" s="54" t="n"/>
      <c r="N79" s="59">
        <f>IF(NOT((COUNTA($B79:$J79)+COUNTA($M79))&gt;0),"",IF((IF(B79="","Macroactividad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","")&amp;IF(ABS(SUM($F$5:$F$1000)-1)&gt;0.0001,"Pesos del puesto suman "&amp;TEXT(SUM($F$5:$F$1000),"0%")&amp;"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 OK","⚠ "&amp;LEFT(IF(B79="","Macroactividad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","")&amp;IF(ABS(SUM($F$5:$F$1000)-1)&gt;0.0001,"Pesos del puesto suman "&amp;TEXT(SUM($F$5:$F$1000),"0%")&amp;"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",""),LEN(IF(B79="","Macroactividad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","")&amp;IF(ABS(SUM($F$5:$F$1000)-1)&gt;0.0001,"Pesos del puesto suman "&amp;TEXT(SUM($F$5:$F$1000),"0%")&amp;"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",""))-3)))</f>
        <v/>
      </c>
    </row>
    <row r="80">
      <c r="A80" s="53">
        <f>IF(NOT((COUNTA($B80:$J80)+COUNTA($M80))&gt;0),"",COUNTIF($L$5:$L80,"?*"))</f>
        <v/>
      </c>
      <c r="B80" s="54" t="n"/>
      <c r="C80" s="54" t="n"/>
      <c r="D80" s="55" t="n"/>
      <c r="E80" s="55" t="n"/>
      <c r="F80" s="56" t="n"/>
      <c r="G80" s="57" t="n"/>
      <c r="H80" s="57" t="n"/>
      <c r="I80" s="57" t="n"/>
      <c r="J80" s="57" t="n"/>
      <c r="K80" s="58">
        <f>IF(NOT((COUNTA($B80:$J80)+COUNTA($M80))&gt;0),"",IFERROR(LOOKUP(2,1/(G80:J80&lt;&gt;""),G80:J80),0))</f>
        <v/>
      </c>
      <c r="L80" s="53">
        <f>IF(K80="","",IF(K80&gt;=1,"Completado",IF(K80&gt;0,"En curso","Pendiente")))</f>
        <v/>
      </c>
      <c r="M80" s="54" t="n"/>
      <c r="N80" s="59">
        <f>IF(NOT((COUNTA($B80:$J80)+COUNTA($M80))&gt;0),"",IF((IF(B80="","Macroactividad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","")&amp;IF(ABS(SUM($F$5:$F$1000)-1)&gt;0.0001,"Pesos del puesto suman "&amp;TEXT(SUM($F$5:$F$1000),"0%")&amp;"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 OK","⚠ "&amp;LEFT(IF(B80="","Macroactividad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","")&amp;IF(ABS(SUM($F$5:$F$1000)-1)&gt;0.0001,"Pesos del puesto suman "&amp;TEXT(SUM($F$5:$F$1000),"0%")&amp;"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",""),LEN(IF(B80="","Macroactividad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","")&amp;IF(ABS(SUM($F$5:$F$1000)-1)&gt;0.0001,"Pesos del puesto suman "&amp;TEXT(SUM($F$5:$F$1000),"0%")&amp;"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",""))-3)))</f>
        <v/>
      </c>
    </row>
    <row r="81">
      <c r="A81" s="53">
        <f>IF(NOT((COUNTA($B81:$J81)+COUNTA($M81))&gt;0),"",COUNTIF($L$5:$L81,"?*"))</f>
        <v/>
      </c>
      <c r="B81" s="54" t="n"/>
      <c r="C81" s="54" t="n"/>
      <c r="D81" s="55" t="n"/>
      <c r="E81" s="55" t="n"/>
      <c r="F81" s="56" t="n"/>
      <c r="G81" s="57" t="n"/>
      <c r="H81" s="57" t="n"/>
      <c r="I81" s="57" t="n"/>
      <c r="J81" s="57" t="n"/>
      <c r="K81" s="58">
        <f>IF(NOT((COUNTA($B81:$J81)+COUNTA($M81))&gt;0),"",IFERROR(LOOKUP(2,1/(G81:J81&lt;&gt;""),G81:J81),0))</f>
        <v/>
      </c>
      <c r="L81" s="53">
        <f>IF(K81="","",IF(K81&gt;=1,"Completado",IF(K81&gt;0,"En curso","Pendiente")))</f>
        <v/>
      </c>
      <c r="M81" s="54" t="n"/>
      <c r="N81" s="59">
        <f>IF(NOT((COUNTA($B81:$J81)+COUNTA($M81))&gt;0),"",IF((IF(B81="","Macroactividad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","")&amp;IF(ABS(SUM($F$5:$F$1000)-1)&gt;0.0001,"Pesos del puesto suman "&amp;TEXT(SUM($F$5:$F$1000),"0%")&amp;"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 OK","⚠ "&amp;LEFT(IF(B81="","Macroactividad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","")&amp;IF(ABS(SUM($F$5:$F$1000)-1)&gt;0.0001,"Pesos del puesto suman "&amp;TEXT(SUM($F$5:$F$1000),"0%")&amp;"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",""),LEN(IF(B81="","Macroactividad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","")&amp;IF(ABS(SUM($F$5:$F$1000)-1)&gt;0.0001,"Pesos del puesto suman "&amp;TEXT(SUM($F$5:$F$1000),"0%")&amp;"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",""))-3)))</f>
        <v/>
      </c>
    </row>
    <row r="82">
      <c r="A82" s="53">
        <f>IF(NOT((COUNTA($B82:$J82)+COUNTA($M82))&gt;0),"",COUNTIF($L$5:$L82,"?*"))</f>
        <v/>
      </c>
      <c r="B82" s="54" t="n"/>
      <c r="C82" s="54" t="n"/>
      <c r="D82" s="55" t="n"/>
      <c r="E82" s="55" t="n"/>
      <c r="F82" s="56" t="n"/>
      <c r="G82" s="57" t="n"/>
      <c r="H82" s="57" t="n"/>
      <c r="I82" s="57" t="n"/>
      <c r="J82" s="57" t="n"/>
      <c r="K82" s="58">
        <f>IF(NOT((COUNTA($B82:$J82)+COUNTA($M82))&gt;0),"",IFERROR(LOOKUP(2,1/(G82:J82&lt;&gt;""),G82:J82),0))</f>
        <v/>
      </c>
      <c r="L82" s="53">
        <f>IF(K82="","",IF(K82&gt;=1,"Completado",IF(K82&gt;0,"En curso","Pendiente")))</f>
        <v/>
      </c>
      <c r="M82" s="54" t="n"/>
      <c r="N82" s="59">
        <f>IF(NOT((COUNTA($B82:$J82)+COUNTA($M82))&gt;0),"",IF((IF(B82="","Macroactividad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","")&amp;IF(ABS(SUM($F$5:$F$1000)-1)&gt;0.0001,"Pesos del puesto suman "&amp;TEXT(SUM($F$5:$F$1000),"0%")&amp;"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 OK","⚠ "&amp;LEFT(IF(B82="","Macroactividad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","")&amp;IF(ABS(SUM($F$5:$F$1000)-1)&gt;0.0001,"Pesos del puesto suman "&amp;TEXT(SUM($F$5:$F$1000),"0%")&amp;"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",""),LEN(IF(B82="","Macroactividad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","")&amp;IF(ABS(SUM($F$5:$F$1000)-1)&gt;0.0001,"Pesos del puesto suman "&amp;TEXT(SUM($F$5:$F$1000),"0%")&amp;"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",""))-3)))</f>
        <v/>
      </c>
    </row>
    <row r="83">
      <c r="A83" s="53">
        <f>IF(NOT((COUNTA($B83:$J83)+COUNTA($M83))&gt;0),"",COUNTIF($L$5:$L83,"?*"))</f>
        <v/>
      </c>
      <c r="B83" s="54" t="n"/>
      <c r="C83" s="54" t="n"/>
      <c r="D83" s="55" t="n"/>
      <c r="E83" s="55" t="n"/>
      <c r="F83" s="56" t="n"/>
      <c r="G83" s="57" t="n"/>
      <c r="H83" s="57" t="n"/>
      <c r="I83" s="57" t="n"/>
      <c r="J83" s="57" t="n"/>
      <c r="K83" s="58">
        <f>IF(NOT((COUNTA($B83:$J83)+COUNTA($M83))&gt;0),"",IFERROR(LOOKUP(2,1/(G83:J83&lt;&gt;""),G83:J83),0))</f>
        <v/>
      </c>
      <c r="L83" s="53">
        <f>IF(K83="","",IF(K83&gt;=1,"Completado",IF(K83&gt;0,"En curso","Pendiente")))</f>
        <v/>
      </c>
      <c r="M83" s="54" t="n"/>
      <c r="N83" s="59">
        <f>IF(NOT((COUNTA($B83:$J83)+COUNTA($M83))&gt;0),"",IF((IF(B83="","Macroactividad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","")&amp;IF(ABS(SUM($F$5:$F$1000)-1)&gt;0.0001,"Pesos del puesto suman "&amp;TEXT(SUM($F$5:$F$1000),"0%")&amp;"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 OK","⚠ "&amp;LEFT(IF(B83="","Macroactividad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","")&amp;IF(ABS(SUM($F$5:$F$1000)-1)&gt;0.0001,"Pesos del puesto suman "&amp;TEXT(SUM($F$5:$F$1000),"0%")&amp;"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",""),LEN(IF(B83="","Macroactividad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","")&amp;IF(ABS(SUM($F$5:$F$1000)-1)&gt;0.0001,"Pesos del puesto suman "&amp;TEXT(SUM($F$5:$F$1000),"0%")&amp;"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",""))-3)))</f>
        <v/>
      </c>
    </row>
    <row r="84">
      <c r="A84" s="53">
        <f>IF(NOT((COUNTA($B84:$J84)+COUNTA($M84))&gt;0),"",COUNTIF($L$5:$L84,"?*"))</f>
        <v/>
      </c>
      <c r="B84" s="54" t="n"/>
      <c r="C84" s="54" t="n"/>
      <c r="D84" s="55" t="n"/>
      <c r="E84" s="55" t="n"/>
      <c r="F84" s="56" t="n"/>
      <c r="G84" s="57" t="n"/>
      <c r="H84" s="57" t="n"/>
      <c r="I84" s="57" t="n"/>
      <c r="J84" s="57" t="n"/>
      <c r="K84" s="58">
        <f>IF(NOT((COUNTA($B84:$J84)+COUNTA($M84))&gt;0),"",IFERROR(LOOKUP(2,1/(G84:J84&lt;&gt;""),G84:J84),0))</f>
        <v/>
      </c>
      <c r="L84" s="53">
        <f>IF(K84="","",IF(K84&gt;=1,"Completado",IF(K84&gt;0,"En curso","Pendiente")))</f>
        <v/>
      </c>
      <c r="M84" s="54" t="n"/>
      <c r="N84" s="59">
        <f>IF(NOT((COUNTA($B84:$J84)+COUNTA($M84))&gt;0),"",IF((IF(B84="","Macroactividad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","")&amp;IF(ABS(SUM($F$5:$F$1000)-1)&gt;0.0001,"Pesos del puesto suman "&amp;TEXT(SUM($F$5:$F$1000),"0%")&amp;"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 OK","⚠ "&amp;LEFT(IF(B84="","Macroactividad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","")&amp;IF(ABS(SUM($F$5:$F$1000)-1)&gt;0.0001,"Pesos del puesto suman "&amp;TEXT(SUM($F$5:$F$1000),"0%")&amp;"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",""),LEN(IF(B84="","Macroactividad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","")&amp;IF(ABS(SUM($F$5:$F$1000)-1)&gt;0.0001,"Pesos del puesto suman "&amp;TEXT(SUM($F$5:$F$1000),"0%")&amp;"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",""))-3)))</f>
        <v/>
      </c>
    </row>
    <row r="85">
      <c r="A85" s="53">
        <f>IF(NOT((COUNTA($B85:$J85)+COUNTA($M85))&gt;0),"",COUNTIF($L$5:$L85,"?*"))</f>
        <v/>
      </c>
      <c r="B85" s="54" t="n"/>
      <c r="C85" s="54" t="n"/>
      <c r="D85" s="55" t="n"/>
      <c r="E85" s="55" t="n"/>
      <c r="F85" s="56" t="n"/>
      <c r="G85" s="57" t="n"/>
      <c r="H85" s="57" t="n"/>
      <c r="I85" s="57" t="n"/>
      <c r="J85" s="57" t="n"/>
      <c r="K85" s="58">
        <f>IF(NOT((COUNTA($B85:$J85)+COUNTA($M85))&gt;0),"",IFERROR(LOOKUP(2,1/(G85:J85&lt;&gt;""),G85:J85),0))</f>
        <v/>
      </c>
      <c r="L85" s="53">
        <f>IF(K85="","",IF(K85&gt;=1,"Completado",IF(K85&gt;0,"En curso","Pendiente")))</f>
        <v/>
      </c>
      <c r="M85" s="54" t="n"/>
      <c r="N85" s="59">
        <f>IF(NOT((COUNTA($B85:$J85)+COUNTA($M85))&gt;0),"",IF((IF(B85="","Macroactividad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","")&amp;IF(ABS(SUM($F$5:$F$1000)-1)&gt;0.0001,"Pesos del puesto suman "&amp;TEXT(SUM($F$5:$F$1000),"0%")&amp;"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 OK","⚠ "&amp;LEFT(IF(B85="","Macroactividad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","")&amp;IF(ABS(SUM($F$5:$F$1000)-1)&gt;0.0001,"Pesos del puesto suman "&amp;TEXT(SUM($F$5:$F$1000),"0%")&amp;"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",""),LEN(IF(B85="","Macroactividad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","")&amp;IF(ABS(SUM($F$5:$F$1000)-1)&gt;0.0001,"Pesos del puesto suman "&amp;TEXT(SUM($F$5:$F$1000),"0%")&amp;"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",""))-3)))</f>
        <v/>
      </c>
    </row>
    <row r="86">
      <c r="A86" s="53">
        <f>IF(NOT((COUNTA($B86:$J86)+COUNTA($M86))&gt;0),"",COUNTIF($L$5:$L86,"?*"))</f>
        <v/>
      </c>
      <c r="B86" s="54" t="n"/>
      <c r="C86" s="54" t="n"/>
      <c r="D86" s="55" t="n"/>
      <c r="E86" s="55" t="n"/>
      <c r="F86" s="56" t="n"/>
      <c r="G86" s="57" t="n"/>
      <c r="H86" s="57" t="n"/>
      <c r="I86" s="57" t="n"/>
      <c r="J86" s="57" t="n"/>
      <c r="K86" s="58">
        <f>IF(NOT((COUNTA($B86:$J86)+COUNTA($M86))&gt;0),"",IFERROR(LOOKUP(2,1/(G86:J86&lt;&gt;""),G86:J86),0))</f>
        <v/>
      </c>
      <c r="L86" s="53">
        <f>IF(K86="","",IF(K86&gt;=1,"Completado",IF(K86&gt;0,"En curso","Pendiente")))</f>
        <v/>
      </c>
      <c r="M86" s="54" t="n"/>
      <c r="N86" s="59">
        <f>IF(NOT((COUNTA($B86:$J86)+COUNTA($M86))&gt;0),"",IF((IF(B86="","Macroactividad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","")&amp;IF(ABS(SUM($F$5:$F$1000)-1)&gt;0.0001,"Pesos del puesto suman "&amp;TEXT(SUM($F$5:$F$1000),"0%")&amp;"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 OK","⚠ "&amp;LEFT(IF(B86="","Macroactividad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","")&amp;IF(ABS(SUM($F$5:$F$1000)-1)&gt;0.0001,"Pesos del puesto suman "&amp;TEXT(SUM($F$5:$F$1000),"0%")&amp;"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",""),LEN(IF(B86="","Macroactividad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","")&amp;IF(ABS(SUM($F$5:$F$1000)-1)&gt;0.0001,"Pesos del puesto suman "&amp;TEXT(SUM($F$5:$F$1000),"0%")&amp;"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",""))-3)))</f>
        <v/>
      </c>
    </row>
    <row r="87">
      <c r="A87" s="53">
        <f>IF(NOT((COUNTA($B87:$J87)+COUNTA($M87))&gt;0),"",COUNTIF($L$5:$L87,"?*"))</f>
        <v/>
      </c>
      <c r="B87" s="54" t="n"/>
      <c r="C87" s="54" t="n"/>
      <c r="D87" s="55" t="n"/>
      <c r="E87" s="55" t="n"/>
      <c r="F87" s="56" t="n"/>
      <c r="G87" s="57" t="n"/>
      <c r="H87" s="57" t="n"/>
      <c r="I87" s="57" t="n"/>
      <c r="J87" s="57" t="n"/>
      <c r="K87" s="58">
        <f>IF(NOT((COUNTA($B87:$J87)+COUNTA($M87))&gt;0),"",IFERROR(LOOKUP(2,1/(G87:J87&lt;&gt;""),G87:J87),0))</f>
        <v/>
      </c>
      <c r="L87" s="53">
        <f>IF(K87="","",IF(K87&gt;=1,"Completado",IF(K87&gt;0,"En curso","Pendiente")))</f>
        <v/>
      </c>
      <c r="M87" s="54" t="n"/>
      <c r="N87" s="59">
        <f>IF(NOT((COUNTA($B87:$J87)+COUNTA($M87))&gt;0),"",IF((IF(B87="","Macroactividad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","")&amp;IF(ABS(SUM($F$5:$F$1000)-1)&gt;0.0001,"Pesos del puesto suman "&amp;TEXT(SUM($F$5:$F$1000),"0%")&amp;"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 OK","⚠ "&amp;LEFT(IF(B87="","Macroactividad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","")&amp;IF(ABS(SUM($F$5:$F$1000)-1)&gt;0.0001,"Pesos del puesto suman "&amp;TEXT(SUM($F$5:$F$1000),"0%")&amp;"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",""),LEN(IF(B87="","Macroactividad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","")&amp;IF(ABS(SUM($F$5:$F$1000)-1)&gt;0.0001,"Pesos del puesto suman "&amp;TEXT(SUM($F$5:$F$1000),"0%")&amp;"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",""))-3)))</f>
        <v/>
      </c>
    </row>
    <row r="88">
      <c r="A88" s="53">
        <f>IF(NOT((COUNTA($B88:$J88)+COUNTA($M88))&gt;0),"",COUNTIF($L$5:$L88,"?*"))</f>
        <v/>
      </c>
      <c r="B88" s="54" t="n"/>
      <c r="C88" s="54" t="n"/>
      <c r="D88" s="55" t="n"/>
      <c r="E88" s="55" t="n"/>
      <c r="F88" s="56" t="n"/>
      <c r="G88" s="57" t="n"/>
      <c r="H88" s="57" t="n"/>
      <c r="I88" s="57" t="n"/>
      <c r="J88" s="57" t="n"/>
      <c r="K88" s="58">
        <f>IF(NOT((COUNTA($B88:$J88)+COUNTA($M88))&gt;0),"",IFERROR(LOOKUP(2,1/(G88:J88&lt;&gt;""),G88:J88),0))</f>
        <v/>
      </c>
      <c r="L88" s="53">
        <f>IF(K88="","",IF(K88&gt;=1,"Completado",IF(K88&gt;0,"En curso","Pendiente")))</f>
        <v/>
      </c>
      <c r="M88" s="54" t="n"/>
      <c r="N88" s="59">
        <f>IF(NOT((COUNTA($B88:$J88)+COUNTA($M88))&gt;0),"",IF((IF(B88="","Macroactividad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","")&amp;IF(ABS(SUM($F$5:$F$1000)-1)&gt;0.0001,"Pesos del puesto suman "&amp;TEXT(SUM($F$5:$F$1000),"0%")&amp;"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 OK","⚠ "&amp;LEFT(IF(B88="","Macroactividad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","")&amp;IF(ABS(SUM($F$5:$F$1000)-1)&gt;0.0001,"Pesos del puesto suman "&amp;TEXT(SUM($F$5:$F$1000),"0%")&amp;"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",""),LEN(IF(B88="","Macroactividad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","")&amp;IF(ABS(SUM($F$5:$F$1000)-1)&gt;0.0001,"Pesos del puesto suman "&amp;TEXT(SUM($F$5:$F$1000),"0%")&amp;"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",""))-3)))</f>
        <v/>
      </c>
    </row>
    <row r="89">
      <c r="A89" s="53">
        <f>IF(NOT((COUNTA($B89:$J89)+COUNTA($M89))&gt;0),"",COUNTIF($L$5:$L89,"?*"))</f>
        <v/>
      </c>
      <c r="B89" s="54" t="n"/>
      <c r="C89" s="54" t="n"/>
      <c r="D89" s="55" t="n"/>
      <c r="E89" s="55" t="n"/>
      <c r="F89" s="56" t="n"/>
      <c r="G89" s="57" t="n"/>
      <c r="H89" s="57" t="n"/>
      <c r="I89" s="57" t="n"/>
      <c r="J89" s="57" t="n"/>
      <c r="K89" s="58">
        <f>IF(NOT((COUNTA($B89:$J89)+COUNTA($M89))&gt;0),"",IFERROR(LOOKUP(2,1/(G89:J89&lt;&gt;""),G89:J89),0))</f>
        <v/>
      </c>
      <c r="L89" s="53">
        <f>IF(K89="","",IF(K89&gt;=1,"Completado",IF(K89&gt;0,"En curso","Pendiente")))</f>
        <v/>
      </c>
      <c r="M89" s="54" t="n"/>
      <c r="N89" s="59">
        <f>IF(NOT((COUNTA($B89:$J89)+COUNTA($M89))&gt;0),"",IF((IF(B89="","Macroactividad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","")&amp;IF(ABS(SUM($F$5:$F$1000)-1)&gt;0.0001,"Pesos del puesto suman "&amp;TEXT(SUM($F$5:$F$1000),"0%")&amp;"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 OK","⚠ "&amp;LEFT(IF(B89="","Macroactividad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","")&amp;IF(ABS(SUM($F$5:$F$1000)-1)&gt;0.0001,"Pesos del puesto suman "&amp;TEXT(SUM($F$5:$F$1000),"0%")&amp;"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",""),LEN(IF(B89="","Macroactividad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","")&amp;IF(ABS(SUM($F$5:$F$1000)-1)&gt;0.0001,"Pesos del puesto suman "&amp;TEXT(SUM($F$5:$F$1000),"0%")&amp;"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",""))-3)))</f>
        <v/>
      </c>
    </row>
    <row r="90">
      <c r="A90" s="53">
        <f>IF(NOT((COUNTA($B90:$J90)+COUNTA($M90))&gt;0),"",COUNTIF($L$5:$L90,"?*"))</f>
        <v/>
      </c>
      <c r="B90" s="54" t="n"/>
      <c r="C90" s="54" t="n"/>
      <c r="D90" s="55" t="n"/>
      <c r="E90" s="55" t="n"/>
      <c r="F90" s="56" t="n"/>
      <c r="G90" s="57" t="n"/>
      <c r="H90" s="57" t="n"/>
      <c r="I90" s="57" t="n"/>
      <c r="J90" s="57" t="n"/>
      <c r="K90" s="58">
        <f>IF(NOT((COUNTA($B90:$J90)+COUNTA($M90))&gt;0),"",IFERROR(LOOKUP(2,1/(G90:J90&lt;&gt;""),G90:J90),0))</f>
        <v/>
      </c>
      <c r="L90" s="53">
        <f>IF(K90="","",IF(K90&gt;=1,"Completado",IF(K90&gt;0,"En curso","Pendiente")))</f>
        <v/>
      </c>
      <c r="M90" s="54" t="n"/>
      <c r="N90" s="59">
        <f>IF(NOT((COUNTA($B90:$J90)+COUNTA($M90))&gt;0),"",IF((IF(B90="","Macroactividad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","")&amp;IF(ABS(SUM($F$5:$F$1000)-1)&gt;0.0001,"Pesos del puesto suman "&amp;TEXT(SUM($F$5:$F$1000),"0%")&amp;"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 OK","⚠ "&amp;LEFT(IF(B90="","Macroactividad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","")&amp;IF(ABS(SUM($F$5:$F$1000)-1)&gt;0.0001,"Pesos del puesto suman "&amp;TEXT(SUM($F$5:$F$1000),"0%")&amp;"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",""),LEN(IF(B90="","Macroactividad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","")&amp;IF(ABS(SUM($F$5:$F$1000)-1)&gt;0.0001,"Pesos del puesto suman "&amp;TEXT(SUM($F$5:$F$1000),"0%")&amp;"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",""))-3)))</f>
        <v/>
      </c>
    </row>
    <row r="91">
      <c r="A91" s="53">
        <f>IF(NOT((COUNTA($B91:$J91)+COUNTA($M91))&gt;0),"",COUNTIF($L$5:$L91,"?*"))</f>
        <v/>
      </c>
      <c r="B91" s="54" t="n"/>
      <c r="C91" s="54" t="n"/>
      <c r="D91" s="55" t="n"/>
      <c r="E91" s="55" t="n"/>
      <c r="F91" s="56" t="n"/>
      <c r="G91" s="57" t="n"/>
      <c r="H91" s="57" t="n"/>
      <c r="I91" s="57" t="n"/>
      <c r="J91" s="57" t="n"/>
      <c r="K91" s="58">
        <f>IF(NOT((COUNTA($B91:$J91)+COUNTA($M91))&gt;0),"",IFERROR(LOOKUP(2,1/(G91:J91&lt;&gt;""),G91:J91),0))</f>
        <v/>
      </c>
      <c r="L91" s="53">
        <f>IF(K91="","",IF(K91&gt;=1,"Completado",IF(K91&gt;0,"En curso","Pendiente")))</f>
        <v/>
      </c>
      <c r="M91" s="54" t="n"/>
      <c r="N91" s="59">
        <f>IF(NOT((COUNTA($B91:$J91)+COUNTA($M91))&gt;0),"",IF((IF(B91="","Macroactividad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","")&amp;IF(ABS(SUM($F$5:$F$1000)-1)&gt;0.0001,"Pesos del puesto suman "&amp;TEXT(SUM($F$5:$F$1000),"0%")&amp;"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 OK","⚠ "&amp;LEFT(IF(B91="","Macroactividad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","")&amp;IF(ABS(SUM($F$5:$F$1000)-1)&gt;0.0001,"Pesos del puesto suman "&amp;TEXT(SUM($F$5:$F$1000),"0%")&amp;"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",""),LEN(IF(B91="","Macroactividad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","")&amp;IF(ABS(SUM($F$5:$F$1000)-1)&gt;0.0001,"Pesos del puesto suman "&amp;TEXT(SUM($F$5:$F$1000),"0%")&amp;"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",""))-3)))</f>
        <v/>
      </c>
    </row>
    <row r="92">
      <c r="A92" s="53">
        <f>IF(NOT((COUNTA($B92:$J92)+COUNTA($M92))&gt;0),"",COUNTIF($L$5:$L92,"?*"))</f>
        <v/>
      </c>
      <c r="B92" s="54" t="n"/>
      <c r="C92" s="54" t="n"/>
      <c r="D92" s="55" t="n"/>
      <c r="E92" s="55" t="n"/>
      <c r="F92" s="56" t="n"/>
      <c r="G92" s="57" t="n"/>
      <c r="H92" s="57" t="n"/>
      <c r="I92" s="57" t="n"/>
      <c r="J92" s="57" t="n"/>
      <c r="K92" s="58">
        <f>IF(NOT((COUNTA($B92:$J92)+COUNTA($M92))&gt;0),"",IFERROR(LOOKUP(2,1/(G92:J92&lt;&gt;""),G92:J92),0))</f>
        <v/>
      </c>
      <c r="L92" s="53">
        <f>IF(K92="","",IF(K92&gt;=1,"Completado",IF(K92&gt;0,"En curso","Pendiente")))</f>
        <v/>
      </c>
      <c r="M92" s="54" t="n"/>
      <c r="N92" s="59">
        <f>IF(NOT((COUNTA($B92:$J92)+COUNTA($M92))&gt;0),"",IF((IF(B92="","Macroactividad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","")&amp;IF(ABS(SUM($F$5:$F$1000)-1)&gt;0.0001,"Pesos del puesto suman "&amp;TEXT(SUM($F$5:$F$1000),"0%")&amp;"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 OK","⚠ "&amp;LEFT(IF(B92="","Macroactividad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","")&amp;IF(ABS(SUM($F$5:$F$1000)-1)&gt;0.0001,"Pesos del puesto suman "&amp;TEXT(SUM($F$5:$F$1000),"0%")&amp;"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",""),LEN(IF(B92="","Macroactividad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","")&amp;IF(ABS(SUM($F$5:$F$1000)-1)&gt;0.0001,"Pesos del puesto suman "&amp;TEXT(SUM($F$5:$F$1000),"0%")&amp;"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",""))-3)))</f>
        <v/>
      </c>
    </row>
    <row r="93">
      <c r="A93" s="53">
        <f>IF(NOT((COUNTA($B93:$J93)+COUNTA($M93))&gt;0),"",COUNTIF($L$5:$L93,"?*"))</f>
        <v/>
      </c>
      <c r="B93" s="54" t="n"/>
      <c r="C93" s="54" t="n"/>
      <c r="D93" s="55" t="n"/>
      <c r="E93" s="55" t="n"/>
      <c r="F93" s="56" t="n"/>
      <c r="G93" s="57" t="n"/>
      <c r="H93" s="57" t="n"/>
      <c r="I93" s="57" t="n"/>
      <c r="J93" s="57" t="n"/>
      <c r="K93" s="58">
        <f>IF(NOT((COUNTA($B93:$J93)+COUNTA($M93))&gt;0),"",IFERROR(LOOKUP(2,1/(G93:J93&lt;&gt;""),G93:J93),0))</f>
        <v/>
      </c>
      <c r="L93" s="53">
        <f>IF(K93="","",IF(K93&gt;=1,"Completado",IF(K93&gt;0,"En curso","Pendiente")))</f>
        <v/>
      </c>
      <c r="M93" s="54" t="n"/>
      <c r="N93" s="59">
        <f>IF(NOT((COUNTA($B93:$J93)+COUNTA($M93))&gt;0),"",IF((IF(B93="","Macroactividad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","")&amp;IF(ABS(SUM($F$5:$F$1000)-1)&gt;0.0001,"Pesos del puesto suman "&amp;TEXT(SUM($F$5:$F$1000),"0%")&amp;"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 OK","⚠ "&amp;LEFT(IF(B93="","Macroactividad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","")&amp;IF(ABS(SUM($F$5:$F$1000)-1)&gt;0.0001,"Pesos del puesto suman "&amp;TEXT(SUM($F$5:$F$1000),"0%")&amp;"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",""),LEN(IF(B93="","Macroactividad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","")&amp;IF(ABS(SUM($F$5:$F$1000)-1)&gt;0.0001,"Pesos del puesto suman "&amp;TEXT(SUM($F$5:$F$1000),"0%")&amp;"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",""))-3)))</f>
        <v/>
      </c>
    </row>
    <row r="94">
      <c r="A94" s="53">
        <f>IF(NOT((COUNTA($B94:$J94)+COUNTA($M94))&gt;0),"",COUNTIF($L$5:$L94,"?*"))</f>
        <v/>
      </c>
      <c r="B94" s="54" t="n"/>
      <c r="C94" s="54" t="n"/>
      <c r="D94" s="55" t="n"/>
      <c r="E94" s="55" t="n"/>
      <c r="F94" s="56" t="n"/>
      <c r="G94" s="57" t="n"/>
      <c r="H94" s="57" t="n"/>
      <c r="I94" s="57" t="n"/>
      <c r="J94" s="57" t="n"/>
      <c r="K94" s="58">
        <f>IF(NOT((COUNTA($B94:$J94)+COUNTA($M94))&gt;0),"",IFERROR(LOOKUP(2,1/(G94:J94&lt;&gt;""),G94:J94),0))</f>
        <v/>
      </c>
      <c r="L94" s="53">
        <f>IF(K94="","",IF(K94&gt;=1,"Completado",IF(K94&gt;0,"En curso","Pendiente")))</f>
        <v/>
      </c>
      <c r="M94" s="54" t="n"/>
      <c r="N94" s="59">
        <f>IF(NOT((COUNTA($B94:$J94)+COUNTA($M94))&gt;0),"",IF((IF(B94="","Macroactividad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","")&amp;IF(ABS(SUM($F$5:$F$1000)-1)&gt;0.0001,"Pesos del puesto suman "&amp;TEXT(SUM($F$5:$F$1000),"0%")&amp;"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 OK","⚠ "&amp;LEFT(IF(B94="","Macroactividad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","")&amp;IF(ABS(SUM($F$5:$F$1000)-1)&gt;0.0001,"Pesos del puesto suman "&amp;TEXT(SUM($F$5:$F$1000),"0%")&amp;"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",""),LEN(IF(B94="","Macroactividad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","")&amp;IF(ABS(SUM($F$5:$F$1000)-1)&gt;0.0001,"Pesos del puesto suman "&amp;TEXT(SUM($F$5:$F$1000),"0%")&amp;"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",""))-3)))</f>
        <v/>
      </c>
    </row>
    <row r="95">
      <c r="A95" s="53">
        <f>IF(NOT((COUNTA($B95:$J95)+COUNTA($M95))&gt;0),"",COUNTIF($L$5:$L95,"?*"))</f>
        <v/>
      </c>
      <c r="B95" s="54" t="n"/>
      <c r="C95" s="54" t="n"/>
      <c r="D95" s="55" t="n"/>
      <c r="E95" s="55" t="n"/>
      <c r="F95" s="56" t="n"/>
      <c r="G95" s="57" t="n"/>
      <c r="H95" s="57" t="n"/>
      <c r="I95" s="57" t="n"/>
      <c r="J95" s="57" t="n"/>
      <c r="K95" s="58">
        <f>IF(NOT((COUNTA($B95:$J95)+COUNTA($M95))&gt;0),"",IFERROR(LOOKUP(2,1/(G95:J95&lt;&gt;""),G95:J95),0))</f>
        <v/>
      </c>
      <c r="L95" s="53">
        <f>IF(K95="","",IF(K95&gt;=1,"Completado",IF(K95&gt;0,"En curso","Pendiente")))</f>
        <v/>
      </c>
      <c r="M95" s="54" t="n"/>
      <c r="N95" s="59">
        <f>IF(NOT((COUNTA($B95:$J95)+COUNTA($M95))&gt;0),"",IF((IF(B95="","Macroactividad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","")&amp;IF(ABS(SUM($F$5:$F$1000)-1)&gt;0.0001,"Pesos del puesto suman "&amp;TEXT(SUM($F$5:$F$1000),"0%")&amp;"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 OK","⚠ "&amp;LEFT(IF(B95="","Macroactividad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","")&amp;IF(ABS(SUM($F$5:$F$1000)-1)&gt;0.0001,"Pesos del puesto suman "&amp;TEXT(SUM($F$5:$F$1000),"0%")&amp;"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",""),LEN(IF(B95="","Macroactividad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","")&amp;IF(ABS(SUM($F$5:$F$1000)-1)&gt;0.0001,"Pesos del puesto suman "&amp;TEXT(SUM($F$5:$F$1000),"0%")&amp;"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",""))-3)))</f>
        <v/>
      </c>
    </row>
    <row r="96">
      <c r="A96" s="53">
        <f>IF(NOT((COUNTA($B96:$J96)+COUNTA($M96))&gt;0),"",COUNTIF($L$5:$L96,"?*"))</f>
        <v/>
      </c>
      <c r="B96" s="54" t="n"/>
      <c r="C96" s="54" t="n"/>
      <c r="D96" s="55" t="n"/>
      <c r="E96" s="55" t="n"/>
      <c r="F96" s="56" t="n"/>
      <c r="G96" s="57" t="n"/>
      <c r="H96" s="57" t="n"/>
      <c r="I96" s="57" t="n"/>
      <c r="J96" s="57" t="n"/>
      <c r="K96" s="58">
        <f>IF(NOT((COUNTA($B96:$J96)+COUNTA($M96))&gt;0),"",IFERROR(LOOKUP(2,1/(G96:J96&lt;&gt;""),G96:J96),0))</f>
        <v/>
      </c>
      <c r="L96" s="53">
        <f>IF(K96="","",IF(K96&gt;=1,"Completado",IF(K96&gt;0,"En curso","Pendiente")))</f>
        <v/>
      </c>
      <c r="M96" s="54" t="n"/>
      <c r="N96" s="59">
        <f>IF(NOT((COUNTA($B96:$J96)+COUNTA($M96))&gt;0),"",IF((IF(B96="","Macroactividad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","")&amp;IF(ABS(SUM($F$5:$F$1000)-1)&gt;0.0001,"Pesos del puesto suman "&amp;TEXT(SUM($F$5:$F$1000),"0%")&amp;"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 OK","⚠ "&amp;LEFT(IF(B96="","Macroactividad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","")&amp;IF(ABS(SUM($F$5:$F$1000)-1)&gt;0.0001,"Pesos del puesto suman "&amp;TEXT(SUM($F$5:$F$1000),"0%")&amp;"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",""),LEN(IF(B96="","Macroactividad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","")&amp;IF(ABS(SUM($F$5:$F$1000)-1)&gt;0.0001,"Pesos del puesto suman "&amp;TEXT(SUM($F$5:$F$1000),"0%")&amp;"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",""))-3)))</f>
        <v/>
      </c>
    </row>
    <row r="97">
      <c r="A97" s="53">
        <f>IF(NOT((COUNTA($B97:$J97)+COUNTA($M97))&gt;0),"",COUNTIF($L$5:$L97,"?*"))</f>
        <v/>
      </c>
      <c r="B97" s="54" t="n"/>
      <c r="C97" s="54" t="n"/>
      <c r="D97" s="55" t="n"/>
      <c r="E97" s="55" t="n"/>
      <c r="F97" s="56" t="n"/>
      <c r="G97" s="57" t="n"/>
      <c r="H97" s="57" t="n"/>
      <c r="I97" s="57" t="n"/>
      <c r="J97" s="57" t="n"/>
      <c r="K97" s="58">
        <f>IF(NOT((COUNTA($B97:$J97)+COUNTA($M97))&gt;0),"",IFERROR(LOOKUP(2,1/(G97:J97&lt;&gt;""),G97:J97),0))</f>
        <v/>
      </c>
      <c r="L97" s="53">
        <f>IF(K97="","",IF(K97&gt;=1,"Completado",IF(K97&gt;0,"En curso","Pendiente")))</f>
        <v/>
      </c>
      <c r="M97" s="54" t="n"/>
      <c r="N97" s="59">
        <f>IF(NOT((COUNTA($B97:$J97)+COUNTA($M97))&gt;0),"",IF((IF(B97="","Macroactividad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","")&amp;IF(ABS(SUM($F$5:$F$1000)-1)&gt;0.0001,"Pesos del puesto suman "&amp;TEXT(SUM($F$5:$F$1000),"0%")&amp;"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 OK","⚠ "&amp;LEFT(IF(B97="","Macroactividad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","")&amp;IF(ABS(SUM($F$5:$F$1000)-1)&gt;0.0001,"Pesos del puesto suman "&amp;TEXT(SUM($F$5:$F$1000),"0%")&amp;"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",""),LEN(IF(B97="","Macroactividad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","")&amp;IF(ABS(SUM($F$5:$F$1000)-1)&gt;0.0001,"Pesos del puesto suman "&amp;TEXT(SUM($F$5:$F$1000),"0%")&amp;"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",""))-3)))</f>
        <v/>
      </c>
    </row>
    <row r="98">
      <c r="A98" s="53">
        <f>IF(NOT((COUNTA($B98:$J98)+COUNTA($M98))&gt;0),"",COUNTIF($L$5:$L98,"?*"))</f>
        <v/>
      </c>
      <c r="B98" s="54" t="n"/>
      <c r="C98" s="54" t="n"/>
      <c r="D98" s="55" t="n"/>
      <c r="E98" s="55" t="n"/>
      <c r="F98" s="56" t="n"/>
      <c r="G98" s="57" t="n"/>
      <c r="H98" s="57" t="n"/>
      <c r="I98" s="57" t="n"/>
      <c r="J98" s="57" t="n"/>
      <c r="K98" s="58">
        <f>IF(NOT((COUNTA($B98:$J98)+COUNTA($M98))&gt;0),"",IFERROR(LOOKUP(2,1/(G98:J98&lt;&gt;""),G98:J98),0))</f>
        <v/>
      </c>
      <c r="L98" s="53">
        <f>IF(K98="","",IF(K98&gt;=1,"Completado",IF(K98&gt;0,"En curso","Pendiente")))</f>
        <v/>
      </c>
      <c r="M98" s="54" t="n"/>
      <c r="N98" s="59">
        <f>IF(NOT((COUNTA($B98:$J98)+COUNTA($M98))&gt;0),"",IF((IF(B98="","Macroactividad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","")&amp;IF(ABS(SUM($F$5:$F$1000)-1)&gt;0.0001,"Pesos del puesto suman "&amp;TEXT(SUM($F$5:$F$1000),"0%")&amp;"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 OK","⚠ "&amp;LEFT(IF(B98="","Macroactividad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","")&amp;IF(ABS(SUM($F$5:$F$1000)-1)&gt;0.0001,"Pesos del puesto suman "&amp;TEXT(SUM($F$5:$F$1000),"0%")&amp;"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",""),LEN(IF(B98="","Macroactividad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","")&amp;IF(ABS(SUM($F$5:$F$1000)-1)&gt;0.0001,"Pesos del puesto suman "&amp;TEXT(SUM($F$5:$F$1000),"0%")&amp;"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",""))-3)))</f>
        <v/>
      </c>
    </row>
    <row r="99">
      <c r="A99" s="53">
        <f>IF(NOT((COUNTA($B99:$J99)+COUNTA($M99))&gt;0),"",COUNTIF($L$5:$L99,"?*"))</f>
        <v/>
      </c>
      <c r="B99" s="54" t="n"/>
      <c r="C99" s="54" t="n"/>
      <c r="D99" s="55" t="n"/>
      <c r="E99" s="55" t="n"/>
      <c r="F99" s="56" t="n"/>
      <c r="G99" s="57" t="n"/>
      <c r="H99" s="57" t="n"/>
      <c r="I99" s="57" t="n"/>
      <c r="J99" s="57" t="n"/>
      <c r="K99" s="58">
        <f>IF(NOT((COUNTA($B99:$J99)+COUNTA($M99))&gt;0),"",IFERROR(LOOKUP(2,1/(G99:J99&lt;&gt;""),G99:J99),0))</f>
        <v/>
      </c>
      <c r="L99" s="53">
        <f>IF(K99="","",IF(K99&gt;=1,"Completado",IF(K99&gt;0,"En curso","Pendiente")))</f>
        <v/>
      </c>
      <c r="M99" s="54" t="n"/>
      <c r="N99" s="59">
        <f>IF(NOT((COUNTA($B99:$J99)+COUNTA($M99))&gt;0),"",IF((IF(B99="","Macroactividad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","")&amp;IF(ABS(SUM($F$5:$F$1000)-1)&gt;0.0001,"Pesos del puesto suman "&amp;TEXT(SUM($F$5:$F$1000),"0%")&amp;"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 OK","⚠ "&amp;LEFT(IF(B99="","Macroactividad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","")&amp;IF(ABS(SUM($F$5:$F$1000)-1)&gt;0.0001,"Pesos del puesto suman "&amp;TEXT(SUM($F$5:$F$1000),"0%")&amp;"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",""),LEN(IF(B99="","Macroactividad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","")&amp;IF(ABS(SUM($F$5:$F$1000)-1)&gt;0.0001,"Pesos del puesto suman "&amp;TEXT(SUM($F$5:$F$1000),"0%")&amp;"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",""))-3)))</f>
        <v/>
      </c>
    </row>
    <row r="100">
      <c r="A100" s="53">
        <f>IF(NOT((COUNTA($B100:$J100)+COUNTA($M100))&gt;0),"",COUNTIF($L$5:$L100,"?*"))</f>
        <v/>
      </c>
      <c r="B100" s="54" t="n"/>
      <c r="C100" s="54" t="n"/>
      <c r="D100" s="55" t="n"/>
      <c r="E100" s="55" t="n"/>
      <c r="F100" s="56" t="n"/>
      <c r="G100" s="57" t="n"/>
      <c r="H100" s="57" t="n"/>
      <c r="I100" s="57" t="n"/>
      <c r="J100" s="57" t="n"/>
      <c r="K100" s="58">
        <f>IF(NOT((COUNTA($B100:$J100)+COUNTA($M100))&gt;0),"",IFERROR(LOOKUP(2,1/(G100:J100&lt;&gt;""),G100:J100),0))</f>
        <v/>
      </c>
      <c r="L100" s="53">
        <f>IF(K100="","",IF(K100&gt;=1,"Completado",IF(K100&gt;0,"En curso","Pendiente")))</f>
        <v/>
      </c>
      <c r="M100" s="54" t="n"/>
      <c r="N100" s="59">
        <f>IF(NOT((COUNTA($B100:$J100)+COUNTA($M100))&gt;0),"",IF((IF(B100="","Macroactividad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","")&amp;IF(ABS(SUM($F$5:$F$1000)-1)&gt;0.0001,"Pesos del puesto suman "&amp;TEXT(SUM($F$5:$F$1000),"0%")&amp;"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 OK","⚠ "&amp;LEFT(IF(B100="","Macroactividad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","")&amp;IF(ABS(SUM($F$5:$F$1000)-1)&gt;0.0001,"Pesos del puesto suman "&amp;TEXT(SUM($F$5:$F$1000),"0%")&amp;"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",""),LEN(IF(B100="","Macroactividad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","")&amp;IF(ABS(SUM($F$5:$F$1000)-1)&gt;0.0001,"Pesos del puesto suman "&amp;TEXT(SUM($F$5:$F$1000),"0%")&amp;"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",""))-3)))</f>
        <v/>
      </c>
    </row>
    <row r="101">
      <c r="A101" s="53">
        <f>IF(NOT((COUNTA($B101:$J101)+COUNTA($M101))&gt;0),"",COUNTIF($L$5:$L101,"?*"))</f>
        <v/>
      </c>
      <c r="B101" s="54" t="n"/>
      <c r="C101" s="54" t="n"/>
      <c r="D101" s="55" t="n"/>
      <c r="E101" s="55" t="n"/>
      <c r="F101" s="56" t="n"/>
      <c r="G101" s="57" t="n"/>
      <c r="H101" s="57" t="n"/>
      <c r="I101" s="57" t="n"/>
      <c r="J101" s="57" t="n"/>
      <c r="K101" s="58">
        <f>IF(NOT((COUNTA($B101:$J101)+COUNTA($M101))&gt;0),"",IFERROR(LOOKUP(2,1/(G101:J101&lt;&gt;""),G101:J101),0))</f>
        <v/>
      </c>
      <c r="L101" s="53">
        <f>IF(K101="","",IF(K101&gt;=1,"Completado",IF(K101&gt;0,"En curso","Pendiente")))</f>
        <v/>
      </c>
      <c r="M101" s="54" t="n"/>
      <c r="N101" s="59">
        <f>IF(NOT((COUNTA($B101:$J101)+COUNTA($M101))&gt;0),"",IF((IF(B101="","Macroactividad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","")&amp;IF(ABS(SUM($F$5:$F$1000)-1)&gt;0.0001,"Pesos del puesto suman "&amp;TEXT(SUM($F$5:$F$1000),"0%")&amp;"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 OK","⚠ "&amp;LEFT(IF(B101="","Macroactividad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","")&amp;IF(ABS(SUM($F$5:$F$1000)-1)&gt;0.0001,"Pesos del puesto suman "&amp;TEXT(SUM($F$5:$F$1000),"0%")&amp;"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",""),LEN(IF(B101="","Macroactividad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","")&amp;IF(ABS(SUM($F$5:$F$1000)-1)&gt;0.0001,"Pesos del puesto suman "&amp;TEXT(SUM($F$5:$F$1000),"0%")&amp;"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",""))-3)))</f>
        <v/>
      </c>
    </row>
    <row r="102">
      <c r="A102" s="53">
        <f>IF(NOT((COUNTA($B102:$J102)+COUNTA($M102))&gt;0),"",COUNTIF($L$5:$L102,"?*"))</f>
        <v/>
      </c>
      <c r="B102" s="54" t="n"/>
      <c r="C102" s="54" t="n"/>
      <c r="D102" s="55" t="n"/>
      <c r="E102" s="55" t="n"/>
      <c r="F102" s="56" t="n"/>
      <c r="G102" s="57" t="n"/>
      <c r="H102" s="57" t="n"/>
      <c r="I102" s="57" t="n"/>
      <c r="J102" s="57" t="n"/>
      <c r="K102" s="58">
        <f>IF(NOT((COUNTA($B102:$J102)+COUNTA($M102))&gt;0),"",IFERROR(LOOKUP(2,1/(G102:J102&lt;&gt;""),G102:J102),0))</f>
        <v/>
      </c>
      <c r="L102" s="53">
        <f>IF(K102="","",IF(K102&gt;=1,"Completado",IF(K102&gt;0,"En curso","Pendiente")))</f>
        <v/>
      </c>
      <c r="M102" s="54" t="n"/>
      <c r="N102" s="59">
        <f>IF(NOT((COUNTA($B102:$J102)+COUNTA($M102))&gt;0),"",IF((IF(B102="","Macroactividad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","")&amp;IF(ABS(SUM($F$5:$F$1000)-1)&gt;0.0001,"Pesos del puesto suman "&amp;TEXT(SUM($F$5:$F$1000),"0%")&amp;"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 OK","⚠ "&amp;LEFT(IF(B102="","Macroactividad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","")&amp;IF(ABS(SUM($F$5:$F$1000)-1)&gt;0.0001,"Pesos del puesto suman "&amp;TEXT(SUM($F$5:$F$1000),"0%")&amp;"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",""),LEN(IF(B102="","Macroactividad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","")&amp;IF(ABS(SUM($F$5:$F$1000)-1)&gt;0.0001,"Pesos del puesto suman "&amp;TEXT(SUM($F$5:$F$1000),"0%")&amp;"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",""))-3)))</f>
        <v/>
      </c>
    </row>
    <row r="103">
      <c r="A103" s="53">
        <f>IF(NOT((COUNTA($B103:$J103)+COUNTA($M103))&gt;0),"",COUNTIF($L$5:$L103,"?*"))</f>
        <v/>
      </c>
      <c r="B103" s="54" t="n"/>
      <c r="C103" s="54" t="n"/>
      <c r="D103" s="55" t="n"/>
      <c r="E103" s="55" t="n"/>
      <c r="F103" s="56" t="n"/>
      <c r="G103" s="57" t="n"/>
      <c r="H103" s="57" t="n"/>
      <c r="I103" s="57" t="n"/>
      <c r="J103" s="57" t="n"/>
      <c r="K103" s="58">
        <f>IF(NOT((COUNTA($B103:$J103)+COUNTA($M103))&gt;0),"",IFERROR(LOOKUP(2,1/(G103:J103&lt;&gt;""),G103:J103),0))</f>
        <v/>
      </c>
      <c r="L103" s="53">
        <f>IF(K103="","",IF(K103&gt;=1,"Completado",IF(K103&gt;0,"En curso","Pendiente")))</f>
        <v/>
      </c>
      <c r="M103" s="54" t="n"/>
      <c r="N103" s="59">
        <f>IF(NOT((COUNTA($B103:$J103)+COUNTA($M103))&gt;0),"",IF((IF(B103="","Macroactividad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","")&amp;IF(ABS(SUM($F$5:$F$1000)-1)&gt;0.0001,"Pesos del puesto suman "&amp;TEXT(SUM($F$5:$F$1000),"0%")&amp;"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 OK","⚠ "&amp;LEFT(IF(B103="","Macroactividad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","")&amp;IF(ABS(SUM($F$5:$F$1000)-1)&gt;0.0001,"Pesos del puesto suman "&amp;TEXT(SUM($F$5:$F$1000),"0%")&amp;"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",""),LEN(IF(B103="","Macroactividad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","")&amp;IF(ABS(SUM($F$5:$F$1000)-1)&gt;0.0001,"Pesos del puesto suman "&amp;TEXT(SUM($F$5:$F$1000),"0%")&amp;"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",""))-3)))</f>
        <v/>
      </c>
    </row>
    <row r="104">
      <c r="A104" s="53">
        <f>IF(NOT((COUNTA($B104:$J104)+COUNTA($M104))&gt;0),"",COUNTIF($L$5:$L104,"?*"))</f>
        <v/>
      </c>
      <c r="B104" s="54" t="n"/>
      <c r="C104" s="54" t="n"/>
      <c r="D104" s="55" t="n"/>
      <c r="E104" s="55" t="n"/>
      <c r="F104" s="56" t="n"/>
      <c r="G104" s="57" t="n"/>
      <c r="H104" s="57" t="n"/>
      <c r="I104" s="57" t="n"/>
      <c r="J104" s="57" t="n"/>
      <c r="K104" s="58">
        <f>IF(NOT((COUNTA($B104:$J104)+COUNTA($M104))&gt;0),"",IFERROR(LOOKUP(2,1/(G104:J104&lt;&gt;""),G104:J104),0))</f>
        <v/>
      </c>
      <c r="L104" s="53">
        <f>IF(K104="","",IF(K104&gt;=1,"Completado",IF(K104&gt;0,"En curso","Pendiente")))</f>
        <v/>
      </c>
      <c r="M104" s="54" t="n"/>
      <c r="N104" s="59">
        <f>IF(NOT((COUNTA($B104:$J104)+COUNTA($M104))&gt;0),"",IF((IF(B104="","Macroactividad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","")&amp;IF(ABS(SUM($F$5:$F$1000)-1)&gt;0.0001,"Pesos del puesto suman "&amp;TEXT(SUM($F$5:$F$1000),"0%")&amp;"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 OK","⚠ "&amp;LEFT(IF(B104="","Macroactividad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","")&amp;IF(ABS(SUM($F$5:$F$1000)-1)&gt;0.0001,"Pesos del puesto suman "&amp;TEXT(SUM($F$5:$F$1000),"0%")&amp;"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",""),LEN(IF(B104="","Macroactividad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","")&amp;IF(ABS(SUM($F$5:$F$1000)-1)&gt;0.0001,"Pesos del puesto suman "&amp;TEXT(SUM($F$5:$F$1000),"0%")&amp;"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",""))-3)))</f>
        <v/>
      </c>
    </row>
  </sheetData>
  <sheetProtection selectLockedCells="0" selectUnlockedCells="0" sheet="1" objects="0" insertRows="1" insertHyperlinks="1" autoFilter="0" scenarios="0" formatColumns="0" deleteColumns="1" insertColumns="1" pivotTables="1" deleteRows="1" formatCells="1" formatRows="0" sort="0"/>
  <mergeCells count="3">
    <mergeCell ref="E3:F3"/>
    <mergeCell ref="A2:N2"/>
    <mergeCell ref="A1:N1"/>
  </mergeCells>
  <conditionalFormatting sqref="E3:F3">
    <cfRule type="expression" priority="1" dxfId="1">
      <formula>LEFT($E$3,1)="⚠"</formula>
    </cfRule>
    <cfRule type="expression" priority="2" dxfId="0">
      <formula>LEFT($E$3,1)="✔"</formula>
    </cfRule>
  </conditionalFormatting>
  <conditionalFormatting sqref="L5:L1000">
    <cfRule type="expression" priority="3" dxfId="0">
      <formula>$L5="Completado"</formula>
    </cfRule>
    <cfRule type="expression" priority="4" dxfId="4">
      <formula>$L5="En curso"</formula>
    </cfRule>
    <cfRule type="expression" priority="5" dxfId="5">
      <formula>$L5="Pendiente"</formula>
    </cfRule>
  </conditionalFormatting>
  <conditionalFormatting sqref="K5:K1000">
    <cfRule type="expression" priority="6" dxfId="0">
      <formula>AND(ISNUMBER($K5),$K5&gt;=1)</formula>
    </cfRule>
    <cfRule type="dataBar" priority="7">
      <dataBar showValue="1">
        <cfvo type="num" val="0"/>
        <cfvo type="num" val="1"/>
        <color rgb="005B9BD5"/>
      </dataBar>
    </cfRule>
  </conditionalFormatting>
  <conditionalFormatting sqref="E5:E1000">
    <cfRule type="expression" priority="8" dxfId="6" stopIfTrue="1">
      <formula>AND(ISNUMBER($E5),$E5&lt;FechaRef,N($K5)&lt;1)</formula>
    </cfRule>
    <cfRule type="expression" priority="9" dxfId="7">
      <formula>AND(ISNUMBER($E5),$E5&gt;=FechaRef,$E5-FechaRef&lt;=DiasAlerta,N($K5)&lt;1)</formula>
    </cfRule>
  </conditionalFormatting>
  <conditionalFormatting sqref="B5:F1000">
    <cfRule type="expression" priority="10" dxfId="5">
      <formula>AND((COUNTA($B5:$J5)+COUNTA($M5))&gt;0,B5="")</formula>
    </cfRule>
  </conditionalFormatting>
  <conditionalFormatting sqref="D5:E1000">
    <cfRule type="expression" priority="11" dxfId="6">
      <formula>AND(ISNUMBER($D5),ISNUMBER($E5),$D5&gt;$E5)</formula>
    </cfRule>
  </conditionalFormatting>
  <conditionalFormatting sqref="F5:F1000">
    <cfRule type="expression" priority="12" dxfId="7">
      <formula>AND((COUNTA($B5:$J5)+COUNTA($M5))&gt;0,ABS(SUM($F$5:$F$1000)-1)&gt;0.0001)</formula>
    </cfRule>
  </conditionalFormatting>
  <conditionalFormatting sqref="G5:J1000">
    <cfRule type="expression" priority="13" dxfId="5" stopIfTrue="1">
      <formula>AND(G5&lt;&gt;"",OR(NOT(ISNUMBER(G5)),G5&gt;1,G5&lt;0))</formula>
    </cfRule>
  </conditionalFormatting>
  <conditionalFormatting sqref="H5:J1000">
    <cfRule type="expression" priority="14" dxfId="6">
      <formula>AND(H5&lt;&gt;"",H5&lt;MAX($G5:G5))</formula>
    </cfRule>
  </conditionalFormatting>
  <conditionalFormatting sqref="M5:M1000">
    <cfRule type="expression" priority="15" dxfId="5">
      <formula>AND(ObsObligatoria="Sí",ISNUMBER($E5),$E5&lt;FechaRef,N($K5)&lt;1,$M5="")</formula>
    </cfRule>
  </conditionalFormatting>
  <conditionalFormatting sqref="N5:N1000">
    <cfRule type="expression" priority="16" dxfId="5">
      <formula>LEFT($N5,1)="⚠"</formula>
    </cfRule>
    <cfRule type="expression" priority="17" dxfId="8">
      <formula>LEFT($N5,1)="✔"</formula>
    </cfRule>
  </conditionalFormatting>
  <dataValidations count="3">
    <dataValidation sqref="D5:D1000 E5:E1000" showDropDown="0" showInputMessage="0" showErrorMessage="1" allowBlank="1" errorTitle="Fecha no válida" error="Ingrese una fecha válida (dd/mm/aaaa)." type="date" operator="greaterThan">
      <formula1>36526</formula1>
    </dataValidation>
    <dataValidation sqref="F5:F1000" showDropDown="0" showInputMessage="1" showErrorMessage="1" allowBlank="1" errorTitle="Peso no válido" error="Ingrese un porcentaje entre 0% y 100% (por ejemplo 25%)." promptTitle="Peso de actividad" prompt="Qué tanto vale esta actividad. La suma de esta hoja debe ser 100%." type="decimal" operator="between">
      <formula1>0</formula1>
      <formula2>1</formula2>
    </dataValidation>
    <dataValidation sqref="G5:J1000" showDropDown="0" showInputMessage="1" showErrorMessage="1" allowBlank="1" errorTitle="Avance no válido" error="Ingrese un porcentaje entre 0% y 100%. Deje la celda vacía si la semana no ha llegado." promptTitle="Avance acumulado" prompt="% TOTAL logrado hasta esta semana (no solo lo de la semana)." type="decimal" operator="between">
      <formula1>0</formula1>
      <formula2>1</formula2>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tabColor rgb="002E75B6"/>
    <outlinePr summaryBelow="1" summaryRight="1"/>
    <pageSetUpPr fitToPage="1"/>
  </sheetPr>
  <dimension ref="A1:M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22" customWidth="1" min="3" max="3"/>
    <col width="12" customWidth="1" min="4" max="4"/>
    <col width="12" customWidth="1" min="5" max="5"/>
    <col width="16" customWidth="1" min="6" max="6"/>
    <col width="11" customWidth="1" min="7" max="7"/>
    <col width="11" customWidth="1" min="8" max="8"/>
    <col width="11" customWidth="1" min="9" max="9"/>
    <col width="11" customWidth="1" min="10" max="10"/>
    <col width="12" customWidth="1" min="11" max="11"/>
    <col width="13" customWidth="1" min="12" max="12"/>
    <col width="46" customWidth="1" min="13" max="13"/>
  </cols>
  <sheetData>
    <row r="1" ht="28" customHeight="1">
      <c r="A1" s="45" t="inlineStr">
        <is>
          <t>Actividades por semana – Riesgo Operacional</t>
        </is>
      </c>
      <c r="B1" s="45" t="n"/>
      <c r="C1" s="45" t="n"/>
      <c r="D1" s="45" t="n"/>
      <c r="E1" s="45" t="n"/>
      <c r="F1" s="45" t="n"/>
      <c r="G1" s="45" t="n"/>
      <c r="H1" s="45" t="n"/>
      <c r="I1" s="45" t="n"/>
      <c r="J1" s="45" t="n"/>
      <c r="K1" s="45" t="n"/>
      <c r="L1" s="45" t="n"/>
      <c r="M1" s="45" t="n"/>
    </row>
    <row r="2" ht="32" customHeight="1">
      <c r="A2" s="60" t="inlineStr">
        <is>
          <t>HOJA AUTOMÁTICA: se actualiza sola con lo que se escribe en «Cronograma R. Operacional». No hay que escribir nada aquí. La barra de color marca las semanas en que cada actividad está programada (de la fecha de inicio a la fecha límite) y dentro aparece el avance registrado en esa semana.</t>
        </is>
      </c>
      <c r="B2" s="60" t="n"/>
      <c r="C2" s="60" t="n"/>
      <c r="D2" s="60" t="n"/>
      <c r="E2" s="60" t="n"/>
      <c r="F2" s="60" t="n"/>
      <c r="G2" s="60" t="n"/>
      <c r="H2" s="60" t="n"/>
      <c r="I2" s="60" t="n"/>
      <c r="J2" s="60" t="n"/>
      <c r="K2" s="60" t="n"/>
      <c r="L2" s="60" t="n"/>
      <c r="M2" s="60" t="n"/>
    </row>
    <row r="3">
      <c r="F3" s="61" t="inlineStr">
        <is>
          <t>Semana del:</t>
        </is>
      </c>
      <c r="G3" s="62">
        <f>(InicioCiclo+0)</f>
        <v/>
      </c>
      <c r="H3" s="62">
        <f>(InicioCiclo+7)</f>
        <v/>
      </c>
      <c r="I3" s="62">
        <f>(InicioCiclo+14)</f>
        <v/>
      </c>
      <c r="J3" s="62">
        <f>(InicioCiclo+21)</f>
        <v/>
      </c>
    </row>
    <row r="4" ht="34" customHeight="1">
      <c r="A4" s="52" t="inlineStr">
        <is>
          <t>N°</t>
        </is>
      </c>
      <c r="B4" s="52" t="inlineStr">
        <is>
          <t>Macro Actividad</t>
        </is>
      </c>
      <c r="C4" s="52" t="inlineStr">
        <is>
          <t>Responsable</t>
        </is>
      </c>
      <c r="D4" s="52" t="inlineStr">
        <is>
          <t>Fecha de inicio</t>
        </is>
      </c>
      <c r="E4" s="52" t="inlineStr">
        <is>
          <t>Fecha límite</t>
        </is>
      </c>
      <c r="F4" s="52" t="inlineStr">
        <is>
          <t>Semana de entrega</t>
        </is>
      </c>
      <c r="G4" s="7" t="inlineStr">
        <is>
          <t>Semana 1</t>
        </is>
      </c>
      <c r="H4" s="7" t="inlineStr">
        <is>
          <t>Semana 2</t>
        </is>
      </c>
      <c r="I4" s="7" t="inlineStr">
        <is>
          <t>Semana 3</t>
        </is>
      </c>
      <c r="J4" s="7" t="inlineStr">
        <is>
          <t>Semana 4</t>
        </is>
      </c>
      <c r="K4" s="52" t="inlineStr">
        <is>
          <t>% Avance actual</t>
        </is>
      </c>
      <c r="L4" s="52" t="inlineStr">
        <is>
          <t>Estado</t>
        </is>
      </c>
      <c r="M4" s="52" t="inlineStr">
        <is>
          <t>Observaciones</t>
        </is>
      </c>
    </row>
    <row r="5">
      <c r="A5" s="22">
        <f>IF('Cronograma R. Operacional'!$A5="","",'Cronograma R. Operacional'!$A5)</f>
        <v/>
      </c>
      <c r="B5" s="41">
        <f>IF('Cronograma R. Operacional'!$A5="","",'Cronograma R. Operacional'!$B5&amp;"")</f>
        <v/>
      </c>
      <c r="C5" s="41">
        <f>IF('Cronograma R. Operacional'!$A5="","",'Cronograma R. Operacional'!$C5&amp;"")</f>
        <v/>
      </c>
      <c r="D5" s="63">
        <f>IF(OR('Cronograma R. Operacional'!$A5="",'Cronograma R. Operacional'!$D5=""),"",'Cronograma R. Operacional'!$D5)</f>
        <v/>
      </c>
      <c r="E5" s="63">
        <f>IF(OR('Cronograma R. Operacional'!$A5="",'Cronograma R. Operacional'!$E5=""),"",'Cronograma R. Operacional'!$E5)</f>
        <v/>
      </c>
      <c r="F5" s="22">
        <f>IF(OR('Cronograma R. Operacional'!$A5="",NOT(ISNUMBER('Cronograma R. Operacional'!$E5))),"",IF('Cronograma R. Operacional'!$E5&lt;InicioCiclo,"Antes del ciclo",IF('Cronograma R. Operacional'!$E5&gt;=InicioCiclo+28,"Después del ciclo","Semana "&amp;(INT(('Cronograma R. Operacional'!$E5-InicioCiclo)/7)+1))))</f>
        <v/>
      </c>
      <c r="G5" s="20">
        <f>IF(OR('Cronograma R. Operacional'!$A5="",'Cronograma R. Operacional'!$G5=""),"",'Cronograma R. Operacional'!$G5)</f>
        <v/>
      </c>
      <c r="H5" s="20">
        <f>IF(OR('Cronograma R. Operacional'!$A5="",'Cronograma R. Operacional'!$H5=""),"",'Cronograma R. Operacional'!$H5)</f>
        <v/>
      </c>
      <c r="I5" s="20">
        <f>IF(OR('Cronograma R. Operacional'!$A5="",'Cronograma R. Operacional'!$I5=""),"",'Cronograma R. Operacional'!$I5)</f>
        <v/>
      </c>
      <c r="J5" s="20">
        <f>IF(OR('Cronograma R. Operacional'!$A5="",'Cronograma R. Operacional'!$J5=""),"",'Cronograma R. Operacional'!$J5)</f>
        <v/>
      </c>
      <c r="K5" s="20">
        <f>IF('Cronograma R. Operacional'!$A5="","",'Cronograma R. Operacional'!$K5)</f>
        <v/>
      </c>
      <c r="L5" s="22">
        <f>IF('Cronograma R. Operacional'!$A5="","",IF(N('Cronograma R. Operacional'!$K5)&gt;=1,"Completado",IF(AND(ISNUMBER('Cronograma R. Operacional'!$E5),'Cronograma R. Operacional'!$E5&lt;FechaRef),"Vencida",IF(N('Cronograma R. Operacional'!$K5)&gt;0,"En curso","Pendiente"))))</f>
        <v/>
      </c>
      <c r="M5" s="41">
        <f>IF('Cronograma R. Operacional'!$A5="","",'Cronograma R. Operacional'!$M5&amp;"")</f>
        <v/>
      </c>
    </row>
    <row r="6">
      <c r="A6" s="22">
        <f>IF('Cronograma R. Operacional'!$A6="","",'Cronograma R. Operacional'!$A6)</f>
        <v/>
      </c>
      <c r="B6" s="41">
        <f>IF('Cronograma R. Operacional'!$A6="","",'Cronograma R. Operacional'!$B6&amp;"")</f>
        <v/>
      </c>
      <c r="C6" s="41">
        <f>IF('Cronograma R. Operacional'!$A6="","",'Cronograma R. Operacional'!$C6&amp;"")</f>
        <v/>
      </c>
      <c r="D6" s="63">
        <f>IF(OR('Cronograma R. Operacional'!$A6="",'Cronograma R. Operacional'!$D6=""),"",'Cronograma R. Operacional'!$D6)</f>
        <v/>
      </c>
      <c r="E6" s="63">
        <f>IF(OR('Cronograma R. Operacional'!$A6="",'Cronograma R. Operacional'!$E6=""),"",'Cronograma R. Operacional'!$E6)</f>
        <v/>
      </c>
      <c r="F6" s="22">
        <f>IF(OR('Cronograma R. Operacional'!$A6="",NOT(ISNUMBER('Cronograma R. Operacional'!$E6))),"",IF('Cronograma R. Operacional'!$E6&lt;InicioCiclo,"Antes del ciclo",IF('Cronograma R. Operacional'!$E6&gt;=InicioCiclo+28,"Después del ciclo","Semana "&amp;(INT(('Cronograma R. Operacional'!$E6-InicioCiclo)/7)+1))))</f>
        <v/>
      </c>
      <c r="G6" s="20">
        <f>IF(OR('Cronograma R. Operacional'!$A6="",'Cronograma R. Operacional'!$G6=""),"",'Cronograma R. Operacional'!$G6)</f>
        <v/>
      </c>
      <c r="H6" s="20">
        <f>IF(OR('Cronograma R. Operacional'!$A6="",'Cronograma R. Operacional'!$H6=""),"",'Cronograma R. Operacional'!$H6)</f>
        <v/>
      </c>
      <c r="I6" s="20">
        <f>IF(OR('Cronograma R. Operacional'!$A6="",'Cronograma R. Operacional'!$I6=""),"",'Cronograma R. Operacional'!$I6)</f>
        <v/>
      </c>
      <c r="J6" s="20">
        <f>IF(OR('Cronograma R. Operacional'!$A6="",'Cronograma R. Operacional'!$J6=""),"",'Cronograma R. Operacional'!$J6)</f>
        <v/>
      </c>
      <c r="K6" s="20">
        <f>IF('Cronograma R. Operacional'!$A6="","",'Cronograma R. Operacional'!$K6)</f>
        <v/>
      </c>
      <c r="L6" s="22">
        <f>IF('Cronograma R. Operacional'!$A6="","",IF(N('Cronograma R. Operacional'!$K6)&gt;=1,"Completado",IF(AND(ISNUMBER('Cronograma R. Operacional'!$E6),'Cronograma R. Operacional'!$E6&lt;FechaRef),"Vencida",IF(N('Cronograma R. Operacional'!$K6)&gt;0,"En curso","Pendiente"))))</f>
        <v/>
      </c>
      <c r="M6" s="41">
        <f>IF('Cronograma R. Operacional'!$A6="","",'Cronograma R. Operacional'!$M6&amp;"")</f>
        <v/>
      </c>
    </row>
    <row r="7">
      <c r="A7" s="22">
        <f>IF('Cronograma R. Operacional'!$A7="","",'Cronograma R. Operacional'!$A7)</f>
        <v/>
      </c>
      <c r="B7" s="41">
        <f>IF('Cronograma R. Operacional'!$A7="","",'Cronograma R. Operacional'!$B7&amp;"")</f>
        <v/>
      </c>
      <c r="C7" s="41">
        <f>IF('Cronograma R. Operacional'!$A7="","",'Cronograma R. Operacional'!$C7&amp;"")</f>
        <v/>
      </c>
      <c r="D7" s="63">
        <f>IF(OR('Cronograma R. Operacional'!$A7="",'Cronograma R. Operacional'!$D7=""),"",'Cronograma R. Operacional'!$D7)</f>
        <v/>
      </c>
      <c r="E7" s="63">
        <f>IF(OR('Cronograma R. Operacional'!$A7="",'Cronograma R. Operacional'!$E7=""),"",'Cronograma R. Operacional'!$E7)</f>
        <v/>
      </c>
      <c r="F7" s="22">
        <f>IF(OR('Cronograma R. Operacional'!$A7="",NOT(ISNUMBER('Cronograma R. Operacional'!$E7))),"",IF('Cronograma R. Operacional'!$E7&lt;InicioCiclo,"Antes del ciclo",IF('Cronograma R. Operacional'!$E7&gt;=InicioCiclo+28,"Después del ciclo","Semana "&amp;(INT(('Cronograma R. Operacional'!$E7-InicioCiclo)/7)+1))))</f>
        <v/>
      </c>
      <c r="G7" s="20">
        <f>IF(OR('Cronograma R. Operacional'!$A7="",'Cronograma R. Operacional'!$G7=""),"",'Cronograma R. Operacional'!$G7)</f>
        <v/>
      </c>
      <c r="H7" s="20">
        <f>IF(OR('Cronograma R. Operacional'!$A7="",'Cronograma R. Operacional'!$H7=""),"",'Cronograma R. Operacional'!$H7)</f>
        <v/>
      </c>
      <c r="I7" s="20">
        <f>IF(OR('Cronograma R. Operacional'!$A7="",'Cronograma R. Operacional'!$I7=""),"",'Cronograma R. Operacional'!$I7)</f>
        <v/>
      </c>
      <c r="J7" s="20">
        <f>IF(OR('Cronograma R. Operacional'!$A7="",'Cronograma R. Operacional'!$J7=""),"",'Cronograma R. Operacional'!$J7)</f>
        <v/>
      </c>
      <c r="K7" s="20">
        <f>IF('Cronograma R. Operacional'!$A7="","",'Cronograma R. Operacional'!$K7)</f>
        <v/>
      </c>
      <c r="L7" s="22">
        <f>IF('Cronograma R. Operacional'!$A7="","",IF(N('Cronograma R. Operacional'!$K7)&gt;=1,"Completado",IF(AND(ISNUMBER('Cronograma R. Operacional'!$E7),'Cronograma R. Operacional'!$E7&lt;FechaRef),"Vencida",IF(N('Cronograma R. Operacional'!$K7)&gt;0,"En curso","Pendiente"))))</f>
        <v/>
      </c>
      <c r="M7" s="41">
        <f>IF('Cronograma R. Operacional'!$A7="","",'Cronograma R. Operacional'!$M7&amp;"")</f>
        <v/>
      </c>
    </row>
    <row r="8">
      <c r="A8" s="22">
        <f>IF('Cronograma R. Operacional'!$A8="","",'Cronograma R. Operacional'!$A8)</f>
        <v/>
      </c>
      <c r="B8" s="41">
        <f>IF('Cronograma R. Operacional'!$A8="","",'Cronograma R. Operacional'!$B8&amp;"")</f>
        <v/>
      </c>
      <c r="C8" s="41">
        <f>IF('Cronograma R. Operacional'!$A8="","",'Cronograma R. Operacional'!$C8&amp;"")</f>
        <v/>
      </c>
      <c r="D8" s="63">
        <f>IF(OR('Cronograma R. Operacional'!$A8="",'Cronograma R. Operacional'!$D8=""),"",'Cronograma R. Operacional'!$D8)</f>
        <v/>
      </c>
      <c r="E8" s="63">
        <f>IF(OR('Cronograma R. Operacional'!$A8="",'Cronograma R. Operacional'!$E8=""),"",'Cronograma R. Operacional'!$E8)</f>
        <v/>
      </c>
      <c r="F8" s="22">
        <f>IF(OR('Cronograma R. Operacional'!$A8="",NOT(ISNUMBER('Cronograma R. Operacional'!$E8))),"",IF('Cronograma R. Operacional'!$E8&lt;InicioCiclo,"Antes del ciclo",IF('Cronograma R. Operacional'!$E8&gt;=InicioCiclo+28,"Después del ciclo","Semana "&amp;(INT(('Cronograma R. Operacional'!$E8-InicioCiclo)/7)+1))))</f>
        <v/>
      </c>
      <c r="G8" s="20">
        <f>IF(OR('Cronograma R. Operacional'!$A8="",'Cronograma R. Operacional'!$G8=""),"",'Cronograma R. Operacional'!$G8)</f>
        <v/>
      </c>
      <c r="H8" s="20">
        <f>IF(OR('Cronograma R. Operacional'!$A8="",'Cronograma R. Operacional'!$H8=""),"",'Cronograma R. Operacional'!$H8)</f>
        <v/>
      </c>
      <c r="I8" s="20">
        <f>IF(OR('Cronograma R. Operacional'!$A8="",'Cronograma R. Operacional'!$I8=""),"",'Cronograma R. Operacional'!$I8)</f>
        <v/>
      </c>
      <c r="J8" s="20">
        <f>IF(OR('Cronograma R. Operacional'!$A8="",'Cronograma R. Operacional'!$J8=""),"",'Cronograma R. Operacional'!$J8)</f>
        <v/>
      </c>
      <c r="K8" s="20">
        <f>IF('Cronograma R. Operacional'!$A8="","",'Cronograma R. Operacional'!$K8)</f>
        <v/>
      </c>
      <c r="L8" s="22">
        <f>IF('Cronograma R. Operacional'!$A8="","",IF(N('Cronograma R. Operacional'!$K8)&gt;=1,"Completado",IF(AND(ISNUMBER('Cronograma R. Operacional'!$E8),'Cronograma R. Operacional'!$E8&lt;FechaRef),"Vencida",IF(N('Cronograma R. Operacional'!$K8)&gt;0,"En curso","Pendiente"))))</f>
        <v/>
      </c>
      <c r="M8" s="41">
        <f>IF('Cronograma R. Operacional'!$A8="","",'Cronograma R. Operacional'!$M8&amp;"")</f>
        <v/>
      </c>
    </row>
    <row r="9">
      <c r="A9" s="22">
        <f>IF('Cronograma R. Operacional'!$A9="","",'Cronograma R. Operacional'!$A9)</f>
        <v/>
      </c>
      <c r="B9" s="41">
        <f>IF('Cronograma R. Operacional'!$A9="","",'Cronograma R. Operacional'!$B9&amp;"")</f>
        <v/>
      </c>
      <c r="C9" s="41">
        <f>IF('Cronograma R. Operacional'!$A9="","",'Cronograma R. Operacional'!$C9&amp;"")</f>
        <v/>
      </c>
      <c r="D9" s="63">
        <f>IF(OR('Cronograma R. Operacional'!$A9="",'Cronograma R. Operacional'!$D9=""),"",'Cronograma R. Operacional'!$D9)</f>
        <v/>
      </c>
      <c r="E9" s="63">
        <f>IF(OR('Cronograma R. Operacional'!$A9="",'Cronograma R. Operacional'!$E9=""),"",'Cronograma R. Operacional'!$E9)</f>
        <v/>
      </c>
      <c r="F9" s="22">
        <f>IF(OR('Cronograma R. Operacional'!$A9="",NOT(ISNUMBER('Cronograma R. Operacional'!$E9))),"",IF('Cronograma R. Operacional'!$E9&lt;InicioCiclo,"Antes del ciclo",IF('Cronograma R. Operacional'!$E9&gt;=InicioCiclo+28,"Después del ciclo","Semana "&amp;(INT(('Cronograma R. Operacional'!$E9-InicioCiclo)/7)+1))))</f>
        <v/>
      </c>
      <c r="G9" s="20">
        <f>IF(OR('Cronograma R. Operacional'!$A9="",'Cronograma R. Operacional'!$G9=""),"",'Cronograma R. Operacional'!$G9)</f>
        <v/>
      </c>
      <c r="H9" s="20">
        <f>IF(OR('Cronograma R. Operacional'!$A9="",'Cronograma R. Operacional'!$H9=""),"",'Cronograma R. Operacional'!$H9)</f>
        <v/>
      </c>
      <c r="I9" s="20">
        <f>IF(OR('Cronograma R. Operacional'!$A9="",'Cronograma R. Operacional'!$I9=""),"",'Cronograma R. Operacional'!$I9)</f>
        <v/>
      </c>
      <c r="J9" s="20">
        <f>IF(OR('Cronograma R. Operacional'!$A9="",'Cronograma R. Operacional'!$J9=""),"",'Cronograma R. Operacional'!$J9)</f>
        <v/>
      </c>
      <c r="K9" s="20">
        <f>IF('Cronograma R. Operacional'!$A9="","",'Cronograma R. Operacional'!$K9)</f>
        <v/>
      </c>
      <c r="L9" s="22">
        <f>IF('Cronograma R. Operacional'!$A9="","",IF(N('Cronograma R. Operacional'!$K9)&gt;=1,"Completado",IF(AND(ISNUMBER('Cronograma R. Operacional'!$E9),'Cronograma R. Operacional'!$E9&lt;FechaRef),"Vencida",IF(N('Cronograma R. Operacional'!$K9)&gt;0,"En curso","Pendiente"))))</f>
        <v/>
      </c>
      <c r="M9" s="41">
        <f>IF('Cronograma R. Operacional'!$A9="","",'Cronograma R. Operacional'!$M9&amp;"")</f>
        <v/>
      </c>
    </row>
    <row r="10">
      <c r="A10" s="22">
        <f>IF('Cronograma R. Operacional'!$A10="","",'Cronograma R. Operacional'!$A10)</f>
        <v/>
      </c>
      <c r="B10" s="41">
        <f>IF('Cronograma R. Operacional'!$A10="","",'Cronograma R. Operacional'!$B10&amp;"")</f>
        <v/>
      </c>
      <c r="C10" s="41">
        <f>IF('Cronograma R. Operacional'!$A10="","",'Cronograma R. Operacional'!$C10&amp;"")</f>
        <v/>
      </c>
      <c r="D10" s="63">
        <f>IF(OR('Cronograma R. Operacional'!$A10="",'Cronograma R. Operacional'!$D10=""),"",'Cronograma R. Operacional'!$D10)</f>
        <v/>
      </c>
      <c r="E10" s="63">
        <f>IF(OR('Cronograma R. Operacional'!$A10="",'Cronograma R. Operacional'!$E10=""),"",'Cronograma R. Operacional'!$E10)</f>
        <v/>
      </c>
      <c r="F10" s="22">
        <f>IF(OR('Cronograma R. Operacional'!$A10="",NOT(ISNUMBER('Cronograma R. Operacional'!$E10))),"",IF('Cronograma R. Operacional'!$E10&lt;InicioCiclo,"Antes del ciclo",IF('Cronograma R. Operacional'!$E10&gt;=InicioCiclo+28,"Después del ciclo","Semana "&amp;(INT(('Cronograma R. Operacional'!$E10-InicioCiclo)/7)+1))))</f>
        <v/>
      </c>
      <c r="G10" s="20">
        <f>IF(OR('Cronograma R. Operacional'!$A10="",'Cronograma R. Operacional'!$G10=""),"",'Cronograma R. Operacional'!$G10)</f>
        <v/>
      </c>
      <c r="H10" s="20">
        <f>IF(OR('Cronograma R. Operacional'!$A10="",'Cronograma R. Operacional'!$H10=""),"",'Cronograma R. Operacional'!$H10)</f>
        <v/>
      </c>
      <c r="I10" s="20">
        <f>IF(OR('Cronograma R. Operacional'!$A10="",'Cronograma R. Operacional'!$I10=""),"",'Cronograma R. Operacional'!$I10)</f>
        <v/>
      </c>
      <c r="J10" s="20">
        <f>IF(OR('Cronograma R. Operacional'!$A10="",'Cronograma R. Operacional'!$J10=""),"",'Cronograma R. Operacional'!$J10)</f>
        <v/>
      </c>
      <c r="K10" s="20">
        <f>IF('Cronograma R. Operacional'!$A10="","",'Cronograma R. Operacional'!$K10)</f>
        <v/>
      </c>
      <c r="L10" s="22">
        <f>IF('Cronograma R. Operacional'!$A10="","",IF(N('Cronograma R. Operacional'!$K10)&gt;=1,"Completado",IF(AND(ISNUMBER('Cronograma R. Operacional'!$E10),'Cronograma R. Operacional'!$E10&lt;FechaRef),"Vencida",IF(N('Cronograma R. Operacional'!$K10)&gt;0,"En curso","Pendiente"))))</f>
        <v/>
      </c>
      <c r="M10" s="41">
        <f>IF('Cronograma R. Operacional'!$A10="","",'Cronograma R. Operacional'!$M10&amp;"")</f>
        <v/>
      </c>
    </row>
    <row r="11">
      <c r="A11" s="22">
        <f>IF('Cronograma R. Operacional'!$A11="","",'Cronograma R. Operacional'!$A11)</f>
        <v/>
      </c>
      <c r="B11" s="41">
        <f>IF('Cronograma R. Operacional'!$A11="","",'Cronograma R. Operacional'!$B11&amp;"")</f>
        <v/>
      </c>
      <c r="C11" s="41">
        <f>IF('Cronograma R. Operacional'!$A11="","",'Cronograma R. Operacional'!$C11&amp;"")</f>
        <v/>
      </c>
      <c r="D11" s="63">
        <f>IF(OR('Cronograma R. Operacional'!$A11="",'Cronograma R. Operacional'!$D11=""),"",'Cronograma R. Operacional'!$D11)</f>
        <v/>
      </c>
      <c r="E11" s="63">
        <f>IF(OR('Cronograma R. Operacional'!$A11="",'Cronograma R. Operacional'!$E11=""),"",'Cronograma R. Operacional'!$E11)</f>
        <v/>
      </c>
      <c r="F11" s="22">
        <f>IF(OR('Cronograma R. Operacional'!$A11="",NOT(ISNUMBER('Cronograma R. Operacional'!$E11))),"",IF('Cronograma R. Operacional'!$E11&lt;InicioCiclo,"Antes del ciclo",IF('Cronograma R. Operacional'!$E11&gt;=InicioCiclo+28,"Después del ciclo","Semana "&amp;(INT(('Cronograma R. Operacional'!$E11-InicioCiclo)/7)+1))))</f>
        <v/>
      </c>
      <c r="G11" s="20">
        <f>IF(OR('Cronograma R. Operacional'!$A11="",'Cronograma R. Operacional'!$G11=""),"",'Cronograma R. Operacional'!$G11)</f>
        <v/>
      </c>
      <c r="H11" s="20">
        <f>IF(OR('Cronograma R. Operacional'!$A11="",'Cronograma R. Operacional'!$H11=""),"",'Cronograma R. Operacional'!$H11)</f>
        <v/>
      </c>
      <c r="I11" s="20">
        <f>IF(OR('Cronograma R. Operacional'!$A11="",'Cronograma R. Operacional'!$I11=""),"",'Cronograma R. Operacional'!$I11)</f>
        <v/>
      </c>
      <c r="J11" s="20">
        <f>IF(OR('Cronograma R. Operacional'!$A11="",'Cronograma R. Operacional'!$J11=""),"",'Cronograma R. Operacional'!$J11)</f>
        <v/>
      </c>
      <c r="K11" s="20">
        <f>IF('Cronograma R. Operacional'!$A11="","",'Cronograma R. Operacional'!$K11)</f>
        <v/>
      </c>
      <c r="L11" s="22">
        <f>IF('Cronograma R. Operacional'!$A11="","",IF(N('Cronograma R. Operacional'!$K11)&gt;=1,"Completado",IF(AND(ISNUMBER('Cronograma R. Operacional'!$E11),'Cronograma R. Operacional'!$E11&lt;FechaRef),"Vencida",IF(N('Cronograma R. Operacional'!$K11)&gt;0,"En curso","Pendiente"))))</f>
        <v/>
      </c>
      <c r="M11" s="41">
        <f>IF('Cronograma R. Operacional'!$A11="","",'Cronograma R. Operacional'!$M11&amp;"")</f>
        <v/>
      </c>
    </row>
    <row r="12">
      <c r="A12" s="22">
        <f>IF('Cronograma R. Operacional'!$A12="","",'Cronograma R. Operacional'!$A12)</f>
        <v/>
      </c>
      <c r="B12" s="41">
        <f>IF('Cronograma R. Operacional'!$A12="","",'Cronograma R. Operacional'!$B12&amp;"")</f>
        <v/>
      </c>
      <c r="C12" s="41">
        <f>IF('Cronograma R. Operacional'!$A12="","",'Cronograma R. Operacional'!$C12&amp;"")</f>
        <v/>
      </c>
      <c r="D12" s="63">
        <f>IF(OR('Cronograma R. Operacional'!$A12="",'Cronograma R. Operacional'!$D12=""),"",'Cronograma R. Operacional'!$D12)</f>
        <v/>
      </c>
      <c r="E12" s="63">
        <f>IF(OR('Cronograma R. Operacional'!$A12="",'Cronograma R. Operacional'!$E12=""),"",'Cronograma R. Operacional'!$E12)</f>
        <v/>
      </c>
      <c r="F12" s="22">
        <f>IF(OR('Cronograma R. Operacional'!$A12="",NOT(ISNUMBER('Cronograma R. Operacional'!$E12))),"",IF('Cronograma R. Operacional'!$E12&lt;InicioCiclo,"Antes del ciclo",IF('Cronograma R. Operacional'!$E12&gt;=InicioCiclo+28,"Después del ciclo","Semana "&amp;(INT(('Cronograma R. Operacional'!$E12-InicioCiclo)/7)+1))))</f>
        <v/>
      </c>
      <c r="G12" s="20">
        <f>IF(OR('Cronograma R. Operacional'!$A12="",'Cronograma R. Operacional'!$G12=""),"",'Cronograma R. Operacional'!$G12)</f>
        <v/>
      </c>
      <c r="H12" s="20">
        <f>IF(OR('Cronograma R. Operacional'!$A12="",'Cronograma R. Operacional'!$H12=""),"",'Cronograma R. Operacional'!$H12)</f>
        <v/>
      </c>
      <c r="I12" s="20">
        <f>IF(OR('Cronograma R. Operacional'!$A12="",'Cronograma R. Operacional'!$I12=""),"",'Cronograma R. Operacional'!$I12)</f>
        <v/>
      </c>
      <c r="J12" s="20">
        <f>IF(OR('Cronograma R. Operacional'!$A12="",'Cronograma R. Operacional'!$J12=""),"",'Cronograma R. Operacional'!$J12)</f>
        <v/>
      </c>
      <c r="K12" s="20">
        <f>IF('Cronograma R. Operacional'!$A12="","",'Cronograma R. Operacional'!$K12)</f>
        <v/>
      </c>
      <c r="L12" s="22">
        <f>IF('Cronograma R. Operacional'!$A12="","",IF(N('Cronograma R. Operacional'!$K12)&gt;=1,"Completado",IF(AND(ISNUMBER('Cronograma R. Operacional'!$E12),'Cronograma R. Operacional'!$E12&lt;FechaRef),"Vencida",IF(N('Cronograma R. Operacional'!$K12)&gt;0,"En curso","Pendiente"))))</f>
        <v/>
      </c>
      <c r="M12" s="41">
        <f>IF('Cronograma R. Operacional'!$A12="","",'Cronograma R. Operacional'!$M12&amp;"")</f>
        <v/>
      </c>
    </row>
    <row r="13">
      <c r="A13" s="22">
        <f>IF('Cronograma R. Operacional'!$A13="","",'Cronograma R. Operacional'!$A13)</f>
        <v/>
      </c>
      <c r="B13" s="41">
        <f>IF('Cronograma R. Operacional'!$A13="","",'Cronograma R. Operacional'!$B13&amp;"")</f>
        <v/>
      </c>
      <c r="C13" s="41">
        <f>IF('Cronograma R. Operacional'!$A13="","",'Cronograma R. Operacional'!$C13&amp;"")</f>
        <v/>
      </c>
      <c r="D13" s="63">
        <f>IF(OR('Cronograma R. Operacional'!$A13="",'Cronograma R. Operacional'!$D13=""),"",'Cronograma R. Operacional'!$D13)</f>
        <v/>
      </c>
      <c r="E13" s="63">
        <f>IF(OR('Cronograma R. Operacional'!$A13="",'Cronograma R. Operacional'!$E13=""),"",'Cronograma R. Operacional'!$E13)</f>
        <v/>
      </c>
      <c r="F13" s="22">
        <f>IF(OR('Cronograma R. Operacional'!$A13="",NOT(ISNUMBER('Cronograma R. Operacional'!$E13))),"",IF('Cronograma R. Operacional'!$E13&lt;InicioCiclo,"Antes del ciclo",IF('Cronograma R. Operacional'!$E13&gt;=InicioCiclo+28,"Después del ciclo","Semana "&amp;(INT(('Cronograma R. Operacional'!$E13-InicioCiclo)/7)+1))))</f>
        <v/>
      </c>
      <c r="G13" s="20">
        <f>IF(OR('Cronograma R. Operacional'!$A13="",'Cronograma R. Operacional'!$G13=""),"",'Cronograma R. Operacional'!$G13)</f>
        <v/>
      </c>
      <c r="H13" s="20">
        <f>IF(OR('Cronograma R. Operacional'!$A13="",'Cronograma R. Operacional'!$H13=""),"",'Cronograma R. Operacional'!$H13)</f>
        <v/>
      </c>
      <c r="I13" s="20">
        <f>IF(OR('Cronograma R. Operacional'!$A13="",'Cronograma R. Operacional'!$I13=""),"",'Cronograma R. Operacional'!$I13)</f>
        <v/>
      </c>
      <c r="J13" s="20">
        <f>IF(OR('Cronograma R. Operacional'!$A13="",'Cronograma R. Operacional'!$J13=""),"",'Cronograma R. Operacional'!$J13)</f>
        <v/>
      </c>
      <c r="K13" s="20">
        <f>IF('Cronograma R. Operacional'!$A13="","",'Cronograma R. Operacional'!$K13)</f>
        <v/>
      </c>
      <c r="L13" s="22">
        <f>IF('Cronograma R. Operacional'!$A13="","",IF(N('Cronograma R. Operacional'!$K13)&gt;=1,"Completado",IF(AND(ISNUMBER('Cronograma R. Operacional'!$E13),'Cronograma R. Operacional'!$E13&lt;FechaRef),"Vencida",IF(N('Cronograma R. Operacional'!$K13)&gt;0,"En curso","Pendiente"))))</f>
        <v/>
      </c>
      <c r="M13" s="41">
        <f>IF('Cronograma R. Operacional'!$A13="","",'Cronograma R. Operacional'!$M13&amp;"")</f>
        <v/>
      </c>
    </row>
    <row r="14">
      <c r="A14" s="22">
        <f>IF('Cronograma R. Operacional'!$A14="","",'Cronograma R. Operacional'!$A14)</f>
        <v/>
      </c>
      <c r="B14" s="41">
        <f>IF('Cronograma R. Operacional'!$A14="","",'Cronograma R. Operacional'!$B14&amp;"")</f>
        <v/>
      </c>
      <c r="C14" s="41">
        <f>IF('Cronograma R. Operacional'!$A14="","",'Cronograma R. Operacional'!$C14&amp;"")</f>
        <v/>
      </c>
      <c r="D14" s="63">
        <f>IF(OR('Cronograma R. Operacional'!$A14="",'Cronograma R. Operacional'!$D14=""),"",'Cronograma R. Operacional'!$D14)</f>
        <v/>
      </c>
      <c r="E14" s="63">
        <f>IF(OR('Cronograma R. Operacional'!$A14="",'Cronograma R. Operacional'!$E14=""),"",'Cronograma R. Operacional'!$E14)</f>
        <v/>
      </c>
      <c r="F14" s="22">
        <f>IF(OR('Cronograma R. Operacional'!$A14="",NOT(ISNUMBER('Cronograma R. Operacional'!$E14))),"",IF('Cronograma R. Operacional'!$E14&lt;InicioCiclo,"Antes del ciclo",IF('Cronograma R. Operacional'!$E14&gt;=InicioCiclo+28,"Después del ciclo","Semana "&amp;(INT(('Cronograma R. Operacional'!$E14-InicioCiclo)/7)+1))))</f>
        <v/>
      </c>
      <c r="G14" s="20">
        <f>IF(OR('Cronograma R. Operacional'!$A14="",'Cronograma R. Operacional'!$G14=""),"",'Cronograma R. Operacional'!$G14)</f>
        <v/>
      </c>
      <c r="H14" s="20">
        <f>IF(OR('Cronograma R. Operacional'!$A14="",'Cronograma R. Operacional'!$H14=""),"",'Cronograma R. Operacional'!$H14)</f>
        <v/>
      </c>
      <c r="I14" s="20">
        <f>IF(OR('Cronograma R. Operacional'!$A14="",'Cronograma R. Operacional'!$I14=""),"",'Cronograma R. Operacional'!$I14)</f>
        <v/>
      </c>
      <c r="J14" s="20">
        <f>IF(OR('Cronograma R. Operacional'!$A14="",'Cronograma R. Operacional'!$J14=""),"",'Cronograma R. Operacional'!$J14)</f>
        <v/>
      </c>
      <c r="K14" s="20">
        <f>IF('Cronograma R. Operacional'!$A14="","",'Cronograma R. Operacional'!$K14)</f>
        <v/>
      </c>
      <c r="L14" s="22">
        <f>IF('Cronograma R. Operacional'!$A14="","",IF(N('Cronograma R. Operacional'!$K14)&gt;=1,"Completado",IF(AND(ISNUMBER('Cronograma R. Operacional'!$E14),'Cronograma R. Operacional'!$E14&lt;FechaRef),"Vencida",IF(N('Cronograma R. Operacional'!$K14)&gt;0,"En curso","Pendiente"))))</f>
        <v/>
      </c>
      <c r="M14" s="41">
        <f>IF('Cronograma R. Operacional'!$A14="","",'Cronograma R. Operacional'!$M14&amp;"")</f>
        <v/>
      </c>
    </row>
    <row r="15">
      <c r="A15" s="22">
        <f>IF('Cronograma R. Operacional'!$A15="","",'Cronograma R. Operacional'!$A15)</f>
        <v/>
      </c>
      <c r="B15" s="41">
        <f>IF('Cronograma R. Operacional'!$A15="","",'Cronograma R. Operacional'!$B15&amp;"")</f>
        <v/>
      </c>
      <c r="C15" s="41">
        <f>IF('Cronograma R. Operacional'!$A15="","",'Cronograma R. Operacional'!$C15&amp;"")</f>
        <v/>
      </c>
      <c r="D15" s="63">
        <f>IF(OR('Cronograma R. Operacional'!$A15="",'Cronograma R. Operacional'!$D15=""),"",'Cronograma R. Operacional'!$D15)</f>
        <v/>
      </c>
      <c r="E15" s="63">
        <f>IF(OR('Cronograma R. Operacional'!$A15="",'Cronograma R. Operacional'!$E15=""),"",'Cronograma R. Operacional'!$E15)</f>
        <v/>
      </c>
      <c r="F15" s="22">
        <f>IF(OR('Cronograma R. Operacional'!$A15="",NOT(ISNUMBER('Cronograma R. Operacional'!$E15))),"",IF('Cronograma R. Operacional'!$E15&lt;InicioCiclo,"Antes del ciclo",IF('Cronograma R. Operacional'!$E15&gt;=InicioCiclo+28,"Después del ciclo","Semana "&amp;(INT(('Cronograma R. Operacional'!$E15-InicioCiclo)/7)+1))))</f>
        <v/>
      </c>
      <c r="G15" s="20">
        <f>IF(OR('Cronograma R. Operacional'!$A15="",'Cronograma R. Operacional'!$G15=""),"",'Cronograma R. Operacional'!$G15)</f>
        <v/>
      </c>
      <c r="H15" s="20">
        <f>IF(OR('Cronograma R. Operacional'!$A15="",'Cronograma R. Operacional'!$H15=""),"",'Cronograma R. Operacional'!$H15)</f>
        <v/>
      </c>
      <c r="I15" s="20">
        <f>IF(OR('Cronograma R. Operacional'!$A15="",'Cronograma R. Operacional'!$I15=""),"",'Cronograma R. Operacional'!$I15)</f>
        <v/>
      </c>
      <c r="J15" s="20">
        <f>IF(OR('Cronograma R. Operacional'!$A15="",'Cronograma R. Operacional'!$J15=""),"",'Cronograma R. Operacional'!$J15)</f>
        <v/>
      </c>
      <c r="K15" s="20">
        <f>IF('Cronograma R. Operacional'!$A15="","",'Cronograma R. Operacional'!$K15)</f>
        <v/>
      </c>
      <c r="L15" s="22">
        <f>IF('Cronograma R. Operacional'!$A15="","",IF(N('Cronograma R. Operacional'!$K15)&gt;=1,"Completado",IF(AND(ISNUMBER('Cronograma R. Operacional'!$E15),'Cronograma R. Operacional'!$E15&lt;FechaRef),"Vencida",IF(N('Cronograma R. Operacional'!$K15)&gt;0,"En curso","Pendiente"))))</f>
        <v/>
      </c>
      <c r="M15" s="41">
        <f>IF('Cronograma R. Operacional'!$A15="","",'Cronograma R. Operacional'!$M15&amp;"")</f>
        <v/>
      </c>
    </row>
    <row r="16">
      <c r="A16" s="22">
        <f>IF('Cronograma R. Operacional'!$A16="","",'Cronograma R. Operacional'!$A16)</f>
        <v/>
      </c>
      <c r="B16" s="41">
        <f>IF('Cronograma R. Operacional'!$A16="","",'Cronograma R. Operacional'!$B16&amp;"")</f>
        <v/>
      </c>
      <c r="C16" s="41">
        <f>IF('Cronograma R. Operacional'!$A16="","",'Cronograma R. Operacional'!$C16&amp;"")</f>
        <v/>
      </c>
      <c r="D16" s="63">
        <f>IF(OR('Cronograma R. Operacional'!$A16="",'Cronograma R. Operacional'!$D16=""),"",'Cronograma R. Operacional'!$D16)</f>
        <v/>
      </c>
      <c r="E16" s="63">
        <f>IF(OR('Cronograma R. Operacional'!$A16="",'Cronograma R. Operacional'!$E16=""),"",'Cronograma R. Operacional'!$E16)</f>
        <v/>
      </c>
      <c r="F16" s="22">
        <f>IF(OR('Cronograma R. Operacional'!$A16="",NOT(ISNUMBER('Cronograma R. Operacional'!$E16))),"",IF('Cronograma R. Operacional'!$E16&lt;InicioCiclo,"Antes del ciclo",IF('Cronograma R. Operacional'!$E16&gt;=InicioCiclo+28,"Después del ciclo","Semana "&amp;(INT(('Cronograma R. Operacional'!$E16-InicioCiclo)/7)+1))))</f>
        <v/>
      </c>
      <c r="G16" s="20">
        <f>IF(OR('Cronograma R. Operacional'!$A16="",'Cronograma R. Operacional'!$G16=""),"",'Cronograma R. Operacional'!$G16)</f>
        <v/>
      </c>
      <c r="H16" s="20">
        <f>IF(OR('Cronograma R. Operacional'!$A16="",'Cronograma R. Operacional'!$H16=""),"",'Cronograma R. Operacional'!$H16)</f>
        <v/>
      </c>
      <c r="I16" s="20">
        <f>IF(OR('Cronograma R. Operacional'!$A16="",'Cronograma R. Operacional'!$I16=""),"",'Cronograma R. Operacional'!$I16)</f>
        <v/>
      </c>
      <c r="J16" s="20">
        <f>IF(OR('Cronograma R. Operacional'!$A16="",'Cronograma R. Operacional'!$J16=""),"",'Cronograma R. Operacional'!$J16)</f>
        <v/>
      </c>
      <c r="K16" s="20">
        <f>IF('Cronograma R. Operacional'!$A16="","",'Cronograma R. Operacional'!$K16)</f>
        <v/>
      </c>
      <c r="L16" s="22">
        <f>IF('Cronograma R. Operacional'!$A16="","",IF(N('Cronograma R. Operacional'!$K16)&gt;=1,"Completado",IF(AND(ISNUMBER('Cronograma R. Operacional'!$E16),'Cronograma R. Operacional'!$E16&lt;FechaRef),"Vencida",IF(N('Cronograma R. Operacional'!$K16)&gt;0,"En curso","Pendiente"))))</f>
        <v/>
      </c>
      <c r="M16" s="41">
        <f>IF('Cronograma R. Operacional'!$A16="","",'Cronograma R. Operacional'!$M16&amp;"")</f>
        <v/>
      </c>
    </row>
    <row r="17">
      <c r="A17" s="22">
        <f>IF('Cronograma R. Operacional'!$A17="","",'Cronograma R. Operacional'!$A17)</f>
        <v/>
      </c>
      <c r="B17" s="41">
        <f>IF('Cronograma R. Operacional'!$A17="","",'Cronograma R. Operacional'!$B17&amp;"")</f>
        <v/>
      </c>
      <c r="C17" s="41">
        <f>IF('Cronograma R. Operacional'!$A17="","",'Cronograma R. Operacional'!$C17&amp;"")</f>
        <v/>
      </c>
      <c r="D17" s="63">
        <f>IF(OR('Cronograma R. Operacional'!$A17="",'Cronograma R. Operacional'!$D17=""),"",'Cronograma R. Operacional'!$D17)</f>
        <v/>
      </c>
      <c r="E17" s="63">
        <f>IF(OR('Cronograma R. Operacional'!$A17="",'Cronograma R. Operacional'!$E17=""),"",'Cronograma R. Operacional'!$E17)</f>
        <v/>
      </c>
      <c r="F17" s="22">
        <f>IF(OR('Cronograma R. Operacional'!$A17="",NOT(ISNUMBER('Cronograma R. Operacional'!$E17))),"",IF('Cronograma R. Operacional'!$E17&lt;InicioCiclo,"Antes del ciclo",IF('Cronograma R. Operacional'!$E17&gt;=InicioCiclo+28,"Después del ciclo","Semana "&amp;(INT(('Cronograma R. Operacional'!$E17-InicioCiclo)/7)+1))))</f>
        <v/>
      </c>
      <c r="G17" s="20">
        <f>IF(OR('Cronograma R. Operacional'!$A17="",'Cronograma R. Operacional'!$G17=""),"",'Cronograma R. Operacional'!$G17)</f>
        <v/>
      </c>
      <c r="H17" s="20">
        <f>IF(OR('Cronograma R. Operacional'!$A17="",'Cronograma R. Operacional'!$H17=""),"",'Cronograma R. Operacional'!$H17)</f>
        <v/>
      </c>
      <c r="I17" s="20">
        <f>IF(OR('Cronograma R. Operacional'!$A17="",'Cronograma R. Operacional'!$I17=""),"",'Cronograma R. Operacional'!$I17)</f>
        <v/>
      </c>
      <c r="J17" s="20">
        <f>IF(OR('Cronograma R. Operacional'!$A17="",'Cronograma R. Operacional'!$J17=""),"",'Cronograma R. Operacional'!$J17)</f>
        <v/>
      </c>
      <c r="K17" s="20">
        <f>IF('Cronograma R. Operacional'!$A17="","",'Cronograma R. Operacional'!$K17)</f>
        <v/>
      </c>
      <c r="L17" s="22">
        <f>IF('Cronograma R. Operacional'!$A17="","",IF(N('Cronograma R. Operacional'!$K17)&gt;=1,"Completado",IF(AND(ISNUMBER('Cronograma R. Operacional'!$E17),'Cronograma R. Operacional'!$E17&lt;FechaRef),"Vencida",IF(N('Cronograma R. Operacional'!$K17)&gt;0,"En curso","Pendiente"))))</f>
        <v/>
      </c>
      <c r="M17" s="41">
        <f>IF('Cronograma R. Operacional'!$A17="","",'Cronograma R. Operacional'!$M17&amp;"")</f>
        <v/>
      </c>
    </row>
    <row r="18">
      <c r="A18" s="22">
        <f>IF('Cronograma R. Operacional'!$A18="","",'Cronograma R. Operacional'!$A18)</f>
        <v/>
      </c>
      <c r="B18" s="41">
        <f>IF('Cronograma R. Operacional'!$A18="","",'Cronograma R. Operacional'!$B18&amp;"")</f>
        <v/>
      </c>
      <c r="C18" s="41">
        <f>IF('Cronograma R. Operacional'!$A18="","",'Cronograma R. Operacional'!$C18&amp;"")</f>
        <v/>
      </c>
      <c r="D18" s="63">
        <f>IF(OR('Cronograma R. Operacional'!$A18="",'Cronograma R. Operacional'!$D18=""),"",'Cronograma R. Operacional'!$D18)</f>
        <v/>
      </c>
      <c r="E18" s="63">
        <f>IF(OR('Cronograma R. Operacional'!$A18="",'Cronograma R. Operacional'!$E18=""),"",'Cronograma R. Operacional'!$E18)</f>
        <v/>
      </c>
      <c r="F18" s="22">
        <f>IF(OR('Cronograma R. Operacional'!$A18="",NOT(ISNUMBER('Cronograma R. Operacional'!$E18))),"",IF('Cronograma R. Operacional'!$E18&lt;InicioCiclo,"Antes del ciclo",IF('Cronograma R. Operacional'!$E18&gt;=InicioCiclo+28,"Después del ciclo","Semana "&amp;(INT(('Cronograma R. Operacional'!$E18-InicioCiclo)/7)+1))))</f>
        <v/>
      </c>
      <c r="G18" s="20">
        <f>IF(OR('Cronograma R. Operacional'!$A18="",'Cronograma R. Operacional'!$G18=""),"",'Cronograma R. Operacional'!$G18)</f>
        <v/>
      </c>
      <c r="H18" s="20">
        <f>IF(OR('Cronograma R. Operacional'!$A18="",'Cronograma R. Operacional'!$H18=""),"",'Cronograma R. Operacional'!$H18)</f>
        <v/>
      </c>
      <c r="I18" s="20">
        <f>IF(OR('Cronograma R. Operacional'!$A18="",'Cronograma R. Operacional'!$I18=""),"",'Cronograma R. Operacional'!$I18)</f>
        <v/>
      </c>
      <c r="J18" s="20">
        <f>IF(OR('Cronograma R. Operacional'!$A18="",'Cronograma R. Operacional'!$J18=""),"",'Cronograma R. Operacional'!$J18)</f>
        <v/>
      </c>
      <c r="K18" s="20">
        <f>IF('Cronograma R. Operacional'!$A18="","",'Cronograma R. Operacional'!$K18)</f>
        <v/>
      </c>
      <c r="L18" s="22">
        <f>IF('Cronograma R. Operacional'!$A18="","",IF(N('Cronograma R. Operacional'!$K18)&gt;=1,"Completado",IF(AND(ISNUMBER('Cronograma R. Operacional'!$E18),'Cronograma R. Operacional'!$E18&lt;FechaRef),"Vencida",IF(N('Cronograma R. Operacional'!$K18)&gt;0,"En curso","Pendiente"))))</f>
        <v/>
      </c>
      <c r="M18" s="41">
        <f>IF('Cronograma R. Operacional'!$A18="","",'Cronograma R. Operacional'!$M18&amp;"")</f>
        <v/>
      </c>
    </row>
    <row r="19">
      <c r="A19" s="22">
        <f>IF('Cronograma R. Operacional'!$A19="","",'Cronograma R. Operacional'!$A19)</f>
        <v/>
      </c>
      <c r="B19" s="41">
        <f>IF('Cronograma R. Operacional'!$A19="","",'Cronograma R. Operacional'!$B19&amp;"")</f>
        <v/>
      </c>
      <c r="C19" s="41">
        <f>IF('Cronograma R. Operacional'!$A19="","",'Cronograma R. Operacional'!$C19&amp;"")</f>
        <v/>
      </c>
      <c r="D19" s="63">
        <f>IF(OR('Cronograma R. Operacional'!$A19="",'Cronograma R. Operacional'!$D19=""),"",'Cronograma R. Operacional'!$D19)</f>
        <v/>
      </c>
      <c r="E19" s="63">
        <f>IF(OR('Cronograma R. Operacional'!$A19="",'Cronograma R. Operacional'!$E19=""),"",'Cronograma R. Operacional'!$E19)</f>
        <v/>
      </c>
      <c r="F19" s="22">
        <f>IF(OR('Cronograma R. Operacional'!$A19="",NOT(ISNUMBER('Cronograma R. Operacional'!$E19))),"",IF('Cronograma R. Operacional'!$E19&lt;InicioCiclo,"Antes del ciclo",IF('Cronograma R. Operacional'!$E19&gt;=InicioCiclo+28,"Después del ciclo","Semana "&amp;(INT(('Cronograma R. Operacional'!$E19-InicioCiclo)/7)+1))))</f>
        <v/>
      </c>
      <c r="G19" s="20">
        <f>IF(OR('Cronograma R. Operacional'!$A19="",'Cronograma R. Operacional'!$G19=""),"",'Cronograma R. Operacional'!$G19)</f>
        <v/>
      </c>
      <c r="H19" s="20">
        <f>IF(OR('Cronograma R. Operacional'!$A19="",'Cronograma R. Operacional'!$H19=""),"",'Cronograma R. Operacional'!$H19)</f>
        <v/>
      </c>
      <c r="I19" s="20">
        <f>IF(OR('Cronograma R. Operacional'!$A19="",'Cronograma R. Operacional'!$I19=""),"",'Cronograma R. Operacional'!$I19)</f>
        <v/>
      </c>
      <c r="J19" s="20">
        <f>IF(OR('Cronograma R. Operacional'!$A19="",'Cronograma R. Operacional'!$J19=""),"",'Cronograma R. Operacional'!$J19)</f>
        <v/>
      </c>
      <c r="K19" s="20">
        <f>IF('Cronograma R. Operacional'!$A19="","",'Cronograma R. Operacional'!$K19)</f>
        <v/>
      </c>
      <c r="L19" s="22">
        <f>IF('Cronograma R. Operacional'!$A19="","",IF(N('Cronograma R. Operacional'!$K19)&gt;=1,"Completado",IF(AND(ISNUMBER('Cronograma R. Operacional'!$E19),'Cronograma R. Operacional'!$E19&lt;FechaRef),"Vencida",IF(N('Cronograma R. Operacional'!$K19)&gt;0,"En curso","Pendiente"))))</f>
        <v/>
      </c>
      <c r="M19" s="41">
        <f>IF('Cronograma R. Operacional'!$A19="","",'Cronograma R. Operacional'!$M19&amp;"")</f>
        <v/>
      </c>
    </row>
    <row r="20">
      <c r="A20" s="22">
        <f>IF('Cronograma R. Operacional'!$A20="","",'Cronograma R. Operacional'!$A20)</f>
        <v/>
      </c>
      <c r="B20" s="41">
        <f>IF('Cronograma R. Operacional'!$A20="","",'Cronograma R. Operacional'!$B20&amp;"")</f>
        <v/>
      </c>
      <c r="C20" s="41">
        <f>IF('Cronograma R. Operacional'!$A20="","",'Cronograma R. Operacional'!$C20&amp;"")</f>
        <v/>
      </c>
      <c r="D20" s="63">
        <f>IF(OR('Cronograma R. Operacional'!$A20="",'Cronograma R. Operacional'!$D20=""),"",'Cronograma R. Operacional'!$D20)</f>
        <v/>
      </c>
      <c r="E20" s="63">
        <f>IF(OR('Cronograma R. Operacional'!$A20="",'Cronograma R. Operacional'!$E20=""),"",'Cronograma R. Operacional'!$E20)</f>
        <v/>
      </c>
      <c r="F20" s="22">
        <f>IF(OR('Cronograma R. Operacional'!$A20="",NOT(ISNUMBER('Cronograma R. Operacional'!$E20))),"",IF('Cronograma R. Operacional'!$E20&lt;InicioCiclo,"Antes del ciclo",IF('Cronograma R. Operacional'!$E20&gt;=InicioCiclo+28,"Después del ciclo","Semana "&amp;(INT(('Cronograma R. Operacional'!$E20-InicioCiclo)/7)+1))))</f>
        <v/>
      </c>
      <c r="G20" s="20">
        <f>IF(OR('Cronograma R. Operacional'!$A20="",'Cronograma R. Operacional'!$G20=""),"",'Cronograma R. Operacional'!$G20)</f>
        <v/>
      </c>
      <c r="H20" s="20">
        <f>IF(OR('Cronograma R. Operacional'!$A20="",'Cronograma R. Operacional'!$H20=""),"",'Cronograma R. Operacional'!$H20)</f>
        <v/>
      </c>
      <c r="I20" s="20">
        <f>IF(OR('Cronograma R. Operacional'!$A20="",'Cronograma R. Operacional'!$I20=""),"",'Cronograma R. Operacional'!$I20)</f>
        <v/>
      </c>
      <c r="J20" s="20">
        <f>IF(OR('Cronograma R. Operacional'!$A20="",'Cronograma R. Operacional'!$J20=""),"",'Cronograma R. Operacional'!$J20)</f>
        <v/>
      </c>
      <c r="K20" s="20">
        <f>IF('Cronograma R. Operacional'!$A20="","",'Cronograma R. Operacional'!$K20)</f>
        <v/>
      </c>
      <c r="L20" s="22">
        <f>IF('Cronograma R. Operacional'!$A20="","",IF(N('Cronograma R. Operacional'!$K20)&gt;=1,"Completado",IF(AND(ISNUMBER('Cronograma R. Operacional'!$E20),'Cronograma R. Operacional'!$E20&lt;FechaRef),"Vencida",IF(N('Cronograma R. Operacional'!$K20)&gt;0,"En curso","Pendiente"))))</f>
        <v/>
      </c>
      <c r="M20" s="41">
        <f>IF('Cronograma R. Operacional'!$A20="","",'Cronograma R. Operacional'!$M20&amp;"")</f>
        <v/>
      </c>
    </row>
    <row r="21">
      <c r="A21" s="22">
        <f>IF('Cronograma R. Operacional'!$A21="","",'Cronograma R. Operacional'!$A21)</f>
        <v/>
      </c>
      <c r="B21" s="41">
        <f>IF('Cronograma R. Operacional'!$A21="","",'Cronograma R. Operacional'!$B21&amp;"")</f>
        <v/>
      </c>
      <c r="C21" s="41">
        <f>IF('Cronograma R. Operacional'!$A21="","",'Cronograma R. Operacional'!$C21&amp;"")</f>
        <v/>
      </c>
      <c r="D21" s="63">
        <f>IF(OR('Cronograma R. Operacional'!$A21="",'Cronograma R. Operacional'!$D21=""),"",'Cronograma R. Operacional'!$D21)</f>
        <v/>
      </c>
      <c r="E21" s="63">
        <f>IF(OR('Cronograma R. Operacional'!$A21="",'Cronograma R. Operacional'!$E21=""),"",'Cronograma R. Operacional'!$E21)</f>
        <v/>
      </c>
      <c r="F21" s="22">
        <f>IF(OR('Cronograma R. Operacional'!$A21="",NOT(ISNUMBER('Cronograma R. Operacional'!$E21))),"",IF('Cronograma R. Operacional'!$E21&lt;InicioCiclo,"Antes del ciclo",IF('Cronograma R. Operacional'!$E21&gt;=InicioCiclo+28,"Después del ciclo","Semana "&amp;(INT(('Cronograma R. Operacional'!$E21-InicioCiclo)/7)+1))))</f>
        <v/>
      </c>
      <c r="G21" s="20">
        <f>IF(OR('Cronograma R. Operacional'!$A21="",'Cronograma R. Operacional'!$G21=""),"",'Cronograma R. Operacional'!$G21)</f>
        <v/>
      </c>
      <c r="H21" s="20">
        <f>IF(OR('Cronograma R. Operacional'!$A21="",'Cronograma R. Operacional'!$H21=""),"",'Cronograma R. Operacional'!$H21)</f>
        <v/>
      </c>
      <c r="I21" s="20">
        <f>IF(OR('Cronograma R. Operacional'!$A21="",'Cronograma R. Operacional'!$I21=""),"",'Cronograma R. Operacional'!$I21)</f>
        <v/>
      </c>
      <c r="J21" s="20">
        <f>IF(OR('Cronograma R. Operacional'!$A21="",'Cronograma R. Operacional'!$J21=""),"",'Cronograma R. Operacional'!$J21)</f>
        <v/>
      </c>
      <c r="K21" s="20">
        <f>IF('Cronograma R. Operacional'!$A21="","",'Cronograma R. Operacional'!$K21)</f>
        <v/>
      </c>
      <c r="L21" s="22">
        <f>IF('Cronograma R. Operacional'!$A21="","",IF(N('Cronograma R. Operacional'!$K21)&gt;=1,"Completado",IF(AND(ISNUMBER('Cronograma R. Operacional'!$E21),'Cronograma R. Operacional'!$E21&lt;FechaRef),"Vencida",IF(N('Cronograma R. Operacional'!$K21)&gt;0,"En curso","Pendiente"))))</f>
        <v/>
      </c>
      <c r="M21" s="41">
        <f>IF('Cronograma R. Operacional'!$A21="","",'Cronograma R. Operacional'!$M21&amp;"")</f>
        <v/>
      </c>
    </row>
    <row r="22">
      <c r="A22" s="22">
        <f>IF('Cronograma R. Operacional'!$A22="","",'Cronograma R. Operacional'!$A22)</f>
        <v/>
      </c>
      <c r="B22" s="41">
        <f>IF('Cronograma R. Operacional'!$A22="","",'Cronograma R. Operacional'!$B22&amp;"")</f>
        <v/>
      </c>
      <c r="C22" s="41">
        <f>IF('Cronograma R. Operacional'!$A22="","",'Cronograma R. Operacional'!$C22&amp;"")</f>
        <v/>
      </c>
      <c r="D22" s="63">
        <f>IF(OR('Cronograma R. Operacional'!$A22="",'Cronograma R. Operacional'!$D22=""),"",'Cronograma R. Operacional'!$D22)</f>
        <v/>
      </c>
      <c r="E22" s="63">
        <f>IF(OR('Cronograma R. Operacional'!$A22="",'Cronograma R. Operacional'!$E22=""),"",'Cronograma R. Operacional'!$E22)</f>
        <v/>
      </c>
      <c r="F22" s="22">
        <f>IF(OR('Cronograma R. Operacional'!$A22="",NOT(ISNUMBER('Cronograma R. Operacional'!$E22))),"",IF('Cronograma R. Operacional'!$E22&lt;InicioCiclo,"Antes del ciclo",IF('Cronograma R. Operacional'!$E22&gt;=InicioCiclo+28,"Después del ciclo","Semana "&amp;(INT(('Cronograma R. Operacional'!$E22-InicioCiclo)/7)+1))))</f>
        <v/>
      </c>
      <c r="G22" s="20">
        <f>IF(OR('Cronograma R. Operacional'!$A22="",'Cronograma R. Operacional'!$G22=""),"",'Cronograma R. Operacional'!$G22)</f>
        <v/>
      </c>
      <c r="H22" s="20">
        <f>IF(OR('Cronograma R. Operacional'!$A22="",'Cronograma R. Operacional'!$H22=""),"",'Cronograma R. Operacional'!$H22)</f>
        <v/>
      </c>
      <c r="I22" s="20">
        <f>IF(OR('Cronograma R. Operacional'!$A22="",'Cronograma R. Operacional'!$I22=""),"",'Cronograma R. Operacional'!$I22)</f>
        <v/>
      </c>
      <c r="J22" s="20">
        <f>IF(OR('Cronograma R. Operacional'!$A22="",'Cronograma R. Operacional'!$J22=""),"",'Cronograma R. Operacional'!$J22)</f>
        <v/>
      </c>
      <c r="K22" s="20">
        <f>IF('Cronograma R. Operacional'!$A22="","",'Cronograma R. Operacional'!$K22)</f>
        <v/>
      </c>
      <c r="L22" s="22">
        <f>IF('Cronograma R. Operacional'!$A22="","",IF(N('Cronograma R. Operacional'!$K22)&gt;=1,"Completado",IF(AND(ISNUMBER('Cronograma R. Operacional'!$E22),'Cronograma R. Operacional'!$E22&lt;FechaRef),"Vencida",IF(N('Cronograma R. Operacional'!$K22)&gt;0,"En curso","Pendiente"))))</f>
        <v/>
      </c>
      <c r="M22" s="41">
        <f>IF('Cronograma R. Operacional'!$A22="","",'Cronograma R. Operacional'!$M22&amp;"")</f>
        <v/>
      </c>
    </row>
    <row r="23">
      <c r="A23" s="22">
        <f>IF('Cronograma R. Operacional'!$A23="","",'Cronograma R. Operacional'!$A23)</f>
        <v/>
      </c>
      <c r="B23" s="41">
        <f>IF('Cronograma R. Operacional'!$A23="","",'Cronograma R. Operacional'!$B23&amp;"")</f>
        <v/>
      </c>
      <c r="C23" s="41">
        <f>IF('Cronograma R. Operacional'!$A23="","",'Cronograma R. Operacional'!$C23&amp;"")</f>
        <v/>
      </c>
      <c r="D23" s="63">
        <f>IF(OR('Cronograma R. Operacional'!$A23="",'Cronograma R. Operacional'!$D23=""),"",'Cronograma R. Operacional'!$D23)</f>
        <v/>
      </c>
      <c r="E23" s="63">
        <f>IF(OR('Cronograma R. Operacional'!$A23="",'Cronograma R. Operacional'!$E23=""),"",'Cronograma R. Operacional'!$E23)</f>
        <v/>
      </c>
      <c r="F23" s="22">
        <f>IF(OR('Cronograma R. Operacional'!$A23="",NOT(ISNUMBER('Cronograma R. Operacional'!$E23))),"",IF('Cronograma R. Operacional'!$E23&lt;InicioCiclo,"Antes del ciclo",IF('Cronograma R. Operacional'!$E23&gt;=InicioCiclo+28,"Después del ciclo","Semana "&amp;(INT(('Cronograma R. Operacional'!$E23-InicioCiclo)/7)+1))))</f>
        <v/>
      </c>
      <c r="G23" s="20">
        <f>IF(OR('Cronograma R. Operacional'!$A23="",'Cronograma R. Operacional'!$G23=""),"",'Cronograma R. Operacional'!$G23)</f>
        <v/>
      </c>
      <c r="H23" s="20">
        <f>IF(OR('Cronograma R. Operacional'!$A23="",'Cronograma R. Operacional'!$H23=""),"",'Cronograma R. Operacional'!$H23)</f>
        <v/>
      </c>
      <c r="I23" s="20">
        <f>IF(OR('Cronograma R. Operacional'!$A23="",'Cronograma R. Operacional'!$I23=""),"",'Cronograma R. Operacional'!$I23)</f>
        <v/>
      </c>
      <c r="J23" s="20">
        <f>IF(OR('Cronograma R. Operacional'!$A23="",'Cronograma R. Operacional'!$J23=""),"",'Cronograma R. Operacional'!$J23)</f>
        <v/>
      </c>
      <c r="K23" s="20">
        <f>IF('Cronograma R. Operacional'!$A23="","",'Cronograma R. Operacional'!$K23)</f>
        <v/>
      </c>
      <c r="L23" s="22">
        <f>IF('Cronograma R. Operacional'!$A23="","",IF(N('Cronograma R. Operacional'!$K23)&gt;=1,"Completado",IF(AND(ISNUMBER('Cronograma R. Operacional'!$E23),'Cronograma R. Operacional'!$E23&lt;FechaRef),"Vencida",IF(N('Cronograma R. Operacional'!$K23)&gt;0,"En curso","Pendiente"))))</f>
        <v/>
      </c>
      <c r="M23" s="41">
        <f>IF('Cronograma R. Operacional'!$A23="","",'Cronograma R. Operacional'!$M23&amp;"")</f>
        <v/>
      </c>
    </row>
    <row r="24">
      <c r="A24" s="22">
        <f>IF('Cronograma R. Operacional'!$A24="","",'Cronograma R. Operacional'!$A24)</f>
        <v/>
      </c>
      <c r="B24" s="41">
        <f>IF('Cronograma R. Operacional'!$A24="","",'Cronograma R. Operacional'!$B24&amp;"")</f>
        <v/>
      </c>
      <c r="C24" s="41">
        <f>IF('Cronograma R. Operacional'!$A24="","",'Cronograma R. Operacional'!$C24&amp;"")</f>
        <v/>
      </c>
      <c r="D24" s="63">
        <f>IF(OR('Cronograma R. Operacional'!$A24="",'Cronograma R. Operacional'!$D24=""),"",'Cronograma R. Operacional'!$D24)</f>
        <v/>
      </c>
      <c r="E24" s="63">
        <f>IF(OR('Cronograma R. Operacional'!$A24="",'Cronograma R. Operacional'!$E24=""),"",'Cronograma R. Operacional'!$E24)</f>
        <v/>
      </c>
      <c r="F24" s="22">
        <f>IF(OR('Cronograma R. Operacional'!$A24="",NOT(ISNUMBER('Cronograma R. Operacional'!$E24))),"",IF('Cronograma R. Operacional'!$E24&lt;InicioCiclo,"Antes del ciclo",IF('Cronograma R. Operacional'!$E24&gt;=InicioCiclo+28,"Después del ciclo","Semana "&amp;(INT(('Cronograma R. Operacional'!$E24-InicioCiclo)/7)+1))))</f>
        <v/>
      </c>
      <c r="G24" s="20">
        <f>IF(OR('Cronograma R. Operacional'!$A24="",'Cronograma R. Operacional'!$G24=""),"",'Cronograma R. Operacional'!$G24)</f>
        <v/>
      </c>
      <c r="H24" s="20">
        <f>IF(OR('Cronograma R. Operacional'!$A24="",'Cronograma R. Operacional'!$H24=""),"",'Cronograma R. Operacional'!$H24)</f>
        <v/>
      </c>
      <c r="I24" s="20">
        <f>IF(OR('Cronograma R. Operacional'!$A24="",'Cronograma R. Operacional'!$I24=""),"",'Cronograma R. Operacional'!$I24)</f>
        <v/>
      </c>
      <c r="J24" s="20">
        <f>IF(OR('Cronograma R. Operacional'!$A24="",'Cronograma R. Operacional'!$J24=""),"",'Cronograma R. Operacional'!$J24)</f>
        <v/>
      </c>
      <c r="K24" s="20">
        <f>IF('Cronograma R. Operacional'!$A24="","",'Cronograma R. Operacional'!$K24)</f>
        <v/>
      </c>
      <c r="L24" s="22">
        <f>IF('Cronograma R. Operacional'!$A24="","",IF(N('Cronograma R. Operacional'!$K24)&gt;=1,"Completado",IF(AND(ISNUMBER('Cronograma R. Operacional'!$E24),'Cronograma R. Operacional'!$E24&lt;FechaRef),"Vencida",IF(N('Cronograma R. Operacional'!$K24)&gt;0,"En curso","Pendiente"))))</f>
        <v/>
      </c>
      <c r="M24" s="41">
        <f>IF('Cronograma R. Operacional'!$A24="","",'Cronograma R. Operacional'!$M24&amp;"")</f>
        <v/>
      </c>
    </row>
    <row r="25">
      <c r="A25" s="22">
        <f>IF('Cronograma R. Operacional'!$A25="","",'Cronograma R. Operacional'!$A25)</f>
        <v/>
      </c>
      <c r="B25" s="41">
        <f>IF('Cronograma R. Operacional'!$A25="","",'Cronograma R. Operacional'!$B25&amp;"")</f>
        <v/>
      </c>
      <c r="C25" s="41">
        <f>IF('Cronograma R. Operacional'!$A25="","",'Cronograma R. Operacional'!$C25&amp;"")</f>
        <v/>
      </c>
      <c r="D25" s="63">
        <f>IF(OR('Cronograma R. Operacional'!$A25="",'Cronograma R. Operacional'!$D25=""),"",'Cronograma R. Operacional'!$D25)</f>
        <v/>
      </c>
      <c r="E25" s="63">
        <f>IF(OR('Cronograma R. Operacional'!$A25="",'Cronograma R. Operacional'!$E25=""),"",'Cronograma R. Operacional'!$E25)</f>
        <v/>
      </c>
      <c r="F25" s="22">
        <f>IF(OR('Cronograma R. Operacional'!$A25="",NOT(ISNUMBER('Cronograma R. Operacional'!$E25))),"",IF('Cronograma R. Operacional'!$E25&lt;InicioCiclo,"Antes del ciclo",IF('Cronograma R. Operacional'!$E25&gt;=InicioCiclo+28,"Después del ciclo","Semana "&amp;(INT(('Cronograma R. Operacional'!$E25-InicioCiclo)/7)+1))))</f>
        <v/>
      </c>
      <c r="G25" s="20">
        <f>IF(OR('Cronograma R. Operacional'!$A25="",'Cronograma R. Operacional'!$G25=""),"",'Cronograma R. Operacional'!$G25)</f>
        <v/>
      </c>
      <c r="H25" s="20">
        <f>IF(OR('Cronograma R. Operacional'!$A25="",'Cronograma R. Operacional'!$H25=""),"",'Cronograma R. Operacional'!$H25)</f>
        <v/>
      </c>
      <c r="I25" s="20">
        <f>IF(OR('Cronograma R. Operacional'!$A25="",'Cronograma R. Operacional'!$I25=""),"",'Cronograma R. Operacional'!$I25)</f>
        <v/>
      </c>
      <c r="J25" s="20">
        <f>IF(OR('Cronograma R. Operacional'!$A25="",'Cronograma R. Operacional'!$J25=""),"",'Cronograma R. Operacional'!$J25)</f>
        <v/>
      </c>
      <c r="K25" s="20">
        <f>IF('Cronograma R. Operacional'!$A25="","",'Cronograma R. Operacional'!$K25)</f>
        <v/>
      </c>
      <c r="L25" s="22">
        <f>IF('Cronograma R. Operacional'!$A25="","",IF(N('Cronograma R. Operacional'!$K25)&gt;=1,"Completado",IF(AND(ISNUMBER('Cronograma R. Operacional'!$E25),'Cronograma R. Operacional'!$E25&lt;FechaRef),"Vencida",IF(N('Cronograma R. Operacional'!$K25)&gt;0,"En curso","Pendiente"))))</f>
        <v/>
      </c>
      <c r="M25" s="41">
        <f>IF('Cronograma R. Operacional'!$A25="","",'Cronograma R. Operacional'!$M25&amp;"")</f>
        <v/>
      </c>
    </row>
    <row r="26">
      <c r="A26" s="22">
        <f>IF('Cronograma R. Operacional'!$A26="","",'Cronograma R. Operacional'!$A26)</f>
        <v/>
      </c>
      <c r="B26" s="41">
        <f>IF('Cronograma R. Operacional'!$A26="","",'Cronograma R. Operacional'!$B26&amp;"")</f>
        <v/>
      </c>
      <c r="C26" s="41">
        <f>IF('Cronograma R. Operacional'!$A26="","",'Cronograma R. Operacional'!$C26&amp;"")</f>
        <v/>
      </c>
      <c r="D26" s="63">
        <f>IF(OR('Cronograma R. Operacional'!$A26="",'Cronograma R. Operacional'!$D26=""),"",'Cronograma R. Operacional'!$D26)</f>
        <v/>
      </c>
      <c r="E26" s="63">
        <f>IF(OR('Cronograma R. Operacional'!$A26="",'Cronograma R. Operacional'!$E26=""),"",'Cronograma R. Operacional'!$E26)</f>
        <v/>
      </c>
      <c r="F26" s="22">
        <f>IF(OR('Cronograma R. Operacional'!$A26="",NOT(ISNUMBER('Cronograma R. Operacional'!$E26))),"",IF('Cronograma R. Operacional'!$E26&lt;InicioCiclo,"Antes del ciclo",IF('Cronograma R. Operacional'!$E26&gt;=InicioCiclo+28,"Después del ciclo","Semana "&amp;(INT(('Cronograma R. Operacional'!$E26-InicioCiclo)/7)+1))))</f>
        <v/>
      </c>
      <c r="G26" s="20">
        <f>IF(OR('Cronograma R. Operacional'!$A26="",'Cronograma R. Operacional'!$G26=""),"",'Cronograma R. Operacional'!$G26)</f>
        <v/>
      </c>
      <c r="H26" s="20">
        <f>IF(OR('Cronograma R. Operacional'!$A26="",'Cronograma R. Operacional'!$H26=""),"",'Cronograma R. Operacional'!$H26)</f>
        <v/>
      </c>
      <c r="I26" s="20">
        <f>IF(OR('Cronograma R. Operacional'!$A26="",'Cronograma R. Operacional'!$I26=""),"",'Cronograma R. Operacional'!$I26)</f>
        <v/>
      </c>
      <c r="J26" s="20">
        <f>IF(OR('Cronograma R. Operacional'!$A26="",'Cronograma R. Operacional'!$J26=""),"",'Cronograma R. Operacional'!$J26)</f>
        <v/>
      </c>
      <c r="K26" s="20">
        <f>IF('Cronograma R. Operacional'!$A26="","",'Cronograma R. Operacional'!$K26)</f>
        <v/>
      </c>
      <c r="L26" s="22">
        <f>IF('Cronograma R. Operacional'!$A26="","",IF(N('Cronograma R. Operacional'!$K26)&gt;=1,"Completado",IF(AND(ISNUMBER('Cronograma R. Operacional'!$E26),'Cronograma R. Operacional'!$E26&lt;FechaRef),"Vencida",IF(N('Cronograma R. Operacional'!$K26)&gt;0,"En curso","Pendiente"))))</f>
        <v/>
      </c>
      <c r="M26" s="41">
        <f>IF('Cronograma R. Operacional'!$A26="","",'Cronograma R. Operacional'!$M26&amp;"")</f>
        <v/>
      </c>
    </row>
    <row r="27">
      <c r="A27" s="22">
        <f>IF('Cronograma R. Operacional'!$A27="","",'Cronograma R. Operacional'!$A27)</f>
        <v/>
      </c>
      <c r="B27" s="41">
        <f>IF('Cronograma R. Operacional'!$A27="","",'Cronograma R. Operacional'!$B27&amp;"")</f>
        <v/>
      </c>
      <c r="C27" s="41">
        <f>IF('Cronograma R. Operacional'!$A27="","",'Cronograma R. Operacional'!$C27&amp;"")</f>
        <v/>
      </c>
      <c r="D27" s="63">
        <f>IF(OR('Cronograma R. Operacional'!$A27="",'Cronograma R. Operacional'!$D27=""),"",'Cronograma R. Operacional'!$D27)</f>
        <v/>
      </c>
      <c r="E27" s="63">
        <f>IF(OR('Cronograma R. Operacional'!$A27="",'Cronograma R. Operacional'!$E27=""),"",'Cronograma R. Operacional'!$E27)</f>
        <v/>
      </c>
      <c r="F27" s="22">
        <f>IF(OR('Cronograma R. Operacional'!$A27="",NOT(ISNUMBER('Cronograma R. Operacional'!$E27))),"",IF('Cronograma R. Operacional'!$E27&lt;InicioCiclo,"Antes del ciclo",IF('Cronograma R. Operacional'!$E27&gt;=InicioCiclo+28,"Después del ciclo","Semana "&amp;(INT(('Cronograma R. Operacional'!$E27-InicioCiclo)/7)+1))))</f>
        <v/>
      </c>
      <c r="G27" s="20">
        <f>IF(OR('Cronograma R. Operacional'!$A27="",'Cronograma R. Operacional'!$G27=""),"",'Cronograma R. Operacional'!$G27)</f>
        <v/>
      </c>
      <c r="H27" s="20">
        <f>IF(OR('Cronograma R. Operacional'!$A27="",'Cronograma R. Operacional'!$H27=""),"",'Cronograma R. Operacional'!$H27)</f>
        <v/>
      </c>
      <c r="I27" s="20">
        <f>IF(OR('Cronograma R. Operacional'!$A27="",'Cronograma R. Operacional'!$I27=""),"",'Cronograma R. Operacional'!$I27)</f>
        <v/>
      </c>
      <c r="J27" s="20">
        <f>IF(OR('Cronograma R. Operacional'!$A27="",'Cronograma R. Operacional'!$J27=""),"",'Cronograma R. Operacional'!$J27)</f>
        <v/>
      </c>
      <c r="K27" s="20">
        <f>IF('Cronograma R. Operacional'!$A27="","",'Cronograma R. Operacional'!$K27)</f>
        <v/>
      </c>
      <c r="L27" s="22">
        <f>IF('Cronograma R. Operacional'!$A27="","",IF(N('Cronograma R. Operacional'!$K27)&gt;=1,"Completado",IF(AND(ISNUMBER('Cronograma R. Operacional'!$E27),'Cronograma R. Operacional'!$E27&lt;FechaRef),"Vencida",IF(N('Cronograma R. Operacional'!$K27)&gt;0,"En curso","Pendiente"))))</f>
        <v/>
      </c>
      <c r="M27" s="41">
        <f>IF('Cronograma R. Operacional'!$A27="","",'Cronograma R. Operacional'!$M27&amp;"")</f>
        <v/>
      </c>
    </row>
    <row r="28">
      <c r="A28" s="22">
        <f>IF('Cronograma R. Operacional'!$A28="","",'Cronograma R. Operacional'!$A28)</f>
        <v/>
      </c>
      <c r="B28" s="41">
        <f>IF('Cronograma R. Operacional'!$A28="","",'Cronograma R. Operacional'!$B28&amp;"")</f>
        <v/>
      </c>
      <c r="C28" s="41">
        <f>IF('Cronograma R. Operacional'!$A28="","",'Cronograma R. Operacional'!$C28&amp;"")</f>
        <v/>
      </c>
      <c r="D28" s="63">
        <f>IF(OR('Cronograma R. Operacional'!$A28="",'Cronograma R. Operacional'!$D28=""),"",'Cronograma R. Operacional'!$D28)</f>
        <v/>
      </c>
      <c r="E28" s="63">
        <f>IF(OR('Cronograma R. Operacional'!$A28="",'Cronograma R. Operacional'!$E28=""),"",'Cronograma R. Operacional'!$E28)</f>
        <v/>
      </c>
      <c r="F28" s="22">
        <f>IF(OR('Cronograma R. Operacional'!$A28="",NOT(ISNUMBER('Cronograma R. Operacional'!$E28))),"",IF('Cronograma R. Operacional'!$E28&lt;InicioCiclo,"Antes del ciclo",IF('Cronograma R. Operacional'!$E28&gt;=InicioCiclo+28,"Después del ciclo","Semana "&amp;(INT(('Cronograma R. Operacional'!$E28-InicioCiclo)/7)+1))))</f>
        <v/>
      </c>
      <c r="G28" s="20">
        <f>IF(OR('Cronograma R. Operacional'!$A28="",'Cronograma R. Operacional'!$G28=""),"",'Cronograma R. Operacional'!$G28)</f>
        <v/>
      </c>
      <c r="H28" s="20">
        <f>IF(OR('Cronograma R. Operacional'!$A28="",'Cronograma R. Operacional'!$H28=""),"",'Cronograma R. Operacional'!$H28)</f>
        <v/>
      </c>
      <c r="I28" s="20">
        <f>IF(OR('Cronograma R. Operacional'!$A28="",'Cronograma R. Operacional'!$I28=""),"",'Cronograma R. Operacional'!$I28)</f>
        <v/>
      </c>
      <c r="J28" s="20">
        <f>IF(OR('Cronograma R. Operacional'!$A28="",'Cronograma R. Operacional'!$J28=""),"",'Cronograma R. Operacional'!$J28)</f>
        <v/>
      </c>
      <c r="K28" s="20">
        <f>IF('Cronograma R. Operacional'!$A28="","",'Cronograma R. Operacional'!$K28)</f>
        <v/>
      </c>
      <c r="L28" s="22">
        <f>IF('Cronograma R. Operacional'!$A28="","",IF(N('Cronograma R. Operacional'!$K28)&gt;=1,"Completado",IF(AND(ISNUMBER('Cronograma R. Operacional'!$E28),'Cronograma R. Operacional'!$E28&lt;FechaRef),"Vencida",IF(N('Cronograma R. Operacional'!$K28)&gt;0,"En curso","Pendiente"))))</f>
        <v/>
      </c>
      <c r="M28" s="41">
        <f>IF('Cronograma R. Operacional'!$A28="","",'Cronograma R. Operacional'!$M28&amp;"")</f>
        <v/>
      </c>
    </row>
    <row r="29">
      <c r="A29" s="22">
        <f>IF('Cronograma R. Operacional'!$A29="","",'Cronograma R. Operacional'!$A29)</f>
        <v/>
      </c>
      <c r="B29" s="41">
        <f>IF('Cronograma R. Operacional'!$A29="","",'Cronograma R. Operacional'!$B29&amp;"")</f>
        <v/>
      </c>
      <c r="C29" s="41">
        <f>IF('Cronograma R. Operacional'!$A29="","",'Cronograma R. Operacional'!$C29&amp;"")</f>
        <v/>
      </c>
      <c r="D29" s="63">
        <f>IF(OR('Cronograma R. Operacional'!$A29="",'Cronograma R. Operacional'!$D29=""),"",'Cronograma R. Operacional'!$D29)</f>
        <v/>
      </c>
      <c r="E29" s="63">
        <f>IF(OR('Cronograma R. Operacional'!$A29="",'Cronograma R. Operacional'!$E29=""),"",'Cronograma R. Operacional'!$E29)</f>
        <v/>
      </c>
      <c r="F29" s="22">
        <f>IF(OR('Cronograma R. Operacional'!$A29="",NOT(ISNUMBER('Cronograma R. Operacional'!$E29))),"",IF('Cronograma R. Operacional'!$E29&lt;InicioCiclo,"Antes del ciclo",IF('Cronograma R. Operacional'!$E29&gt;=InicioCiclo+28,"Después del ciclo","Semana "&amp;(INT(('Cronograma R. Operacional'!$E29-InicioCiclo)/7)+1))))</f>
        <v/>
      </c>
      <c r="G29" s="20">
        <f>IF(OR('Cronograma R. Operacional'!$A29="",'Cronograma R. Operacional'!$G29=""),"",'Cronograma R. Operacional'!$G29)</f>
        <v/>
      </c>
      <c r="H29" s="20">
        <f>IF(OR('Cronograma R. Operacional'!$A29="",'Cronograma R. Operacional'!$H29=""),"",'Cronograma R. Operacional'!$H29)</f>
        <v/>
      </c>
      <c r="I29" s="20">
        <f>IF(OR('Cronograma R. Operacional'!$A29="",'Cronograma R. Operacional'!$I29=""),"",'Cronograma R. Operacional'!$I29)</f>
        <v/>
      </c>
      <c r="J29" s="20">
        <f>IF(OR('Cronograma R. Operacional'!$A29="",'Cronograma R. Operacional'!$J29=""),"",'Cronograma R. Operacional'!$J29)</f>
        <v/>
      </c>
      <c r="K29" s="20">
        <f>IF('Cronograma R. Operacional'!$A29="","",'Cronograma R. Operacional'!$K29)</f>
        <v/>
      </c>
      <c r="L29" s="22">
        <f>IF('Cronograma R. Operacional'!$A29="","",IF(N('Cronograma R. Operacional'!$K29)&gt;=1,"Completado",IF(AND(ISNUMBER('Cronograma R. Operacional'!$E29),'Cronograma R. Operacional'!$E29&lt;FechaRef),"Vencida",IF(N('Cronograma R. Operacional'!$K29)&gt;0,"En curso","Pendiente"))))</f>
        <v/>
      </c>
      <c r="M29" s="41">
        <f>IF('Cronograma R. Operacional'!$A29="","",'Cronograma R. Operacional'!$M29&amp;"")</f>
        <v/>
      </c>
    </row>
    <row r="30">
      <c r="A30" s="22">
        <f>IF('Cronograma R. Operacional'!$A30="","",'Cronograma R. Operacional'!$A30)</f>
        <v/>
      </c>
      <c r="B30" s="41">
        <f>IF('Cronograma R. Operacional'!$A30="","",'Cronograma R. Operacional'!$B30&amp;"")</f>
        <v/>
      </c>
      <c r="C30" s="41">
        <f>IF('Cronograma R. Operacional'!$A30="","",'Cronograma R. Operacional'!$C30&amp;"")</f>
        <v/>
      </c>
      <c r="D30" s="63">
        <f>IF(OR('Cronograma R. Operacional'!$A30="",'Cronograma R. Operacional'!$D30=""),"",'Cronograma R. Operacional'!$D30)</f>
        <v/>
      </c>
      <c r="E30" s="63">
        <f>IF(OR('Cronograma R. Operacional'!$A30="",'Cronograma R. Operacional'!$E30=""),"",'Cronograma R. Operacional'!$E30)</f>
        <v/>
      </c>
      <c r="F30" s="22">
        <f>IF(OR('Cronograma R. Operacional'!$A30="",NOT(ISNUMBER('Cronograma R. Operacional'!$E30))),"",IF('Cronograma R. Operacional'!$E30&lt;InicioCiclo,"Antes del ciclo",IF('Cronograma R. Operacional'!$E30&gt;=InicioCiclo+28,"Después del ciclo","Semana "&amp;(INT(('Cronograma R. Operacional'!$E30-InicioCiclo)/7)+1))))</f>
        <v/>
      </c>
      <c r="G30" s="20">
        <f>IF(OR('Cronograma R. Operacional'!$A30="",'Cronograma R. Operacional'!$G30=""),"",'Cronograma R. Operacional'!$G30)</f>
        <v/>
      </c>
      <c r="H30" s="20">
        <f>IF(OR('Cronograma R. Operacional'!$A30="",'Cronograma R. Operacional'!$H30=""),"",'Cronograma R. Operacional'!$H30)</f>
        <v/>
      </c>
      <c r="I30" s="20">
        <f>IF(OR('Cronograma R. Operacional'!$A30="",'Cronograma R. Operacional'!$I30=""),"",'Cronograma R. Operacional'!$I30)</f>
        <v/>
      </c>
      <c r="J30" s="20">
        <f>IF(OR('Cronograma R. Operacional'!$A30="",'Cronograma R. Operacional'!$J30=""),"",'Cronograma R. Operacional'!$J30)</f>
        <v/>
      </c>
      <c r="K30" s="20">
        <f>IF('Cronograma R. Operacional'!$A30="","",'Cronograma R. Operacional'!$K30)</f>
        <v/>
      </c>
      <c r="L30" s="22">
        <f>IF('Cronograma R. Operacional'!$A30="","",IF(N('Cronograma R. Operacional'!$K30)&gt;=1,"Completado",IF(AND(ISNUMBER('Cronograma R. Operacional'!$E30),'Cronograma R. Operacional'!$E30&lt;FechaRef),"Vencida",IF(N('Cronograma R. Operacional'!$K30)&gt;0,"En curso","Pendiente"))))</f>
        <v/>
      </c>
      <c r="M30" s="41">
        <f>IF('Cronograma R. Operacional'!$A30="","",'Cronograma R. Operacional'!$M30&amp;"")</f>
        <v/>
      </c>
    </row>
    <row r="31">
      <c r="A31" s="22">
        <f>IF('Cronograma R. Operacional'!$A31="","",'Cronograma R. Operacional'!$A31)</f>
        <v/>
      </c>
      <c r="B31" s="41">
        <f>IF('Cronograma R. Operacional'!$A31="","",'Cronograma R. Operacional'!$B31&amp;"")</f>
        <v/>
      </c>
      <c r="C31" s="41">
        <f>IF('Cronograma R. Operacional'!$A31="","",'Cronograma R. Operacional'!$C31&amp;"")</f>
        <v/>
      </c>
      <c r="D31" s="63">
        <f>IF(OR('Cronograma R. Operacional'!$A31="",'Cronograma R. Operacional'!$D31=""),"",'Cronograma R. Operacional'!$D31)</f>
        <v/>
      </c>
      <c r="E31" s="63">
        <f>IF(OR('Cronograma R. Operacional'!$A31="",'Cronograma R. Operacional'!$E31=""),"",'Cronograma R. Operacional'!$E31)</f>
        <v/>
      </c>
      <c r="F31" s="22">
        <f>IF(OR('Cronograma R. Operacional'!$A31="",NOT(ISNUMBER('Cronograma R. Operacional'!$E31))),"",IF('Cronograma R. Operacional'!$E31&lt;InicioCiclo,"Antes del ciclo",IF('Cronograma R. Operacional'!$E31&gt;=InicioCiclo+28,"Después del ciclo","Semana "&amp;(INT(('Cronograma R. Operacional'!$E31-InicioCiclo)/7)+1))))</f>
        <v/>
      </c>
      <c r="G31" s="20">
        <f>IF(OR('Cronograma R. Operacional'!$A31="",'Cronograma R. Operacional'!$G31=""),"",'Cronograma R. Operacional'!$G31)</f>
        <v/>
      </c>
      <c r="H31" s="20">
        <f>IF(OR('Cronograma R. Operacional'!$A31="",'Cronograma R. Operacional'!$H31=""),"",'Cronograma R. Operacional'!$H31)</f>
        <v/>
      </c>
      <c r="I31" s="20">
        <f>IF(OR('Cronograma R. Operacional'!$A31="",'Cronograma R. Operacional'!$I31=""),"",'Cronograma R. Operacional'!$I31)</f>
        <v/>
      </c>
      <c r="J31" s="20">
        <f>IF(OR('Cronograma R. Operacional'!$A31="",'Cronograma R. Operacional'!$J31=""),"",'Cronograma R. Operacional'!$J31)</f>
        <v/>
      </c>
      <c r="K31" s="20">
        <f>IF('Cronograma R. Operacional'!$A31="","",'Cronograma R. Operacional'!$K31)</f>
        <v/>
      </c>
      <c r="L31" s="22">
        <f>IF('Cronograma R. Operacional'!$A31="","",IF(N('Cronograma R. Operacional'!$K31)&gt;=1,"Completado",IF(AND(ISNUMBER('Cronograma R. Operacional'!$E31),'Cronograma R. Operacional'!$E31&lt;FechaRef),"Vencida",IF(N('Cronograma R. Operacional'!$K31)&gt;0,"En curso","Pendiente"))))</f>
        <v/>
      </c>
      <c r="M31" s="41">
        <f>IF('Cronograma R. Operacional'!$A31="","",'Cronograma R. Operacional'!$M31&amp;"")</f>
        <v/>
      </c>
    </row>
    <row r="32">
      <c r="A32" s="22">
        <f>IF('Cronograma R. Operacional'!$A32="","",'Cronograma R. Operacional'!$A32)</f>
        <v/>
      </c>
      <c r="B32" s="41">
        <f>IF('Cronograma R. Operacional'!$A32="","",'Cronograma R. Operacional'!$B32&amp;"")</f>
        <v/>
      </c>
      <c r="C32" s="41">
        <f>IF('Cronograma R. Operacional'!$A32="","",'Cronograma R. Operacional'!$C32&amp;"")</f>
        <v/>
      </c>
      <c r="D32" s="63">
        <f>IF(OR('Cronograma R. Operacional'!$A32="",'Cronograma R. Operacional'!$D32=""),"",'Cronograma R. Operacional'!$D32)</f>
        <v/>
      </c>
      <c r="E32" s="63">
        <f>IF(OR('Cronograma R. Operacional'!$A32="",'Cronograma R. Operacional'!$E32=""),"",'Cronograma R. Operacional'!$E32)</f>
        <v/>
      </c>
      <c r="F32" s="22">
        <f>IF(OR('Cronograma R. Operacional'!$A32="",NOT(ISNUMBER('Cronograma R. Operacional'!$E32))),"",IF('Cronograma R. Operacional'!$E32&lt;InicioCiclo,"Antes del ciclo",IF('Cronograma R. Operacional'!$E32&gt;=InicioCiclo+28,"Después del ciclo","Semana "&amp;(INT(('Cronograma R. Operacional'!$E32-InicioCiclo)/7)+1))))</f>
        <v/>
      </c>
      <c r="G32" s="20">
        <f>IF(OR('Cronograma R. Operacional'!$A32="",'Cronograma R. Operacional'!$G32=""),"",'Cronograma R. Operacional'!$G32)</f>
        <v/>
      </c>
      <c r="H32" s="20">
        <f>IF(OR('Cronograma R. Operacional'!$A32="",'Cronograma R. Operacional'!$H32=""),"",'Cronograma R. Operacional'!$H32)</f>
        <v/>
      </c>
      <c r="I32" s="20">
        <f>IF(OR('Cronograma R. Operacional'!$A32="",'Cronograma R. Operacional'!$I32=""),"",'Cronograma R. Operacional'!$I32)</f>
        <v/>
      </c>
      <c r="J32" s="20">
        <f>IF(OR('Cronograma R. Operacional'!$A32="",'Cronograma R. Operacional'!$J32=""),"",'Cronograma R. Operacional'!$J32)</f>
        <v/>
      </c>
      <c r="K32" s="20">
        <f>IF('Cronograma R. Operacional'!$A32="","",'Cronograma R. Operacional'!$K32)</f>
        <v/>
      </c>
      <c r="L32" s="22">
        <f>IF('Cronograma R. Operacional'!$A32="","",IF(N('Cronograma R. Operacional'!$K32)&gt;=1,"Completado",IF(AND(ISNUMBER('Cronograma R. Operacional'!$E32),'Cronograma R. Operacional'!$E32&lt;FechaRef),"Vencida",IF(N('Cronograma R. Operacional'!$K32)&gt;0,"En curso","Pendiente"))))</f>
        <v/>
      </c>
      <c r="M32" s="41">
        <f>IF('Cronograma R. Operacional'!$A32="","",'Cronograma R. Operacional'!$M32&amp;"")</f>
        <v/>
      </c>
    </row>
    <row r="33">
      <c r="A33" s="22">
        <f>IF('Cronograma R. Operacional'!$A33="","",'Cronograma R. Operacional'!$A33)</f>
        <v/>
      </c>
      <c r="B33" s="41">
        <f>IF('Cronograma R. Operacional'!$A33="","",'Cronograma R. Operacional'!$B33&amp;"")</f>
        <v/>
      </c>
      <c r="C33" s="41">
        <f>IF('Cronograma R. Operacional'!$A33="","",'Cronograma R. Operacional'!$C33&amp;"")</f>
        <v/>
      </c>
      <c r="D33" s="63">
        <f>IF(OR('Cronograma R. Operacional'!$A33="",'Cronograma R. Operacional'!$D33=""),"",'Cronograma R. Operacional'!$D33)</f>
        <v/>
      </c>
      <c r="E33" s="63">
        <f>IF(OR('Cronograma R. Operacional'!$A33="",'Cronograma R. Operacional'!$E33=""),"",'Cronograma R. Operacional'!$E33)</f>
        <v/>
      </c>
      <c r="F33" s="22">
        <f>IF(OR('Cronograma R. Operacional'!$A33="",NOT(ISNUMBER('Cronograma R. Operacional'!$E33))),"",IF('Cronograma R. Operacional'!$E33&lt;InicioCiclo,"Antes del ciclo",IF('Cronograma R. Operacional'!$E33&gt;=InicioCiclo+28,"Después del ciclo","Semana "&amp;(INT(('Cronograma R. Operacional'!$E33-InicioCiclo)/7)+1))))</f>
        <v/>
      </c>
      <c r="G33" s="20">
        <f>IF(OR('Cronograma R. Operacional'!$A33="",'Cronograma R. Operacional'!$G33=""),"",'Cronograma R. Operacional'!$G33)</f>
        <v/>
      </c>
      <c r="H33" s="20">
        <f>IF(OR('Cronograma R. Operacional'!$A33="",'Cronograma R. Operacional'!$H33=""),"",'Cronograma R. Operacional'!$H33)</f>
        <v/>
      </c>
      <c r="I33" s="20">
        <f>IF(OR('Cronograma R. Operacional'!$A33="",'Cronograma R. Operacional'!$I33=""),"",'Cronograma R. Operacional'!$I33)</f>
        <v/>
      </c>
      <c r="J33" s="20">
        <f>IF(OR('Cronograma R. Operacional'!$A33="",'Cronograma R. Operacional'!$J33=""),"",'Cronograma R. Operacional'!$J33)</f>
        <v/>
      </c>
      <c r="K33" s="20">
        <f>IF('Cronograma R. Operacional'!$A33="","",'Cronograma R. Operacional'!$K33)</f>
        <v/>
      </c>
      <c r="L33" s="22">
        <f>IF('Cronograma R. Operacional'!$A33="","",IF(N('Cronograma R. Operacional'!$K33)&gt;=1,"Completado",IF(AND(ISNUMBER('Cronograma R. Operacional'!$E33),'Cronograma R. Operacional'!$E33&lt;FechaRef),"Vencida",IF(N('Cronograma R. Operacional'!$K33)&gt;0,"En curso","Pendiente"))))</f>
        <v/>
      </c>
      <c r="M33" s="41">
        <f>IF('Cronograma R. Operacional'!$A33="","",'Cronograma R. Operacional'!$M33&amp;"")</f>
        <v/>
      </c>
    </row>
    <row r="34">
      <c r="A34" s="22">
        <f>IF('Cronograma R. Operacional'!$A34="","",'Cronograma R. Operacional'!$A34)</f>
        <v/>
      </c>
      <c r="B34" s="41">
        <f>IF('Cronograma R. Operacional'!$A34="","",'Cronograma R. Operacional'!$B34&amp;"")</f>
        <v/>
      </c>
      <c r="C34" s="41">
        <f>IF('Cronograma R. Operacional'!$A34="","",'Cronograma R. Operacional'!$C34&amp;"")</f>
        <v/>
      </c>
      <c r="D34" s="63">
        <f>IF(OR('Cronograma R. Operacional'!$A34="",'Cronograma R. Operacional'!$D34=""),"",'Cronograma R. Operacional'!$D34)</f>
        <v/>
      </c>
      <c r="E34" s="63">
        <f>IF(OR('Cronograma R. Operacional'!$A34="",'Cronograma R. Operacional'!$E34=""),"",'Cronograma R. Operacional'!$E34)</f>
        <v/>
      </c>
      <c r="F34" s="22">
        <f>IF(OR('Cronograma R. Operacional'!$A34="",NOT(ISNUMBER('Cronograma R. Operacional'!$E34))),"",IF('Cronograma R. Operacional'!$E34&lt;InicioCiclo,"Antes del ciclo",IF('Cronograma R. Operacional'!$E34&gt;=InicioCiclo+28,"Después del ciclo","Semana "&amp;(INT(('Cronograma R. Operacional'!$E34-InicioCiclo)/7)+1))))</f>
        <v/>
      </c>
      <c r="G34" s="20">
        <f>IF(OR('Cronograma R. Operacional'!$A34="",'Cronograma R. Operacional'!$G34=""),"",'Cronograma R. Operacional'!$G34)</f>
        <v/>
      </c>
      <c r="H34" s="20">
        <f>IF(OR('Cronograma R. Operacional'!$A34="",'Cronograma R. Operacional'!$H34=""),"",'Cronograma R. Operacional'!$H34)</f>
        <v/>
      </c>
      <c r="I34" s="20">
        <f>IF(OR('Cronograma R. Operacional'!$A34="",'Cronograma R. Operacional'!$I34=""),"",'Cronograma R. Operacional'!$I34)</f>
        <v/>
      </c>
      <c r="J34" s="20">
        <f>IF(OR('Cronograma R. Operacional'!$A34="",'Cronograma R. Operacional'!$J34=""),"",'Cronograma R. Operacional'!$J34)</f>
        <v/>
      </c>
      <c r="K34" s="20">
        <f>IF('Cronograma R. Operacional'!$A34="","",'Cronograma R. Operacional'!$K34)</f>
        <v/>
      </c>
      <c r="L34" s="22">
        <f>IF('Cronograma R. Operacional'!$A34="","",IF(N('Cronograma R. Operacional'!$K34)&gt;=1,"Completado",IF(AND(ISNUMBER('Cronograma R. Operacional'!$E34),'Cronograma R. Operacional'!$E34&lt;FechaRef),"Vencida",IF(N('Cronograma R. Operacional'!$K34)&gt;0,"En curso","Pendiente"))))</f>
        <v/>
      </c>
      <c r="M34" s="41">
        <f>IF('Cronograma R. Operacional'!$A34="","",'Cronograma R. Operacional'!$M34&amp;"")</f>
        <v/>
      </c>
    </row>
    <row r="35">
      <c r="A35" s="22">
        <f>IF('Cronograma R. Operacional'!$A35="","",'Cronograma R. Operacional'!$A35)</f>
        <v/>
      </c>
      <c r="B35" s="41">
        <f>IF('Cronograma R. Operacional'!$A35="","",'Cronograma R. Operacional'!$B35&amp;"")</f>
        <v/>
      </c>
      <c r="C35" s="41">
        <f>IF('Cronograma R. Operacional'!$A35="","",'Cronograma R. Operacional'!$C35&amp;"")</f>
        <v/>
      </c>
      <c r="D35" s="63">
        <f>IF(OR('Cronograma R. Operacional'!$A35="",'Cronograma R. Operacional'!$D35=""),"",'Cronograma R. Operacional'!$D35)</f>
        <v/>
      </c>
      <c r="E35" s="63">
        <f>IF(OR('Cronograma R. Operacional'!$A35="",'Cronograma R. Operacional'!$E35=""),"",'Cronograma R. Operacional'!$E35)</f>
        <v/>
      </c>
      <c r="F35" s="22">
        <f>IF(OR('Cronograma R. Operacional'!$A35="",NOT(ISNUMBER('Cronograma R. Operacional'!$E35))),"",IF('Cronograma R. Operacional'!$E35&lt;InicioCiclo,"Antes del ciclo",IF('Cronograma R. Operacional'!$E35&gt;=InicioCiclo+28,"Después del ciclo","Semana "&amp;(INT(('Cronograma R. Operacional'!$E35-InicioCiclo)/7)+1))))</f>
        <v/>
      </c>
      <c r="G35" s="20">
        <f>IF(OR('Cronograma R. Operacional'!$A35="",'Cronograma R. Operacional'!$G35=""),"",'Cronograma R. Operacional'!$G35)</f>
        <v/>
      </c>
      <c r="H35" s="20">
        <f>IF(OR('Cronograma R. Operacional'!$A35="",'Cronograma R. Operacional'!$H35=""),"",'Cronograma R. Operacional'!$H35)</f>
        <v/>
      </c>
      <c r="I35" s="20">
        <f>IF(OR('Cronograma R. Operacional'!$A35="",'Cronograma R. Operacional'!$I35=""),"",'Cronograma R. Operacional'!$I35)</f>
        <v/>
      </c>
      <c r="J35" s="20">
        <f>IF(OR('Cronograma R. Operacional'!$A35="",'Cronograma R. Operacional'!$J35=""),"",'Cronograma R. Operacional'!$J35)</f>
        <v/>
      </c>
      <c r="K35" s="20">
        <f>IF('Cronograma R. Operacional'!$A35="","",'Cronograma R. Operacional'!$K35)</f>
        <v/>
      </c>
      <c r="L35" s="22">
        <f>IF('Cronograma R. Operacional'!$A35="","",IF(N('Cronograma R. Operacional'!$K35)&gt;=1,"Completado",IF(AND(ISNUMBER('Cronograma R. Operacional'!$E35),'Cronograma R. Operacional'!$E35&lt;FechaRef),"Vencida",IF(N('Cronograma R. Operacional'!$K35)&gt;0,"En curso","Pendiente"))))</f>
        <v/>
      </c>
      <c r="M35" s="41">
        <f>IF('Cronograma R. Operacional'!$A35="","",'Cronograma R. Operacional'!$M35&amp;"")</f>
        <v/>
      </c>
    </row>
    <row r="36">
      <c r="A36" s="22">
        <f>IF('Cronograma R. Operacional'!$A36="","",'Cronograma R. Operacional'!$A36)</f>
        <v/>
      </c>
      <c r="B36" s="41">
        <f>IF('Cronograma R. Operacional'!$A36="","",'Cronograma R. Operacional'!$B36&amp;"")</f>
        <v/>
      </c>
      <c r="C36" s="41">
        <f>IF('Cronograma R. Operacional'!$A36="","",'Cronograma R. Operacional'!$C36&amp;"")</f>
        <v/>
      </c>
      <c r="D36" s="63">
        <f>IF(OR('Cronograma R. Operacional'!$A36="",'Cronograma R. Operacional'!$D36=""),"",'Cronograma R. Operacional'!$D36)</f>
        <v/>
      </c>
      <c r="E36" s="63">
        <f>IF(OR('Cronograma R. Operacional'!$A36="",'Cronograma R. Operacional'!$E36=""),"",'Cronograma R. Operacional'!$E36)</f>
        <v/>
      </c>
      <c r="F36" s="22">
        <f>IF(OR('Cronograma R. Operacional'!$A36="",NOT(ISNUMBER('Cronograma R. Operacional'!$E36))),"",IF('Cronograma R. Operacional'!$E36&lt;InicioCiclo,"Antes del ciclo",IF('Cronograma R. Operacional'!$E36&gt;=InicioCiclo+28,"Después del ciclo","Semana "&amp;(INT(('Cronograma R. Operacional'!$E36-InicioCiclo)/7)+1))))</f>
        <v/>
      </c>
      <c r="G36" s="20">
        <f>IF(OR('Cronograma R. Operacional'!$A36="",'Cronograma R. Operacional'!$G36=""),"",'Cronograma R. Operacional'!$G36)</f>
        <v/>
      </c>
      <c r="H36" s="20">
        <f>IF(OR('Cronograma R. Operacional'!$A36="",'Cronograma R. Operacional'!$H36=""),"",'Cronograma R. Operacional'!$H36)</f>
        <v/>
      </c>
      <c r="I36" s="20">
        <f>IF(OR('Cronograma R. Operacional'!$A36="",'Cronograma R. Operacional'!$I36=""),"",'Cronograma R. Operacional'!$I36)</f>
        <v/>
      </c>
      <c r="J36" s="20">
        <f>IF(OR('Cronograma R. Operacional'!$A36="",'Cronograma R. Operacional'!$J36=""),"",'Cronograma R. Operacional'!$J36)</f>
        <v/>
      </c>
      <c r="K36" s="20">
        <f>IF('Cronograma R. Operacional'!$A36="","",'Cronograma R. Operacional'!$K36)</f>
        <v/>
      </c>
      <c r="L36" s="22">
        <f>IF('Cronograma R. Operacional'!$A36="","",IF(N('Cronograma R. Operacional'!$K36)&gt;=1,"Completado",IF(AND(ISNUMBER('Cronograma R. Operacional'!$E36),'Cronograma R. Operacional'!$E36&lt;FechaRef),"Vencida",IF(N('Cronograma R. Operacional'!$K36)&gt;0,"En curso","Pendiente"))))</f>
        <v/>
      </c>
      <c r="M36" s="41">
        <f>IF('Cronograma R. Operacional'!$A36="","",'Cronograma R. Operacional'!$M36&amp;"")</f>
        <v/>
      </c>
    </row>
    <row r="37">
      <c r="A37" s="22">
        <f>IF('Cronograma R. Operacional'!$A37="","",'Cronograma R. Operacional'!$A37)</f>
        <v/>
      </c>
      <c r="B37" s="41">
        <f>IF('Cronograma R. Operacional'!$A37="","",'Cronograma R. Operacional'!$B37&amp;"")</f>
        <v/>
      </c>
      <c r="C37" s="41">
        <f>IF('Cronograma R. Operacional'!$A37="","",'Cronograma R. Operacional'!$C37&amp;"")</f>
        <v/>
      </c>
      <c r="D37" s="63">
        <f>IF(OR('Cronograma R. Operacional'!$A37="",'Cronograma R. Operacional'!$D37=""),"",'Cronograma R. Operacional'!$D37)</f>
        <v/>
      </c>
      <c r="E37" s="63">
        <f>IF(OR('Cronograma R. Operacional'!$A37="",'Cronograma R. Operacional'!$E37=""),"",'Cronograma R. Operacional'!$E37)</f>
        <v/>
      </c>
      <c r="F37" s="22">
        <f>IF(OR('Cronograma R. Operacional'!$A37="",NOT(ISNUMBER('Cronograma R. Operacional'!$E37))),"",IF('Cronograma R. Operacional'!$E37&lt;InicioCiclo,"Antes del ciclo",IF('Cronograma R. Operacional'!$E37&gt;=InicioCiclo+28,"Después del ciclo","Semana "&amp;(INT(('Cronograma R. Operacional'!$E37-InicioCiclo)/7)+1))))</f>
        <v/>
      </c>
      <c r="G37" s="20">
        <f>IF(OR('Cronograma R. Operacional'!$A37="",'Cronograma R. Operacional'!$G37=""),"",'Cronograma R. Operacional'!$G37)</f>
        <v/>
      </c>
      <c r="H37" s="20">
        <f>IF(OR('Cronograma R. Operacional'!$A37="",'Cronograma R. Operacional'!$H37=""),"",'Cronograma R. Operacional'!$H37)</f>
        <v/>
      </c>
      <c r="I37" s="20">
        <f>IF(OR('Cronograma R. Operacional'!$A37="",'Cronograma R. Operacional'!$I37=""),"",'Cronograma R. Operacional'!$I37)</f>
        <v/>
      </c>
      <c r="J37" s="20">
        <f>IF(OR('Cronograma R. Operacional'!$A37="",'Cronograma R. Operacional'!$J37=""),"",'Cronograma R. Operacional'!$J37)</f>
        <v/>
      </c>
      <c r="K37" s="20">
        <f>IF('Cronograma R. Operacional'!$A37="","",'Cronograma R. Operacional'!$K37)</f>
        <v/>
      </c>
      <c r="L37" s="22">
        <f>IF('Cronograma R. Operacional'!$A37="","",IF(N('Cronograma R. Operacional'!$K37)&gt;=1,"Completado",IF(AND(ISNUMBER('Cronograma R. Operacional'!$E37),'Cronograma R. Operacional'!$E37&lt;FechaRef),"Vencida",IF(N('Cronograma R. Operacional'!$K37)&gt;0,"En curso","Pendiente"))))</f>
        <v/>
      </c>
      <c r="M37" s="41">
        <f>IF('Cronograma R. Operacional'!$A37="","",'Cronograma R. Operacional'!$M37&amp;"")</f>
        <v/>
      </c>
    </row>
    <row r="38">
      <c r="A38" s="22">
        <f>IF('Cronograma R. Operacional'!$A38="","",'Cronograma R. Operacional'!$A38)</f>
        <v/>
      </c>
      <c r="B38" s="41">
        <f>IF('Cronograma R. Operacional'!$A38="","",'Cronograma R. Operacional'!$B38&amp;"")</f>
        <v/>
      </c>
      <c r="C38" s="41">
        <f>IF('Cronograma R. Operacional'!$A38="","",'Cronograma R. Operacional'!$C38&amp;"")</f>
        <v/>
      </c>
      <c r="D38" s="63">
        <f>IF(OR('Cronograma R. Operacional'!$A38="",'Cronograma R. Operacional'!$D38=""),"",'Cronograma R. Operacional'!$D38)</f>
        <v/>
      </c>
      <c r="E38" s="63">
        <f>IF(OR('Cronograma R. Operacional'!$A38="",'Cronograma R. Operacional'!$E38=""),"",'Cronograma R. Operacional'!$E38)</f>
        <v/>
      </c>
      <c r="F38" s="22">
        <f>IF(OR('Cronograma R. Operacional'!$A38="",NOT(ISNUMBER('Cronograma R. Operacional'!$E38))),"",IF('Cronograma R. Operacional'!$E38&lt;InicioCiclo,"Antes del ciclo",IF('Cronograma R. Operacional'!$E38&gt;=InicioCiclo+28,"Después del ciclo","Semana "&amp;(INT(('Cronograma R. Operacional'!$E38-InicioCiclo)/7)+1))))</f>
        <v/>
      </c>
      <c r="G38" s="20">
        <f>IF(OR('Cronograma R. Operacional'!$A38="",'Cronograma R. Operacional'!$G38=""),"",'Cronograma R. Operacional'!$G38)</f>
        <v/>
      </c>
      <c r="H38" s="20">
        <f>IF(OR('Cronograma R. Operacional'!$A38="",'Cronograma R. Operacional'!$H38=""),"",'Cronograma R. Operacional'!$H38)</f>
        <v/>
      </c>
      <c r="I38" s="20">
        <f>IF(OR('Cronograma R. Operacional'!$A38="",'Cronograma R. Operacional'!$I38=""),"",'Cronograma R. Operacional'!$I38)</f>
        <v/>
      </c>
      <c r="J38" s="20">
        <f>IF(OR('Cronograma R. Operacional'!$A38="",'Cronograma R. Operacional'!$J38=""),"",'Cronograma R. Operacional'!$J38)</f>
        <v/>
      </c>
      <c r="K38" s="20">
        <f>IF('Cronograma R. Operacional'!$A38="","",'Cronograma R. Operacional'!$K38)</f>
        <v/>
      </c>
      <c r="L38" s="22">
        <f>IF('Cronograma R. Operacional'!$A38="","",IF(N('Cronograma R. Operacional'!$K38)&gt;=1,"Completado",IF(AND(ISNUMBER('Cronograma R. Operacional'!$E38),'Cronograma R. Operacional'!$E38&lt;FechaRef),"Vencida",IF(N('Cronograma R. Operacional'!$K38)&gt;0,"En curso","Pendiente"))))</f>
        <v/>
      </c>
      <c r="M38" s="41">
        <f>IF('Cronograma R. Operacional'!$A38="","",'Cronograma R. Operacional'!$M38&amp;"")</f>
        <v/>
      </c>
    </row>
    <row r="39">
      <c r="A39" s="22">
        <f>IF('Cronograma R. Operacional'!$A39="","",'Cronograma R. Operacional'!$A39)</f>
        <v/>
      </c>
      <c r="B39" s="41">
        <f>IF('Cronograma R. Operacional'!$A39="","",'Cronograma R. Operacional'!$B39&amp;"")</f>
        <v/>
      </c>
      <c r="C39" s="41">
        <f>IF('Cronograma R. Operacional'!$A39="","",'Cronograma R. Operacional'!$C39&amp;"")</f>
        <v/>
      </c>
      <c r="D39" s="63">
        <f>IF(OR('Cronograma R. Operacional'!$A39="",'Cronograma R. Operacional'!$D39=""),"",'Cronograma R. Operacional'!$D39)</f>
        <v/>
      </c>
      <c r="E39" s="63">
        <f>IF(OR('Cronograma R. Operacional'!$A39="",'Cronograma R. Operacional'!$E39=""),"",'Cronograma R. Operacional'!$E39)</f>
        <v/>
      </c>
      <c r="F39" s="22">
        <f>IF(OR('Cronograma R. Operacional'!$A39="",NOT(ISNUMBER('Cronograma R. Operacional'!$E39))),"",IF('Cronograma R. Operacional'!$E39&lt;InicioCiclo,"Antes del ciclo",IF('Cronograma R. Operacional'!$E39&gt;=InicioCiclo+28,"Después del ciclo","Semana "&amp;(INT(('Cronograma R. Operacional'!$E39-InicioCiclo)/7)+1))))</f>
        <v/>
      </c>
      <c r="G39" s="20">
        <f>IF(OR('Cronograma R. Operacional'!$A39="",'Cronograma R. Operacional'!$G39=""),"",'Cronograma R. Operacional'!$G39)</f>
        <v/>
      </c>
      <c r="H39" s="20">
        <f>IF(OR('Cronograma R. Operacional'!$A39="",'Cronograma R. Operacional'!$H39=""),"",'Cronograma R. Operacional'!$H39)</f>
        <v/>
      </c>
      <c r="I39" s="20">
        <f>IF(OR('Cronograma R. Operacional'!$A39="",'Cronograma R. Operacional'!$I39=""),"",'Cronograma R. Operacional'!$I39)</f>
        <v/>
      </c>
      <c r="J39" s="20">
        <f>IF(OR('Cronograma R. Operacional'!$A39="",'Cronograma R. Operacional'!$J39=""),"",'Cronograma R. Operacional'!$J39)</f>
        <v/>
      </c>
      <c r="K39" s="20">
        <f>IF('Cronograma R. Operacional'!$A39="","",'Cronograma R. Operacional'!$K39)</f>
        <v/>
      </c>
      <c r="L39" s="22">
        <f>IF('Cronograma R. Operacional'!$A39="","",IF(N('Cronograma R. Operacional'!$K39)&gt;=1,"Completado",IF(AND(ISNUMBER('Cronograma R. Operacional'!$E39),'Cronograma R. Operacional'!$E39&lt;FechaRef),"Vencida",IF(N('Cronograma R. Operacional'!$K39)&gt;0,"En curso","Pendiente"))))</f>
        <v/>
      </c>
      <c r="M39" s="41">
        <f>IF('Cronograma R. Operacional'!$A39="","",'Cronograma R. Operacional'!$M39&amp;"")</f>
        <v/>
      </c>
    </row>
    <row r="40">
      <c r="A40" s="22">
        <f>IF('Cronograma R. Operacional'!$A40="","",'Cronograma R. Operacional'!$A40)</f>
        <v/>
      </c>
      <c r="B40" s="41">
        <f>IF('Cronograma R. Operacional'!$A40="","",'Cronograma R. Operacional'!$B40&amp;"")</f>
        <v/>
      </c>
      <c r="C40" s="41">
        <f>IF('Cronograma R. Operacional'!$A40="","",'Cronograma R. Operacional'!$C40&amp;"")</f>
        <v/>
      </c>
      <c r="D40" s="63">
        <f>IF(OR('Cronograma R. Operacional'!$A40="",'Cronograma R. Operacional'!$D40=""),"",'Cronograma R. Operacional'!$D40)</f>
        <v/>
      </c>
      <c r="E40" s="63">
        <f>IF(OR('Cronograma R. Operacional'!$A40="",'Cronograma R. Operacional'!$E40=""),"",'Cronograma R. Operacional'!$E40)</f>
        <v/>
      </c>
      <c r="F40" s="22">
        <f>IF(OR('Cronograma R. Operacional'!$A40="",NOT(ISNUMBER('Cronograma R. Operacional'!$E40))),"",IF('Cronograma R. Operacional'!$E40&lt;InicioCiclo,"Antes del ciclo",IF('Cronograma R. Operacional'!$E40&gt;=InicioCiclo+28,"Después del ciclo","Semana "&amp;(INT(('Cronograma R. Operacional'!$E40-InicioCiclo)/7)+1))))</f>
        <v/>
      </c>
      <c r="G40" s="20">
        <f>IF(OR('Cronograma R. Operacional'!$A40="",'Cronograma R. Operacional'!$G40=""),"",'Cronograma R. Operacional'!$G40)</f>
        <v/>
      </c>
      <c r="H40" s="20">
        <f>IF(OR('Cronograma R. Operacional'!$A40="",'Cronograma R. Operacional'!$H40=""),"",'Cronograma R. Operacional'!$H40)</f>
        <v/>
      </c>
      <c r="I40" s="20">
        <f>IF(OR('Cronograma R. Operacional'!$A40="",'Cronograma R. Operacional'!$I40=""),"",'Cronograma R. Operacional'!$I40)</f>
        <v/>
      </c>
      <c r="J40" s="20">
        <f>IF(OR('Cronograma R. Operacional'!$A40="",'Cronograma R. Operacional'!$J40=""),"",'Cronograma R. Operacional'!$J40)</f>
        <v/>
      </c>
      <c r="K40" s="20">
        <f>IF('Cronograma R. Operacional'!$A40="","",'Cronograma R. Operacional'!$K40)</f>
        <v/>
      </c>
      <c r="L40" s="22">
        <f>IF('Cronograma R. Operacional'!$A40="","",IF(N('Cronograma R. Operacional'!$K40)&gt;=1,"Completado",IF(AND(ISNUMBER('Cronograma R. Operacional'!$E40),'Cronograma R. Operacional'!$E40&lt;FechaRef),"Vencida",IF(N('Cronograma R. Operacional'!$K40)&gt;0,"En curso","Pendiente"))))</f>
        <v/>
      </c>
      <c r="M40" s="41">
        <f>IF('Cronograma R. Operacional'!$A40="","",'Cronograma R. Operacional'!$M40&amp;"")</f>
        <v/>
      </c>
    </row>
    <row r="41">
      <c r="A41" s="22">
        <f>IF('Cronograma R. Operacional'!$A41="","",'Cronograma R. Operacional'!$A41)</f>
        <v/>
      </c>
      <c r="B41" s="41">
        <f>IF('Cronograma R. Operacional'!$A41="","",'Cronograma R. Operacional'!$B41&amp;"")</f>
        <v/>
      </c>
      <c r="C41" s="41">
        <f>IF('Cronograma R. Operacional'!$A41="","",'Cronograma R. Operacional'!$C41&amp;"")</f>
        <v/>
      </c>
      <c r="D41" s="63">
        <f>IF(OR('Cronograma R. Operacional'!$A41="",'Cronograma R. Operacional'!$D41=""),"",'Cronograma R. Operacional'!$D41)</f>
        <v/>
      </c>
      <c r="E41" s="63">
        <f>IF(OR('Cronograma R. Operacional'!$A41="",'Cronograma R. Operacional'!$E41=""),"",'Cronograma R. Operacional'!$E41)</f>
        <v/>
      </c>
      <c r="F41" s="22">
        <f>IF(OR('Cronograma R. Operacional'!$A41="",NOT(ISNUMBER('Cronograma R. Operacional'!$E41))),"",IF('Cronograma R. Operacional'!$E41&lt;InicioCiclo,"Antes del ciclo",IF('Cronograma R. Operacional'!$E41&gt;=InicioCiclo+28,"Después del ciclo","Semana "&amp;(INT(('Cronograma R. Operacional'!$E41-InicioCiclo)/7)+1))))</f>
        <v/>
      </c>
      <c r="G41" s="20">
        <f>IF(OR('Cronograma R. Operacional'!$A41="",'Cronograma R. Operacional'!$G41=""),"",'Cronograma R. Operacional'!$G41)</f>
        <v/>
      </c>
      <c r="H41" s="20">
        <f>IF(OR('Cronograma R. Operacional'!$A41="",'Cronograma R. Operacional'!$H41=""),"",'Cronograma R. Operacional'!$H41)</f>
        <v/>
      </c>
      <c r="I41" s="20">
        <f>IF(OR('Cronograma R. Operacional'!$A41="",'Cronograma R. Operacional'!$I41=""),"",'Cronograma R. Operacional'!$I41)</f>
        <v/>
      </c>
      <c r="J41" s="20">
        <f>IF(OR('Cronograma R. Operacional'!$A41="",'Cronograma R. Operacional'!$J41=""),"",'Cronograma R. Operacional'!$J41)</f>
        <v/>
      </c>
      <c r="K41" s="20">
        <f>IF('Cronograma R. Operacional'!$A41="","",'Cronograma R. Operacional'!$K41)</f>
        <v/>
      </c>
      <c r="L41" s="22">
        <f>IF('Cronograma R. Operacional'!$A41="","",IF(N('Cronograma R. Operacional'!$K41)&gt;=1,"Completado",IF(AND(ISNUMBER('Cronograma R. Operacional'!$E41),'Cronograma R. Operacional'!$E41&lt;FechaRef),"Vencida",IF(N('Cronograma R. Operacional'!$K41)&gt;0,"En curso","Pendiente"))))</f>
        <v/>
      </c>
      <c r="M41" s="41">
        <f>IF('Cronograma R. Operacional'!$A41="","",'Cronograma R. Operacional'!$M41&amp;"")</f>
        <v/>
      </c>
    </row>
    <row r="42">
      <c r="A42" s="22">
        <f>IF('Cronograma R. Operacional'!$A42="","",'Cronograma R. Operacional'!$A42)</f>
        <v/>
      </c>
      <c r="B42" s="41">
        <f>IF('Cronograma R. Operacional'!$A42="","",'Cronograma R. Operacional'!$B42&amp;"")</f>
        <v/>
      </c>
      <c r="C42" s="41">
        <f>IF('Cronograma R. Operacional'!$A42="","",'Cronograma R. Operacional'!$C42&amp;"")</f>
        <v/>
      </c>
      <c r="D42" s="63">
        <f>IF(OR('Cronograma R. Operacional'!$A42="",'Cronograma R. Operacional'!$D42=""),"",'Cronograma R. Operacional'!$D42)</f>
        <v/>
      </c>
      <c r="E42" s="63">
        <f>IF(OR('Cronograma R. Operacional'!$A42="",'Cronograma R. Operacional'!$E42=""),"",'Cronograma R. Operacional'!$E42)</f>
        <v/>
      </c>
      <c r="F42" s="22">
        <f>IF(OR('Cronograma R. Operacional'!$A42="",NOT(ISNUMBER('Cronograma R. Operacional'!$E42))),"",IF('Cronograma R. Operacional'!$E42&lt;InicioCiclo,"Antes del ciclo",IF('Cronograma R. Operacional'!$E42&gt;=InicioCiclo+28,"Después del ciclo","Semana "&amp;(INT(('Cronograma R. Operacional'!$E42-InicioCiclo)/7)+1))))</f>
        <v/>
      </c>
      <c r="G42" s="20">
        <f>IF(OR('Cronograma R. Operacional'!$A42="",'Cronograma R. Operacional'!$G42=""),"",'Cronograma R. Operacional'!$G42)</f>
        <v/>
      </c>
      <c r="H42" s="20">
        <f>IF(OR('Cronograma R. Operacional'!$A42="",'Cronograma R. Operacional'!$H42=""),"",'Cronograma R. Operacional'!$H42)</f>
        <v/>
      </c>
      <c r="I42" s="20">
        <f>IF(OR('Cronograma R. Operacional'!$A42="",'Cronograma R. Operacional'!$I42=""),"",'Cronograma R. Operacional'!$I42)</f>
        <v/>
      </c>
      <c r="J42" s="20">
        <f>IF(OR('Cronograma R. Operacional'!$A42="",'Cronograma R. Operacional'!$J42=""),"",'Cronograma R. Operacional'!$J42)</f>
        <v/>
      </c>
      <c r="K42" s="20">
        <f>IF('Cronograma R. Operacional'!$A42="","",'Cronograma R. Operacional'!$K42)</f>
        <v/>
      </c>
      <c r="L42" s="22">
        <f>IF('Cronograma R. Operacional'!$A42="","",IF(N('Cronograma R. Operacional'!$K42)&gt;=1,"Completado",IF(AND(ISNUMBER('Cronograma R. Operacional'!$E42),'Cronograma R. Operacional'!$E42&lt;FechaRef),"Vencida",IF(N('Cronograma R. Operacional'!$K42)&gt;0,"En curso","Pendiente"))))</f>
        <v/>
      </c>
      <c r="M42" s="41">
        <f>IF('Cronograma R. Operacional'!$A42="","",'Cronograma R. Operacional'!$M42&amp;"")</f>
        <v/>
      </c>
    </row>
    <row r="43">
      <c r="A43" s="22">
        <f>IF('Cronograma R. Operacional'!$A43="","",'Cronograma R. Operacional'!$A43)</f>
        <v/>
      </c>
      <c r="B43" s="41">
        <f>IF('Cronograma R. Operacional'!$A43="","",'Cronograma R. Operacional'!$B43&amp;"")</f>
        <v/>
      </c>
      <c r="C43" s="41">
        <f>IF('Cronograma R. Operacional'!$A43="","",'Cronograma R. Operacional'!$C43&amp;"")</f>
        <v/>
      </c>
      <c r="D43" s="63">
        <f>IF(OR('Cronograma R. Operacional'!$A43="",'Cronograma R. Operacional'!$D43=""),"",'Cronograma R. Operacional'!$D43)</f>
        <v/>
      </c>
      <c r="E43" s="63">
        <f>IF(OR('Cronograma R. Operacional'!$A43="",'Cronograma R. Operacional'!$E43=""),"",'Cronograma R. Operacional'!$E43)</f>
        <v/>
      </c>
      <c r="F43" s="22">
        <f>IF(OR('Cronograma R. Operacional'!$A43="",NOT(ISNUMBER('Cronograma R. Operacional'!$E43))),"",IF('Cronograma R. Operacional'!$E43&lt;InicioCiclo,"Antes del ciclo",IF('Cronograma R. Operacional'!$E43&gt;=InicioCiclo+28,"Después del ciclo","Semana "&amp;(INT(('Cronograma R. Operacional'!$E43-InicioCiclo)/7)+1))))</f>
        <v/>
      </c>
      <c r="G43" s="20">
        <f>IF(OR('Cronograma R. Operacional'!$A43="",'Cronograma R. Operacional'!$G43=""),"",'Cronograma R. Operacional'!$G43)</f>
        <v/>
      </c>
      <c r="H43" s="20">
        <f>IF(OR('Cronograma R. Operacional'!$A43="",'Cronograma R. Operacional'!$H43=""),"",'Cronograma R. Operacional'!$H43)</f>
        <v/>
      </c>
      <c r="I43" s="20">
        <f>IF(OR('Cronograma R. Operacional'!$A43="",'Cronograma R. Operacional'!$I43=""),"",'Cronograma R. Operacional'!$I43)</f>
        <v/>
      </c>
      <c r="J43" s="20">
        <f>IF(OR('Cronograma R. Operacional'!$A43="",'Cronograma R. Operacional'!$J43=""),"",'Cronograma R. Operacional'!$J43)</f>
        <v/>
      </c>
      <c r="K43" s="20">
        <f>IF('Cronograma R. Operacional'!$A43="","",'Cronograma R. Operacional'!$K43)</f>
        <v/>
      </c>
      <c r="L43" s="22">
        <f>IF('Cronograma R. Operacional'!$A43="","",IF(N('Cronograma R. Operacional'!$K43)&gt;=1,"Completado",IF(AND(ISNUMBER('Cronograma R. Operacional'!$E43),'Cronograma R. Operacional'!$E43&lt;FechaRef),"Vencida",IF(N('Cronograma R. Operacional'!$K43)&gt;0,"En curso","Pendiente"))))</f>
        <v/>
      </c>
      <c r="M43" s="41">
        <f>IF('Cronograma R. Operacional'!$A43="","",'Cronograma R. Operacional'!$M43&amp;"")</f>
        <v/>
      </c>
    </row>
    <row r="44">
      <c r="A44" s="22">
        <f>IF('Cronograma R. Operacional'!$A44="","",'Cronograma R. Operacional'!$A44)</f>
        <v/>
      </c>
      <c r="B44" s="41">
        <f>IF('Cronograma R. Operacional'!$A44="","",'Cronograma R. Operacional'!$B44&amp;"")</f>
        <v/>
      </c>
      <c r="C44" s="41">
        <f>IF('Cronograma R. Operacional'!$A44="","",'Cronograma R. Operacional'!$C44&amp;"")</f>
        <v/>
      </c>
      <c r="D44" s="63">
        <f>IF(OR('Cronograma R. Operacional'!$A44="",'Cronograma R. Operacional'!$D44=""),"",'Cronograma R. Operacional'!$D44)</f>
        <v/>
      </c>
      <c r="E44" s="63">
        <f>IF(OR('Cronograma R. Operacional'!$A44="",'Cronograma R. Operacional'!$E44=""),"",'Cronograma R. Operacional'!$E44)</f>
        <v/>
      </c>
      <c r="F44" s="22">
        <f>IF(OR('Cronograma R. Operacional'!$A44="",NOT(ISNUMBER('Cronograma R. Operacional'!$E44))),"",IF('Cronograma R. Operacional'!$E44&lt;InicioCiclo,"Antes del ciclo",IF('Cronograma R. Operacional'!$E44&gt;=InicioCiclo+28,"Después del ciclo","Semana "&amp;(INT(('Cronograma R. Operacional'!$E44-InicioCiclo)/7)+1))))</f>
        <v/>
      </c>
      <c r="G44" s="20">
        <f>IF(OR('Cronograma R. Operacional'!$A44="",'Cronograma R. Operacional'!$G44=""),"",'Cronograma R. Operacional'!$G44)</f>
        <v/>
      </c>
      <c r="H44" s="20">
        <f>IF(OR('Cronograma R. Operacional'!$A44="",'Cronograma R. Operacional'!$H44=""),"",'Cronograma R. Operacional'!$H44)</f>
        <v/>
      </c>
      <c r="I44" s="20">
        <f>IF(OR('Cronograma R. Operacional'!$A44="",'Cronograma R. Operacional'!$I44=""),"",'Cronograma R. Operacional'!$I44)</f>
        <v/>
      </c>
      <c r="J44" s="20">
        <f>IF(OR('Cronograma R. Operacional'!$A44="",'Cronograma R. Operacional'!$J44=""),"",'Cronograma R. Operacional'!$J44)</f>
        <v/>
      </c>
      <c r="K44" s="20">
        <f>IF('Cronograma R. Operacional'!$A44="","",'Cronograma R. Operacional'!$K44)</f>
        <v/>
      </c>
      <c r="L44" s="22">
        <f>IF('Cronograma R. Operacional'!$A44="","",IF(N('Cronograma R. Operacional'!$K44)&gt;=1,"Completado",IF(AND(ISNUMBER('Cronograma R. Operacional'!$E44),'Cronograma R. Operacional'!$E44&lt;FechaRef),"Vencida",IF(N('Cronograma R. Operacional'!$K44)&gt;0,"En curso","Pendiente"))))</f>
        <v/>
      </c>
      <c r="M44" s="41">
        <f>IF('Cronograma R. Operacional'!$A44="","",'Cronograma R. Operacional'!$M44&amp;"")</f>
        <v/>
      </c>
    </row>
    <row r="45">
      <c r="A45" s="22">
        <f>IF('Cronograma R. Operacional'!$A45="","",'Cronograma R. Operacional'!$A45)</f>
        <v/>
      </c>
      <c r="B45" s="41">
        <f>IF('Cronograma R. Operacional'!$A45="","",'Cronograma R. Operacional'!$B45&amp;"")</f>
        <v/>
      </c>
      <c r="C45" s="41">
        <f>IF('Cronograma R. Operacional'!$A45="","",'Cronograma R. Operacional'!$C45&amp;"")</f>
        <v/>
      </c>
      <c r="D45" s="63">
        <f>IF(OR('Cronograma R. Operacional'!$A45="",'Cronograma R. Operacional'!$D45=""),"",'Cronograma R. Operacional'!$D45)</f>
        <v/>
      </c>
      <c r="E45" s="63">
        <f>IF(OR('Cronograma R. Operacional'!$A45="",'Cronograma R. Operacional'!$E45=""),"",'Cronograma R. Operacional'!$E45)</f>
        <v/>
      </c>
      <c r="F45" s="22">
        <f>IF(OR('Cronograma R. Operacional'!$A45="",NOT(ISNUMBER('Cronograma R. Operacional'!$E45))),"",IF('Cronograma R. Operacional'!$E45&lt;InicioCiclo,"Antes del ciclo",IF('Cronograma R. Operacional'!$E45&gt;=InicioCiclo+28,"Después del ciclo","Semana "&amp;(INT(('Cronograma R. Operacional'!$E45-InicioCiclo)/7)+1))))</f>
        <v/>
      </c>
      <c r="G45" s="20">
        <f>IF(OR('Cronograma R. Operacional'!$A45="",'Cronograma R. Operacional'!$G45=""),"",'Cronograma R. Operacional'!$G45)</f>
        <v/>
      </c>
      <c r="H45" s="20">
        <f>IF(OR('Cronograma R. Operacional'!$A45="",'Cronograma R. Operacional'!$H45=""),"",'Cronograma R. Operacional'!$H45)</f>
        <v/>
      </c>
      <c r="I45" s="20">
        <f>IF(OR('Cronograma R. Operacional'!$A45="",'Cronograma R. Operacional'!$I45=""),"",'Cronograma R. Operacional'!$I45)</f>
        <v/>
      </c>
      <c r="J45" s="20">
        <f>IF(OR('Cronograma R. Operacional'!$A45="",'Cronograma R. Operacional'!$J45=""),"",'Cronograma R. Operacional'!$J45)</f>
        <v/>
      </c>
      <c r="K45" s="20">
        <f>IF('Cronograma R. Operacional'!$A45="","",'Cronograma R. Operacional'!$K45)</f>
        <v/>
      </c>
      <c r="L45" s="22">
        <f>IF('Cronograma R. Operacional'!$A45="","",IF(N('Cronograma R. Operacional'!$K45)&gt;=1,"Completado",IF(AND(ISNUMBER('Cronograma R. Operacional'!$E45),'Cronograma R. Operacional'!$E45&lt;FechaRef),"Vencida",IF(N('Cronograma R. Operacional'!$K45)&gt;0,"En curso","Pendiente"))))</f>
        <v/>
      </c>
      <c r="M45" s="41">
        <f>IF('Cronograma R. Operacional'!$A45="","",'Cronograma R. Operacional'!$M45&amp;"")</f>
        <v/>
      </c>
    </row>
    <row r="46">
      <c r="A46" s="22">
        <f>IF('Cronograma R. Operacional'!$A46="","",'Cronograma R. Operacional'!$A46)</f>
        <v/>
      </c>
      <c r="B46" s="41">
        <f>IF('Cronograma R. Operacional'!$A46="","",'Cronograma R. Operacional'!$B46&amp;"")</f>
        <v/>
      </c>
      <c r="C46" s="41">
        <f>IF('Cronograma R. Operacional'!$A46="","",'Cronograma R. Operacional'!$C46&amp;"")</f>
        <v/>
      </c>
      <c r="D46" s="63">
        <f>IF(OR('Cronograma R. Operacional'!$A46="",'Cronograma R. Operacional'!$D46=""),"",'Cronograma R. Operacional'!$D46)</f>
        <v/>
      </c>
      <c r="E46" s="63">
        <f>IF(OR('Cronograma R. Operacional'!$A46="",'Cronograma R. Operacional'!$E46=""),"",'Cronograma R. Operacional'!$E46)</f>
        <v/>
      </c>
      <c r="F46" s="22">
        <f>IF(OR('Cronograma R. Operacional'!$A46="",NOT(ISNUMBER('Cronograma R. Operacional'!$E46))),"",IF('Cronograma R. Operacional'!$E46&lt;InicioCiclo,"Antes del ciclo",IF('Cronograma R. Operacional'!$E46&gt;=InicioCiclo+28,"Después del ciclo","Semana "&amp;(INT(('Cronograma R. Operacional'!$E46-InicioCiclo)/7)+1))))</f>
        <v/>
      </c>
      <c r="G46" s="20">
        <f>IF(OR('Cronograma R. Operacional'!$A46="",'Cronograma R. Operacional'!$G46=""),"",'Cronograma R. Operacional'!$G46)</f>
        <v/>
      </c>
      <c r="H46" s="20">
        <f>IF(OR('Cronograma R. Operacional'!$A46="",'Cronograma R. Operacional'!$H46=""),"",'Cronograma R. Operacional'!$H46)</f>
        <v/>
      </c>
      <c r="I46" s="20">
        <f>IF(OR('Cronograma R. Operacional'!$A46="",'Cronograma R. Operacional'!$I46=""),"",'Cronograma R. Operacional'!$I46)</f>
        <v/>
      </c>
      <c r="J46" s="20">
        <f>IF(OR('Cronograma R. Operacional'!$A46="",'Cronograma R. Operacional'!$J46=""),"",'Cronograma R. Operacional'!$J46)</f>
        <v/>
      </c>
      <c r="K46" s="20">
        <f>IF('Cronograma R. Operacional'!$A46="","",'Cronograma R. Operacional'!$K46)</f>
        <v/>
      </c>
      <c r="L46" s="22">
        <f>IF('Cronograma R. Operacional'!$A46="","",IF(N('Cronograma R. Operacional'!$K46)&gt;=1,"Completado",IF(AND(ISNUMBER('Cronograma R. Operacional'!$E46),'Cronograma R. Operacional'!$E46&lt;FechaRef),"Vencida",IF(N('Cronograma R. Operacional'!$K46)&gt;0,"En curso","Pendiente"))))</f>
        <v/>
      </c>
      <c r="M46" s="41">
        <f>IF('Cronograma R. Operacional'!$A46="","",'Cronograma R. Operacional'!$M46&amp;"")</f>
        <v/>
      </c>
    </row>
    <row r="47">
      <c r="A47" s="22">
        <f>IF('Cronograma R. Operacional'!$A47="","",'Cronograma R. Operacional'!$A47)</f>
        <v/>
      </c>
      <c r="B47" s="41">
        <f>IF('Cronograma R. Operacional'!$A47="","",'Cronograma R. Operacional'!$B47&amp;"")</f>
        <v/>
      </c>
      <c r="C47" s="41">
        <f>IF('Cronograma R. Operacional'!$A47="","",'Cronograma R. Operacional'!$C47&amp;"")</f>
        <v/>
      </c>
      <c r="D47" s="63">
        <f>IF(OR('Cronograma R. Operacional'!$A47="",'Cronograma R. Operacional'!$D47=""),"",'Cronograma R. Operacional'!$D47)</f>
        <v/>
      </c>
      <c r="E47" s="63">
        <f>IF(OR('Cronograma R. Operacional'!$A47="",'Cronograma R. Operacional'!$E47=""),"",'Cronograma R. Operacional'!$E47)</f>
        <v/>
      </c>
      <c r="F47" s="22">
        <f>IF(OR('Cronograma R. Operacional'!$A47="",NOT(ISNUMBER('Cronograma R. Operacional'!$E47))),"",IF('Cronograma R. Operacional'!$E47&lt;InicioCiclo,"Antes del ciclo",IF('Cronograma R. Operacional'!$E47&gt;=InicioCiclo+28,"Después del ciclo","Semana "&amp;(INT(('Cronograma R. Operacional'!$E47-InicioCiclo)/7)+1))))</f>
        <v/>
      </c>
      <c r="G47" s="20">
        <f>IF(OR('Cronograma R. Operacional'!$A47="",'Cronograma R. Operacional'!$G47=""),"",'Cronograma R. Operacional'!$G47)</f>
        <v/>
      </c>
      <c r="H47" s="20">
        <f>IF(OR('Cronograma R. Operacional'!$A47="",'Cronograma R. Operacional'!$H47=""),"",'Cronograma R. Operacional'!$H47)</f>
        <v/>
      </c>
      <c r="I47" s="20">
        <f>IF(OR('Cronograma R. Operacional'!$A47="",'Cronograma R. Operacional'!$I47=""),"",'Cronograma R. Operacional'!$I47)</f>
        <v/>
      </c>
      <c r="J47" s="20">
        <f>IF(OR('Cronograma R. Operacional'!$A47="",'Cronograma R. Operacional'!$J47=""),"",'Cronograma R. Operacional'!$J47)</f>
        <v/>
      </c>
      <c r="K47" s="20">
        <f>IF('Cronograma R. Operacional'!$A47="","",'Cronograma R. Operacional'!$K47)</f>
        <v/>
      </c>
      <c r="L47" s="22">
        <f>IF('Cronograma R. Operacional'!$A47="","",IF(N('Cronograma R. Operacional'!$K47)&gt;=1,"Completado",IF(AND(ISNUMBER('Cronograma R. Operacional'!$E47),'Cronograma R. Operacional'!$E47&lt;FechaRef),"Vencida",IF(N('Cronograma R. Operacional'!$K47)&gt;0,"En curso","Pendiente"))))</f>
        <v/>
      </c>
      <c r="M47" s="41">
        <f>IF('Cronograma R. Operacional'!$A47="","",'Cronograma R. Operacional'!$M47&amp;"")</f>
        <v/>
      </c>
    </row>
    <row r="48">
      <c r="A48" s="22">
        <f>IF('Cronograma R. Operacional'!$A48="","",'Cronograma R. Operacional'!$A48)</f>
        <v/>
      </c>
      <c r="B48" s="41">
        <f>IF('Cronograma R. Operacional'!$A48="","",'Cronograma R. Operacional'!$B48&amp;"")</f>
        <v/>
      </c>
      <c r="C48" s="41">
        <f>IF('Cronograma R. Operacional'!$A48="","",'Cronograma R. Operacional'!$C48&amp;"")</f>
        <v/>
      </c>
      <c r="D48" s="63">
        <f>IF(OR('Cronograma R. Operacional'!$A48="",'Cronograma R. Operacional'!$D48=""),"",'Cronograma R. Operacional'!$D48)</f>
        <v/>
      </c>
      <c r="E48" s="63">
        <f>IF(OR('Cronograma R. Operacional'!$A48="",'Cronograma R. Operacional'!$E48=""),"",'Cronograma R. Operacional'!$E48)</f>
        <v/>
      </c>
      <c r="F48" s="22">
        <f>IF(OR('Cronograma R. Operacional'!$A48="",NOT(ISNUMBER('Cronograma R. Operacional'!$E48))),"",IF('Cronograma R. Operacional'!$E48&lt;InicioCiclo,"Antes del ciclo",IF('Cronograma R. Operacional'!$E48&gt;=InicioCiclo+28,"Después del ciclo","Semana "&amp;(INT(('Cronograma R. Operacional'!$E48-InicioCiclo)/7)+1))))</f>
        <v/>
      </c>
      <c r="G48" s="20">
        <f>IF(OR('Cronograma R. Operacional'!$A48="",'Cronograma R. Operacional'!$G48=""),"",'Cronograma R. Operacional'!$G48)</f>
        <v/>
      </c>
      <c r="H48" s="20">
        <f>IF(OR('Cronograma R. Operacional'!$A48="",'Cronograma R. Operacional'!$H48=""),"",'Cronograma R. Operacional'!$H48)</f>
        <v/>
      </c>
      <c r="I48" s="20">
        <f>IF(OR('Cronograma R. Operacional'!$A48="",'Cronograma R. Operacional'!$I48=""),"",'Cronograma R. Operacional'!$I48)</f>
        <v/>
      </c>
      <c r="J48" s="20">
        <f>IF(OR('Cronograma R. Operacional'!$A48="",'Cronograma R. Operacional'!$J48=""),"",'Cronograma R. Operacional'!$J48)</f>
        <v/>
      </c>
      <c r="K48" s="20">
        <f>IF('Cronograma R. Operacional'!$A48="","",'Cronograma R. Operacional'!$K48)</f>
        <v/>
      </c>
      <c r="L48" s="22">
        <f>IF('Cronograma R. Operacional'!$A48="","",IF(N('Cronograma R. Operacional'!$K48)&gt;=1,"Completado",IF(AND(ISNUMBER('Cronograma R. Operacional'!$E48),'Cronograma R. Operacional'!$E48&lt;FechaRef),"Vencida",IF(N('Cronograma R. Operacional'!$K48)&gt;0,"En curso","Pendiente"))))</f>
        <v/>
      </c>
      <c r="M48" s="41">
        <f>IF('Cronograma R. Operacional'!$A48="","",'Cronograma R. Operacional'!$M48&amp;"")</f>
        <v/>
      </c>
    </row>
    <row r="49">
      <c r="A49" s="22">
        <f>IF('Cronograma R. Operacional'!$A49="","",'Cronograma R. Operacional'!$A49)</f>
        <v/>
      </c>
      <c r="B49" s="41">
        <f>IF('Cronograma R. Operacional'!$A49="","",'Cronograma R. Operacional'!$B49&amp;"")</f>
        <v/>
      </c>
      <c r="C49" s="41">
        <f>IF('Cronograma R. Operacional'!$A49="","",'Cronograma R. Operacional'!$C49&amp;"")</f>
        <v/>
      </c>
      <c r="D49" s="63">
        <f>IF(OR('Cronograma R. Operacional'!$A49="",'Cronograma R. Operacional'!$D49=""),"",'Cronograma R. Operacional'!$D49)</f>
        <v/>
      </c>
      <c r="E49" s="63">
        <f>IF(OR('Cronograma R. Operacional'!$A49="",'Cronograma R. Operacional'!$E49=""),"",'Cronograma R. Operacional'!$E49)</f>
        <v/>
      </c>
      <c r="F49" s="22">
        <f>IF(OR('Cronograma R. Operacional'!$A49="",NOT(ISNUMBER('Cronograma R. Operacional'!$E49))),"",IF('Cronograma R. Operacional'!$E49&lt;InicioCiclo,"Antes del ciclo",IF('Cronograma R. Operacional'!$E49&gt;=InicioCiclo+28,"Después del ciclo","Semana "&amp;(INT(('Cronograma R. Operacional'!$E49-InicioCiclo)/7)+1))))</f>
        <v/>
      </c>
      <c r="G49" s="20">
        <f>IF(OR('Cronograma R. Operacional'!$A49="",'Cronograma R. Operacional'!$G49=""),"",'Cronograma R. Operacional'!$G49)</f>
        <v/>
      </c>
      <c r="H49" s="20">
        <f>IF(OR('Cronograma R. Operacional'!$A49="",'Cronograma R. Operacional'!$H49=""),"",'Cronograma R. Operacional'!$H49)</f>
        <v/>
      </c>
      <c r="I49" s="20">
        <f>IF(OR('Cronograma R. Operacional'!$A49="",'Cronograma R. Operacional'!$I49=""),"",'Cronograma R. Operacional'!$I49)</f>
        <v/>
      </c>
      <c r="J49" s="20">
        <f>IF(OR('Cronograma R. Operacional'!$A49="",'Cronograma R. Operacional'!$J49=""),"",'Cronograma R. Operacional'!$J49)</f>
        <v/>
      </c>
      <c r="K49" s="20">
        <f>IF('Cronograma R. Operacional'!$A49="","",'Cronograma R. Operacional'!$K49)</f>
        <v/>
      </c>
      <c r="L49" s="22">
        <f>IF('Cronograma R. Operacional'!$A49="","",IF(N('Cronograma R. Operacional'!$K49)&gt;=1,"Completado",IF(AND(ISNUMBER('Cronograma R. Operacional'!$E49),'Cronograma R. Operacional'!$E49&lt;FechaRef),"Vencida",IF(N('Cronograma R. Operacional'!$K49)&gt;0,"En curso","Pendiente"))))</f>
        <v/>
      </c>
      <c r="M49" s="41">
        <f>IF('Cronograma R. Operacional'!$A49="","",'Cronograma R. Operacional'!$M49&amp;"")</f>
        <v/>
      </c>
    </row>
    <row r="50">
      <c r="A50" s="22">
        <f>IF('Cronograma R. Operacional'!$A50="","",'Cronograma R. Operacional'!$A50)</f>
        <v/>
      </c>
      <c r="B50" s="41">
        <f>IF('Cronograma R. Operacional'!$A50="","",'Cronograma R. Operacional'!$B50&amp;"")</f>
        <v/>
      </c>
      <c r="C50" s="41">
        <f>IF('Cronograma R. Operacional'!$A50="","",'Cronograma R. Operacional'!$C50&amp;"")</f>
        <v/>
      </c>
      <c r="D50" s="63">
        <f>IF(OR('Cronograma R. Operacional'!$A50="",'Cronograma R. Operacional'!$D50=""),"",'Cronograma R. Operacional'!$D50)</f>
        <v/>
      </c>
      <c r="E50" s="63">
        <f>IF(OR('Cronograma R. Operacional'!$A50="",'Cronograma R. Operacional'!$E50=""),"",'Cronograma R. Operacional'!$E50)</f>
        <v/>
      </c>
      <c r="F50" s="22">
        <f>IF(OR('Cronograma R. Operacional'!$A50="",NOT(ISNUMBER('Cronograma R. Operacional'!$E50))),"",IF('Cronograma R. Operacional'!$E50&lt;InicioCiclo,"Antes del ciclo",IF('Cronograma R. Operacional'!$E50&gt;=InicioCiclo+28,"Después del ciclo","Semana "&amp;(INT(('Cronograma R. Operacional'!$E50-InicioCiclo)/7)+1))))</f>
        <v/>
      </c>
      <c r="G50" s="20">
        <f>IF(OR('Cronograma R. Operacional'!$A50="",'Cronograma R. Operacional'!$G50=""),"",'Cronograma R. Operacional'!$G50)</f>
        <v/>
      </c>
      <c r="H50" s="20">
        <f>IF(OR('Cronograma R. Operacional'!$A50="",'Cronograma R. Operacional'!$H50=""),"",'Cronograma R. Operacional'!$H50)</f>
        <v/>
      </c>
      <c r="I50" s="20">
        <f>IF(OR('Cronograma R. Operacional'!$A50="",'Cronograma R. Operacional'!$I50=""),"",'Cronograma R. Operacional'!$I50)</f>
        <v/>
      </c>
      <c r="J50" s="20">
        <f>IF(OR('Cronograma R. Operacional'!$A50="",'Cronograma R. Operacional'!$J50=""),"",'Cronograma R. Operacional'!$J50)</f>
        <v/>
      </c>
      <c r="K50" s="20">
        <f>IF('Cronograma R. Operacional'!$A50="","",'Cronograma R. Operacional'!$K50)</f>
        <v/>
      </c>
      <c r="L50" s="22">
        <f>IF('Cronograma R. Operacional'!$A50="","",IF(N('Cronograma R. Operacional'!$K50)&gt;=1,"Completado",IF(AND(ISNUMBER('Cronograma R. Operacional'!$E50),'Cronograma R. Operacional'!$E50&lt;FechaRef),"Vencida",IF(N('Cronograma R. Operacional'!$K50)&gt;0,"En curso","Pendiente"))))</f>
        <v/>
      </c>
      <c r="M50" s="41">
        <f>IF('Cronograma R. Operacional'!$A50="","",'Cronograma R. Operacional'!$M50&amp;"")</f>
        <v/>
      </c>
    </row>
    <row r="51">
      <c r="A51" s="22">
        <f>IF('Cronograma R. Operacional'!$A51="","",'Cronograma R. Operacional'!$A51)</f>
        <v/>
      </c>
      <c r="B51" s="41">
        <f>IF('Cronograma R. Operacional'!$A51="","",'Cronograma R. Operacional'!$B51&amp;"")</f>
        <v/>
      </c>
      <c r="C51" s="41">
        <f>IF('Cronograma R. Operacional'!$A51="","",'Cronograma R. Operacional'!$C51&amp;"")</f>
        <v/>
      </c>
      <c r="D51" s="63">
        <f>IF(OR('Cronograma R. Operacional'!$A51="",'Cronograma R. Operacional'!$D51=""),"",'Cronograma R. Operacional'!$D51)</f>
        <v/>
      </c>
      <c r="E51" s="63">
        <f>IF(OR('Cronograma R. Operacional'!$A51="",'Cronograma R. Operacional'!$E51=""),"",'Cronograma R. Operacional'!$E51)</f>
        <v/>
      </c>
      <c r="F51" s="22">
        <f>IF(OR('Cronograma R. Operacional'!$A51="",NOT(ISNUMBER('Cronograma R. Operacional'!$E51))),"",IF('Cronograma R. Operacional'!$E51&lt;InicioCiclo,"Antes del ciclo",IF('Cronograma R. Operacional'!$E51&gt;=InicioCiclo+28,"Después del ciclo","Semana "&amp;(INT(('Cronograma R. Operacional'!$E51-InicioCiclo)/7)+1))))</f>
        <v/>
      </c>
      <c r="G51" s="20">
        <f>IF(OR('Cronograma R. Operacional'!$A51="",'Cronograma R. Operacional'!$G51=""),"",'Cronograma R. Operacional'!$G51)</f>
        <v/>
      </c>
      <c r="H51" s="20">
        <f>IF(OR('Cronograma R. Operacional'!$A51="",'Cronograma R. Operacional'!$H51=""),"",'Cronograma R. Operacional'!$H51)</f>
        <v/>
      </c>
      <c r="I51" s="20">
        <f>IF(OR('Cronograma R. Operacional'!$A51="",'Cronograma R. Operacional'!$I51=""),"",'Cronograma R. Operacional'!$I51)</f>
        <v/>
      </c>
      <c r="J51" s="20">
        <f>IF(OR('Cronograma R. Operacional'!$A51="",'Cronograma R. Operacional'!$J51=""),"",'Cronograma R. Operacional'!$J51)</f>
        <v/>
      </c>
      <c r="K51" s="20">
        <f>IF('Cronograma R. Operacional'!$A51="","",'Cronograma R. Operacional'!$K51)</f>
        <v/>
      </c>
      <c r="L51" s="22">
        <f>IF('Cronograma R. Operacional'!$A51="","",IF(N('Cronograma R. Operacional'!$K51)&gt;=1,"Completado",IF(AND(ISNUMBER('Cronograma R. Operacional'!$E51),'Cronograma R. Operacional'!$E51&lt;FechaRef),"Vencida",IF(N('Cronograma R. Operacional'!$K51)&gt;0,"En curso","Pendiente"))))</f>
        <v/>
      </c>
      <c r="M51" s="41">
        <f>IF('Cronograma R. Operacional'!$A51="","",'Cronograma R. Operacional'!$M51&amp;"")</f>
        <v/>
      </c>
    </row>
    <row r="52">
      <c r="A52" s="22">
        <f>IF('Cronograma R. Operacional'!$A52="","",'Cronograma R. Operacional'!$A52)</f>
        <v/>
      </c>
      <c r="B52" s="41">
        <f>IF('Cronograma R. Operacional'!$A52="","",'Cronograma R. Operacional'!$B52&amp;"")</f>
        <v/>
      </c>
      <c r="C52" s="41">
        <f>IF('Cronograma R. Operacional'!$A52="","",'Cronograma R. Operacional'!$C52&amp;"")</f>
        <v/>
      </c>
      <c r="D52" s="63">
        <f>IF(OR('Cronograma R. Operacional'!$A52="",'Cronograma R. Operacional'!$D52=""),"",'Cronograma R. Operacional'!$D52)</f>
        <v/>
      </c>
      <c r="E52" s="63">
        <f>IF(OR('Cronograma R. Operacional'!$A52="",'Cronograma R. Operacional'!$E52=""),"",'Cronograma R. Operacional'!$E52)</f>
        <v/>
      </c>
      <c r="F52" s="22">
        <f>IF(OR('Cronograma R. Operacional'!$A52="",NOT(ISNUMBER('Cronograma R. Operacional'!$E52))),"",IF('Cronograma R. Operacional'!$E52&lt;InicioCiclo,"Antes del ciclo",IF('Cronograma R. Operacional'!$E52&gt;=InicioCiclo+28,"Después del ciclo","Semana "&amp;(INT(('Cronograma R. Operacional'!$E52-InicioCiclo)/7)+1))))</f>
        <v/>
      </c>
      <c r="G52" s="20">
        <f>IF(OR('Cronograma R. Operacional'!$A52="",'Cronograma R. Operacional'!$G52=""),"",'Cronograma R. Operacional'!$G52)</f>
        <v/>
      </c>
      <c r="H52" s="20">
        <f>IF(OR('Cronograma R. Operacional'!$A52="",'Cronograma R. Operacional'!$H52=""),"",'Cronograma R. Operacional'!$H52)</f>
        <v/>
      </c>
      <c r="I52" s="20">
        <f>IF(OR('Cronograma R. Operacional'!$A52="",'Cronograma R. Operacional'!$I52=""),"",'Cronograma R. Operacional'!$I52)</f>
        <v/>
      </c>
      <c r="J52" s="20">
        <f>IF(OR('Cronograma R. Operacional'!$A52="",'Cronograma R. Operacional'!$J52=""),"",'Cronograma R. Operacional'!$J52)</f>
        <v/>
      </c>
      <c r="K52" s="20">
        <f>IF('Cronograma R. Operacional'!$A52="","",'Cronograma R. Operacional'!$K52)</f>
        <v/>
      </c>
      <c r="L52" s="22">
        <f>IF('Cronograma R. Operacional'!$A52="","",IF(N('Cronograma R. Operacional'!$K52)&gt;=1,"Completado",IF(AND(ISNUMBER('Cronograma R. Operacional'!$E52),'Cronograma R. Operacional'!$E52&lt;FechaRef),"Vencida",IF(N('Cronograma R. Operacional'!$K52)&gt;0,"En curso","Pendiente"))))</f>
        <v/>
      </c>
      <c r="M52" s="41">
        <f>IF('Cronograma R. Operacional'!$A52="","",'Cronograma R. Operacional'!$M52&amp;"")</f>
        <v/>
      </c>
    </row>
    <row r="53">
      <c r="A53" s="22">
        <f>IF('Cronograma R. Operacional'!$A53="","",'Cronograma R. Operacional'!$A53)</f>
        <v/>
      </c>
      <c r="B53" s="41">
        <f>IF('Cronograma R. Operacional'!$A53="","",'Cronograma R. Operacional'!$B53&amp;"")</f>
        <v/>
      </c>
      <c r="C53" s="41">
        <f>IF('Cronograma R. Operacional'!$A53="","",'Cronograma R. Operacional'!$C53&amp;"")</f>
        <v/>
      </c>
      <c r="D53" s="63">
        <f>IF(OR('Cronograma R. Operacional'!$A53="",'Cronograma R. Operacional'!$D53=""),"",'Cronograma R. Operacional'!$D53)</f>
        <v/>
      </c>
      <c r="E53" s="63">
        <f>IF(OR('Cronograma R. Operacional'!$A53="",'Cronograma R. Operacional'!$E53=""),"",'Cronograma R. Operacional'!$E53)</f>
        <v/>
      </c>
      <c r="F53" s="22">
        <f>IF(OR('Cronograma R. Operacional'!$A53="",NOT(ISNUMBER('Cronograma R. Operacional'!$E53))),"",IF('Cronograma R. Operacional'!$E53&lt;InicioCiclo,"Antes del ciclo",IF('Cronograma R. Operacional'!$E53&gt;=InicioCiclo+28,"Después del ciclo","Semana "&amp;(INT(('Cronograma R. Operacional'!$E53-InicioCiclo)/7)+1))))</f>
        <v/>
      </c>
      <c r="G53" s="20">
        <f>IF(OR('Cronograma R. Operacional'!$A53="",'Cronograma R. Operacional'!$G53=""),"",'Cronograma R. Operacional'!$G53)</f>
        <v/>
      </c>
      <c r="H53" s="20">
        <f>IF(OR('Cronograma R. Operacional'!$A53="",'Cronograma R. Operacional'!$H53=""),"",'Cronograma R. Operacional'!$H53)</f>
        <v/>
      </c>
      <c r="I53" s="20">
        <f>IF(OR('Cronograma R. Operacional'!$A53="",'Cronograma R. Operacional'!$I53=""),"",'Cronograma R. Operacional'!$I53)</f>
        <v/>
      </c>
      <c r="J53" s="20">
        <f>IF(OR('Cronograma R. Operacional'!$A53="",'Cronograma R. Operacional'!$J53=""),"",'Cronograma R. Operacional'!$J53)</f>
        <v/>
      </c>
      <c r="K53" s="20">
        <f>IF('Cronograma R. Operacional'!$A53="","",'Cronograma R. Operacional'!$K53)</f>
        <v/>
      </c>
      <c r="L53" s="22">
        <f>IF('Cronograma R. Operacional'!$A53="","",IF(N('Cronograma R. Operacional'!$K53)&gt;=1,"Completado",IF(AND(ISNUMBER('Cronograma R. Operacional'!$E53),'Cronograma R. Operacional'!$E53&lt;FechaRef),"Vencida",IF(N('Cronograma R. Operacional'!$K53)&gt;0,"En curso","Pendiente"))))</f>
        <v/>
      </c>
      <c r="M53" s="41">
        <f>IF('Cronograma R. Operacional'!$A53="","",'Cronograma R. Operacional'!$M53&amp;"")</f>
        <v/>
      </c>
    </row>
    <row r="54">
      <c r="A54" s="22">
        <f>IF('Cronograma R. Operacional'!$A54="","",'Cronograma R. Operacional'!$A54)</f>
        <v/>
      </c>
      <c r="B54" s="41">
        <f>IF('Cronograma R. Operacional'!$A54="","",'Cronograma R. Operacional'!$B54&amp;"")</f>
        <v/>
      </c>
      <c r="C54" s="41">
        <f>IF('Cronograma R. Operacional'!$A54="","",'Cronograma R. Operacional'!$C54&amp;"")</f>
        <v/>
      </c>
      <c r="D54" s="63">
        <f>IF(OR('Cronograma R. Operacional'!$A54="",'Cronograma R. Operacional'!$D54=""),"",'Cronograma R. Operacional'!$D54)</f>
        <v/>
      </c>
      <c r="E54" s="63">
        <f>IF(OR('Cronograma R. Operacional'!$A54="",'Cronograma R. Operacional'!$E54=""),"",'Cronograma R. Operacional'!$E54)</f>
        <v/>
      </c>
      <c r="F54" s="22">
        <f>IF(OR('Cronograma R. Operacional'!$A54="",NOT(ISNUMBER('Cronograma R. Operacional'!$E54))),"",IF('Cronograma R. Operacional'!$E54&lt;InicioCiclo,"Antes del ciclo",IF('Cronograma R. Operacional'!$E54&gt;=InicioCiclo+28,"Después del ciclo","Semana "&amp;(INT(('Cronograma R. Operacional'!$E54-InicioCiclo)/7)+1))))</f>
        <v/>
      </c>
      <c r="G54" s="20">
        <f>IF(OR('Cronograma R. Operacional'!$A54="",'Cronograma R. Operacional'!$G54=""),"",'Cronograma R. Operacional'!$G54)</f>
        <v/>
      </c>
      <c r="H54" s="20">
        <f>IF(OR('Cronograma R. Operacional'!$A54="",'Cronograma R. Operacional'!$H54=""),"",'Cronograma R. Operacional'!$H54)</f>
        <v/>
      </c>
      <c r="I54" s="20">
        <f>IF(OR('Cronograma R. Operacional'!$A54="",'Cronograma R. Operacional'!$I54=""),"",'Cronograma R. Operacional'!$I54)</f>
        <v/>
      </c>
      <c r="J54" s="20">
        <f>IF(OR('Cronograma R. Operacional'!$A54="",'Cronograma R. Operacional'!$J54=""),"",'Cronograma R. Operacional'!$J54)</f>
        <v/>
      </c>
      <c r="K54" s="20">
        <f>IF('Cronograma R. Operacional'!$A54="","",'Cronograma R. Operacional'!$K54)</f>
        <v/>
      </c>
      <c r="L54" s="22">
        <f>IF('Cronograma R. Operacional'!$A54="","",IF(N('Cronograma R. Operacional'!$K54)&gt;=1,"Completado",IF(AND(ISNUMBER('Cronograma R. Operacional'!$E54),'Cronograma R. Operacional'!$E54&lt;FechaRef),"Vencida",IF(N('Cronograma R. Operacional'!$K54)&gt;0,"En curso","Pendiente"))))</f>
        <v/>
      </c>
      <c r="M54" s="41">
        <f>IF('Cronograma R. Operacional'!$A54="","",'Cronograma R. Operacional'!$M54&amp;"")</f>
        <v/>
      </c>
    </row>
    <row r="55">
      <c r="A55" s="22">
        <f>IF('Cronograma R. Operacional'!$A55="","",'Cronograma R. Operacional'!$A55)</f>
        <v/>
      </c>
      <c r="B55" s="41">
        <f>IF('Cronograma R. Operacional'!$A55="","",'Cronograma R. Operacional'!$B55&amp;"")</f>
        <v/>
      </c>
      <c r="C55" s="41">
        <f>IF('Cronograma R. Operacional'!$A55="","",'Cronograma R. Operacional'!$C55&amp;"")</f>
        <v/>
      </c>
      <c r="D55" s="63">
        <f>IF(OR('Cronograma R. Operacional'!$A55="",'Cronograma R. Operacional'!$D55=""),"",'Cronograma R. Operacional'!$D55)</f>
        <v/>
      </c>
      <c r="E55" s="63">
        <f>IF(OR('Cronograma R. Operacional'!$A55="",'Cronograma R. Operacional'!$E55=""),"",'Cronograma R. Operacional'!$E55)</f>
        <v/>
      </c>
      <c r="F55" s="22">
        <f>IF(OR('Cronograma R. Operacional'!$A55="",NOT(ISNUMBER('Cronograma R. Operacional'!$E55))),"",IF('Cronograma R. Operacional'!$E55&lt;InicioCiclo,"Antes del ciclo",IF('Cronograma R. Operacional'!$E55&gt;=InicioCiclo+28,"Después del ciclo","Semana "&amp;(INT(('Cronograma R. Operacional'!$E55-InicioCiclo)/7)+1))))</f>
        <v/>
      </c>
      <c r="G55" s="20">
        <f>IF(OR('Cronograma R. Operacional'!$A55="",'Cronograma R. Operacional'!$G55=""),"",'Cronograma R. Operacional'!$G55)</f>
        <v/>
      </c>
      <c r="H55" s="20">
        <f>IF(OR('Cronograma R. Operacional'!$A55="",'Cronograma R. Operacional'!$H55=""),"",'Cronograma R. Operacional'!$H55)</f>
        <v/>
      </c>
      <c r="I55" s="20">
        <f>IF(OR('Cronograma R. Operacional'!$A55="",'Cronograma R. Operacional'!$I55=""),"",'Cronograma R. Operacional'!$I55)</f>
        <v/>
      </c>
      <c r="J55" s="20">
        <f>IF(OR('Cronograma R. Operacional'!$A55="",'Cronograma R. Operacional'!$J55=""),"",'Cronograma R. Operacional'!$J55)</f>
        <v/>
      </c>
      <c r="K55" s="20">
        <f>IF('Cronograma R. Operacional'!$A55="","",'Cronograma R. Operacional'!$K55)</f>
        <v/>
      </c>
      <c r="L55" s="22">
        <f>IF('Cronograma R. Operacional'!$A55="","",IF(N('Cronograma R. Operacional'!$K55)&gt;=1,"Completado",IF(AND(ISNUMBER('Cronograma R. Operacional'!$E55),'Cronograma R. Operacional'!$E55&lt;FechaRef),"Vencida",IF(N('Cronograma R. Operacional'!$K55)&gt;0,"En curso","Pendiente"))))</f>
        <v/>
      </c>
      <c r="M55" s="41">
        <f>IF('Cronograma R. Operacional'!$A55="","",'Cronograma R. Operacional'!$M55&amp;"")</f>
        <v/>
      </c>
    </row>
    <row r="56">
      <c r="A56" s="22">
        <f>IF('Cronograma R. Operacional'!$A56="","",'Cronograma R. Operacional'!$A56)</f>
        <v/>
      </c>
      <c r="B56" s="41">
        <f>IF('Cronograma R. Operacional'!$A56="","",'Cronograma R. Operacional'!$B56&amp;"")</f>
        <v/>
      </c>
      <c r="C56" s="41">
        <f>IF('Cronograma R. Operacional'!$A56="","",'Cronograma R. Operacional'!$C56&amp;"")</f>
        <v/>
      </c>
      <c r="D56" s="63">
        <f>IF(OR('Cronograma R. Operacional'!$A56="",'Cronograma R. Operacional'!$D56=""),"",'Cronograma R. Operacional'!$D56)</f>
        <v/>
      </c>
      <c r="E56" s="63">
        <f>IF(OR('Cronograma R. Operacional'!$A56="",'Cronograma R. Operacional'!$E56=""),"",'Cronograma R. Operacional'!$E56)</f>
        <v/>
      </c>
      <c r="F56" s="22">
        <f>IF(OR('Cronograma R. Operacional'!$A56="",NOT(ISNUMBER('Cronograma R. Operacional'!$E56))),"",IF('Cronograma R. Operacional'!$E56&lt;InicioCiclo,"Antes del ciclo",IF('Cronograma R. Operacional'!$E56&gt;=InicioCiclo+28,"Después del ciclo","Semana "&amp;(INT(('Cronograma R. Operacional'!$E56-InicioCiclo)/7)+1))))</f>
        <v/>
      </c>
      <c r="G56" s="20">
        <f>IF(OR('Cronograma R. Operacional'!$A56="",'Cronograma R. Operacional'!$G56=""),"",'Cronograma R. Operacional'!$G56)</f>
        <v/>
      </c>
      <c r="H56" s="20">
        <f>IF(OR('Cronograma R. Operacional'!$A56="",'Cronograma R. Operacional'!$H56=""),"",'Cronograma R. Operacional'!$H56)</f>
        <v/>
      </c>
      <c r="I56" s="20">
        <f>IF(OR('Cronograma R. Operacional'!$A56="",'Cronograma R. Operacional'!$I56=""),"",'Cronograma R. Operacional'!$I56)</f>
        <v/>
      </c>
      <c r="J56" s="20">
        <f>IF(OR('Cronograma R. Operacional'!$A56="",'Cronograma R. Operacional'!$J56=""),"",'Cronograma R. Operacional'!$J56)</f>
        <v/>
      </c>
      <c r="K56" s="20">
        <f>IF('Cronograma R. Operacional'!$A56="","",'Cronograma R. Operacional'!$K56)</f>
        <v/>
      </c>
      <c r="L56" s="22">
        <f>IF('Cronograma R. Operacional'!$A56="","",IF(N('Cronograma R. Operacional'!$K56)&gt;=1,"Completado",IF(AND(ISNUMBER('Cronograma R. Operacional'!$E56),'Cronograma R. Operacional'!$E56&lt;FechaRef),"Vencida",IF(N('Cronograma R. Operacional'!$K56)&gt;0,"En curso","Pendiente"))))</f>
        <v/>
      </c>
      <c r="M56" s="41">
        <f>IF('Cronograma R. Operacional'!$A56="","",'Cronograma R. Operacional'!$M56&amp;"")</f>
        <v/>
      </c>
    </row>
    <row r="57">
      <c r="A57" s="22">
        <f>IF('Cronograma R. Operacional'!$A57="","",'Cronograma R. Operacional'!$A57)</f>
        <v/>
      </c>
      <c r="B57" s="41">
        <f>IF('Cronograma R. Operacional'!$A57="","",'Cronograma R. Operacional'!$B57&amp;"")</f>
        <v/>
      </c>
      <c r="C57" s="41">
        <f>IF('Cronograma R. Operacional'!$A57="","",'Cronograma R. Operacional'!$C57&amp;"")</f>
        <v/>
      </c>
      <c r="D57" s="63">
        <f>IF(OR('Cronograma R. Operacional'!$A57="",'Cronograma R. Operacional'!$D57=""),"",'Cronograma R. Operacional'!$D57)</f>
        <v/>
      </c>
      <c r="E57" s="63">
        <f>IF(OR('Cronograma R. Operacional'!$A57="",'Cronograma R. Operacional'!$E57=""),"",'Cronograma R. Operacional'!$E57)</f>
        <v/>
      </c>
      <c r="F57" s="22">
        <f>IF(OR('Cronograma R. Operacional'!$A57="",NOT(ISNUMBER('Cronograma R. Operacional'!$E57))),"",IF('Cronograma R. Operacional'!$E57&lt;InicioCiclo,"Antes del ciclo",IF('Cronograma R. Operacional'!$E57&gt;=InicioCiclo+28,"Después del ciclo","Semana "&amp;(INT(('Cronograma R. Operacional'!$E57-InicioCiclo)/7)+1))))</f>
        <v/>
      </c>
      <c r="G57" s="20">
        <f>IF(OR('Cronograma R. Operacional'!$A57="",'Cronograma R. Operacional'!$G57=""),"",'Cronograma R. Operacional'!$G57)</f>
        <v/>
      </c>
      <c r="H57" s="20">
        <f>IF(OR('Cronograma R. Operacional'!$A57="",'Cronograma R. Operacional'!$H57=""),"",'Cronograma R. Operacional'!$H57)</f>
        <v/>
      </c>
      <c r="I57" s="20">
        <f>IF(OR('Cronograma R. Operacional'!$A57="",'Cronograma R. Operacional'!$I57=""),"",'Cronograma R. Operacional'!$I57)</f>
        <v/>
      </c>
      <c r="J57" s="20">
        <f>IF(OR('Cronograma R. Operacional'!$A57="",'Cronograma R. Operacional'!$J57=""),"",'Cronograma R. Operacional'!$J57)</f>
        <v/>
      </c>
      <c r="K57" s="20">
        <f>IF('Cronograma R. Operacional'!$A57="","",'Cronograma R. Operacional'!$K57)</f>
        <v/>
      </c>
      <c r="L57" s="22">
        <f>IF('Cronograma R. Operacional'!$A57="","",IF(N('Cronograma R. Operacional'!$K57)&gt;=1,"Completado",IF(AND(ISNUMBER('Cronograma R. Operacional'!$E57),'Cronograma R. Operacional'!$E57&lt;FechaRef),"Vencida",IF(N('Cronograma R. Operacional'!$K57)&gt;0,"En curso","Pendiente"))))</f>
        <v/>
      </c>
      <c r="M57" s="41">
        <f>IF('Cronograma R. Operacional'!$A57="","",'Cronograma R. Operacional'!$M57&amp;"")</f>
        <v/>
      </c>
    </row>
    <row r="58">
      <c r="A58" s="22">
        <f>IF('Cronograma R. Operacional'!$A58="","",'Cronograma R. Operacional'!$A58)</f>
        <v/>
      </c>
      <c r="B58" s="41">
        <f>IF('Cronograma R. Operacional'!$A58="","",'Cronograma R. Operacional'!$B58&amp;"")</f>
        <v/>
      </c>
      <c r="C58" s="41">
        <f>IF('Cronograma R. Operacional'!$A58="","",'Cronograma R. Operacional'!$C58&amp;"")</f>
        <v/>
      </c>
      <c r="D58" s="63">
        <f>IF(OR('Cronograma R. Operacional'!$A58="",'Cronograma R. Operacional'!$D58=""),"",'Cronograma R. Operacional'!$D58)</f>
        <v/>
      </c>
      <c r="E58" s="63">
        <f>IF(OR('Cronograma R. Operacional'!$A58="",'Cronograma R. Operacional'!$E58=""),"",'Cronograma R. Operacional'!$E58)</f>
        <v/>
      </c>
      <c r="F58" s="22">
        <f>IF(OR('Cronograma R. Operacional'!$A58="",NOT(ISNUMBER('Cronograma R. Operacional'!$E58))),"",IF('Cronograma R. Operacional'!$E58&lt;InicioCiclo,"Antes del ciclo",IF('Cronograma R. Operacional'!$E58&gt;=InicioCiclo+28,"Después del ciclo","Semana "&amp;(INT(('Cronograma R. Operacional'!$E58-InicioCiclo)/7)+1))))</f>
        <v/>
      </c>
      <c r="G58" s="20">
        <f>IF(OR('Cronograma R. Operacional'!$A58="",'Cronograma R. Operacional'!$G58=""),"",'Cronograma R. Operacional'!$G58)</f>
        <v/>
      </c>
      <c r="H58" s="20">
        <f>IF(OR('Cronograma R. Operacional'!$A58="",'Cronograma R. Operacional'!$H58=""),"",'Cronograma R. Operacional'!$H58)</f>
        <v/>
      </c>
      <c r="I58" s="20">
        <f>IF(OR('Cronograma R. Operacional'!$A58="",'Cronograma R. Operacional'!$I58=""),"",'Cronograma R. Operacional'!$I58)</f>
        <v/>
      </c>
      <c r="J58" s="20">
        <f>IF(OR('Cronograma R. Operacional'!$A58="",'Cronograma R. Operacional'!$J58=""),"",'Cronograma R. Operacional'!$J58)</f>
        <v/>
      </c>
      <c r="K58" s="20">
        <f>IF('Cronograma R. Operacional'!$A58="","",'Cronograma R. Operacional'!$K58)</f>
        <v/>
      </c>
      <c r="L58" s="22">
        <f>IF('Cronograma R. Operacional'!$A58="","",IF(N('Cronograma R. Operacional'!$K58)&gt;=1,"Completado",IF(AND(ISNUMBER('Cronograma R. Operacional'!$E58),'Cronograma R. Operacional'!$E58&lt;FechaRef),"Vencida",IF(N('Cronograma R. Operacional'!$K58)&gt;0,"En curso","Pendiente"))))</f>
        <v/>
      </c>
      <c r="M58" s="41">
        <f>IF('Cronograma R. Operacional'!$A58="","",'Cronograma R. Operacional'!$M58&amp;"")</f>
        <v/>
      </c>
    </row>
    <row r="59">
      <c r="A59" s="22">
        <f>IF('Cronograma R. Operacional'!$A59="","",'Cronograma R. Operacional'!$A59)</f>
        <v/>
      </c>
      <c r="B59" s="41">
        <f>IF('Cronograma R. Operacional'!$A59="","",'Cronograma R. Operacional'!$B59&amp;"")</f>
        <v/>
      </c>
      <c r="C59" s="41">
        <f>IF('Cronograma R. Operacional'!$A59="","",'Cronograma R. Operacional'!$C59&amp;"")</f>
        <v/>
      </c>
      <c r="D59" s="63">
        <f>IF(OR('Cronograma R. Operacional'!$A59="",'Cronograma R. Operacional'!$D59=""),"",'Cronograma R. Operacional'!$D59)</f>
        <v/>
      </c>
      <c r="E59" s="63">
        <f>IF(OR('Cronograma R. Operacional'!$A59="",'Cronograma R. Operacional'!$E59=""),"",'Cronograma R. Operacional'!$E59)</f>
        <v/>
      </c>
      <c r="F59" s="22">
        <f>IF(OR('Cronograma R. Operacional'!$A59="",NOT(ISNUMBER('Cronograma R. Operacional'!$E59))),"",IF('Cronograma R. Operacional'!$E59&lt;InicioCiclo,"Antes del ciclo",IF('Cronograma R. Operacional'!$E59&gt;=InicioCiclo+28,"Después del ciclo","Semana "&amp;(INT(('Cronograma R. Operacional'!$E59-InicioCiclo)/7)+1))))</f>
        <v/>
      </c>
      <c r="G59" s="20">
        <f>IF(OR('Cronograma R. Operacional'!$A59="",'Cronograma R. Operacional'!$G59=""),"",'Cronograma R. Operacional'!$G59)</f>
        <v/>
      </c>
      <c r="H59" s="20">
        <f>IF(OR('Cronograma R. Operacional'!$A59="",'Cronograma R. Operacional'!$H59=""),"",'Cronograma R. Operacional'!$H59)</f>
        <v/>
      </c>
      <c r="I59" s="20">
        <f>IF(OR('Cronograma R. Operacional'!$A59="",'Cronograma R. Operacional'!$I59=""),"",'Cronograma R. Operacional'!$I59)</f>
        <v/>
      </c>
      <c r="J59" s="20">
        <f>IF(OR('Cronograma R. Operacional'!$A59="",'Cronograma R. Operacional'!$J59=""),"",'Cronograma R. Operacional'!$J59)</f>
        <v/>
      </c>
      <c r="K59" s="20">
        <f>IF('Cronograma R. Operacional'!$A59="","",'Cronograma R. Operacional'!$K59)</f>
        <v/>
      </c>
      <c r="L59" s="22">
        <f>IF('Cronograma R. Operacional'!$A59="","",IF(N('Cronograma R. Operacional'!$K59)&gt;=1,"Completado",IF(AND(ISNUMBER('Cronograma R. Operacional'!$E59),'Cronograma R. Operacional'!$E59&lt;FechaRef),"Vencida",IF(N('Cronograma R. Operacional'!$K59)&gt;0,"En curso","Pendiente"))))</f>
        <v/>
      </c>
      <c r="M59" s="41">
        <f>IF('Cronograma R. Operacional'!$A59="","",'Cronograma R. Operacional'!$M59&amp;"")</f>
        <v/>
      </c>
    </row>
    <row r="60">
      <c r="A60" s="22">
        <f>IF('Cronograma R. Operacional'!$A60="","",'Cronograma R. Operacional'!$A60)</f>
        <v/>
      </c>
      <c r="B60" s="41">
        <f>IF('Cronograma R. Operacional'!$A60="","",'Cronograma R. Operacional'!$B60&amp;"")</f>
        <v/>
      </c>
      <c r="C60" s="41">
        <f>IF('Cronograma R. Operacional'!$A60="","",'Cronograma R. Operacional'!$C60&amp;"")</f>
        <v/>
      </c>
      <c r="D60" s="63">
        <f>IF(OR('Cronograma R. Operacional'!$A60="",'Cronograma R. Operacional'!$D60=""),"",'Cronograma R. Operacional'!$D60)</f>
        <v/>
      </c>
      <c r="E60" s="63">
        <f>IF(OR('Cronograma R. Operacional'!$A60="",'Cronograma R. Operacional'!$E60=""),"",'Cronograma R. Operacional'!$E60)</f>
        <v/>
      </c>
      <c r="F60" s="22">
        <f>IF(OR('Cronograma R. Operacional'!$A60="",NOT(ISNUMBER('Cronograma R. Operacional'!$E60))),"",IF('Cronograma R. Operacional'!$E60&lt;InicioCiclo,"Antes del ciclo",IF('Cronograma R. Operacional'!$E60&gt;=InicioCiclo+28,"Después del ciclo","Semana "&amp;(INT(('Cronograma R. Operacional'!$E60-InicioCiclo)/7)+1))))</f>
        <v/>
      </c>
      <c r="G60" s="20">
        <f>IF(OR('Cronograma R. Operacional'!$A60="",'Cronograma R. Operacional'!$G60=""),"",'Cronograma R. Operacional'!$G60)</f>
        <v/>
      </c>
      <c r="H60" s="20">
        <f>IF(OR('Cronograma R. Operacional'!$A60="",'Cronograma R. Operacional'!$H60=""),"",'Cronograma R. Operacional'!$H60)</f>
        <v/>
      </c>
      <c r="I60" s="20">
        <f>IF(OR('Cronograma R. Operacional'!$A60="",'Cronograma R. Operacional'!$I60=""),"",'Cronograma R. Operacional'!$I60)</f>
        <v/>
      </c>
      <c r="J60" s="20">
        <f>IF(OR('Cronograma R. Operacional'!$A60="",'Cronograma R. Operacional'!$J60=""),"",'Cronograma R. Operacional'!$J60)</f>
        <v/>
      </c>
      <c r="K60" s="20">
        <f>IF('Cronograma R. Operacional'!$A60="","",'Cronograma R. Operacional'!$K60)</f>
        <v/>
      </c>
      <c r="L60" s="22">
        <f>IF('Cronograma R. Operacional'!$A60="","",IF(N('Cronograma R. Operacional'!$K60)&gt;=1,"Completado",IF(AND(ISNUMBER('Cronograma R. Operacional'!$E60),'Cronograma R. Operacional'!$E60&lt;FechaRef),"Vencida",IF(N('Cronograma R. Operacional'!$K60)&gt;0,"En curso","Pendiente"))))</f>
        <v/>
      </c>
      <c r="M60" s="41">
        <f>IF('Cronograma R. Operacional'!$A60="","",'Cronograma R. Operacional'!$M60&amp;"")</f>
        <v/>
      </c>
    </row>
    <row r="61">
      <c r="A61" s="22">
        <f>IF('Cronograma R. Operacional'!$A61="","",'Cronograma R. Operacional'!$A61)</f>
        <v/>
      </c>
      <c r="B61" s="41">
        <f>IF('Cronograma R. Operacional'!$A61="","",'Cronograma R. Operacional'!$B61&amp;"")</f>
        <v/>
      </c>
      <c r="C61" s="41">
        <f>IF('Cronograma R. Operacional'!$A61="","",'Cronograma R. Operacional'!$C61&amp;"")</f>
        <v/>
      </c>
      <c r="D61" s="63">
        <f>IF(OR('Cronograma R. Operacional'!$A61="",'Cronograma R. Operacional'!$D61=""),"",'Cronograma R. Operacional'!$D61)</f>
        <v/>
      </c>
      <c r="E61" s="63">
        <f>IF(OR('Cronograma R. Operacional'!$A61="",'Cronograma R. Operacional'!$E61=""),"",'Cronograma R. Operacional'!$E61)</f>
        <v/>
      </c>
      <c r="F61" s="22">
        <f>IF(OR('Cronograma R. Operacional'!$A61="",NOT(ISNUMBER('Cronograma R. Operacional'!$E61))),"",IF('Cronograma R. Operacional'!$E61&lt;InicioCiclo,"Antes del ciclo",IF('Cronograma R. Operacional'!$E61&gt;=InicioCiclo+28,"Después del ciclo","Semana "&amp;(INT(('Cronograma R. Operacional'!$E61-InicioCiclo)/7)+1))))</f>
        <v/>
      </c>
      <c r="G61" s="20">
        <f>IF(OR('Cronograma R. Operacional'!$A61="",'Cronograma R. Operacional'!$G61=""),"",'Cronograma R. Operacional'!$G61)</f>
        <v/>
      </c>
      <c r="H61" s="20">
        <f>IF(OR('Cronograma R. Operacional'!$A61="",'Cronograma R. Operacional'!$H61=""),"",'Cronograma R. Operacional'!$H61)</f>
        <v/>
      </c>
      <c r="I61" s="20">
        <f>IF(OR('Cronograma R. Operacional'!$A61="",'Cronograma R. Operacional'!$I61=""),"",'Cronograma R. Operacional'!$I61)</f>
        <v/>
      </c>
      <c r="J61" s="20">
        <f>IF(OR('Cronograma R. Operacional'!$A61="",'Cronograma R. Operacional'!$J61=""),"",'Cronograma R. Operacional'!$J61)</f>
        <v/>
      </c>
      <c r="K61" s="20">
        <f>IF('Cronograma R. Operacional'!$A61="","",'Cronograma R. Operacional'!$K61)</f>
        <v/>
      </c>
      <c r="L61" s="22">
        <f>IF('Cronograma R. Operacional'!$A61="","",IF(N('Cronograma R. Operacional'!$K61)&gt;=1,"Completado",IF(AND(ISNUMBER('Cronograma R. Operacional'!$E61),'Cronograma R. Operacional'!$E61&lt;FechaRef),"Vencida",IF(N('Cronograma R. Operacional'!$K61)&gt;0,"En curso","Pendiente"))))</f>
        <v/>
      </c>
      <c r="M61" s="41">
        <f>IF('Cronograma R. Operacional'!$A61="","",'Cronograma R. Operacional'!$M61&amp;"")</f>
        <v/>
      </c>
    </row>
    <row r="62">
      <c r="A62" s="22">
        <f>IF('Cronograma R. Operacional'!$A62="","",'Cronograma R. Operacional'!$A62)</f>
        <v/>
      </c>
      <c r="B62" s="41">
        <f>IF('Cronograma R. Operacional'!$A62="","",'Cronograma R. Operacional'!$B62&amp;"")</f>
        <v/>
      </c>
      <c r="C62" s="41">
        <f>IF('Cronograma R. Operacional'!$A62="","",'Cronograma R. Operacional'!$C62&amp;"")</f>
        <v/>
      </c>
      <c r="D62" s="63">
        <f>IF(OR('Cronograma R. Operacional'!$A62="",'Cronograma R. Operacional'!$D62=""),"",'Cronograma R. Operacional'!$D62)</f>
        <v/>
      </c>
      <c r="E62" s="63">
        <f>IF(OR('Cronograma R. Operacional'!$A62="",'Cronograma R. Operacional'!$E62=""),"",'Cronograma R. Operacional'!$E62)</f>
        <v/>
      </c>
      <c r="F62" s="22">
        <f>IF(OR('Cronograma R. Operacional'!$A62="",NOT(ISNUMBER('Cronograma R. Operacional'!$E62))),"",IF('Cronograma R. Operacional'!$E62&lt;InicioCiclo,"Antes del ciclo",IF('Cronograma R. Operacional'!$E62&gt;=InicioCiclo+28,"Después del ciclo","Semana "&amp;(INT(('Cronograma R. Operacional'!$E62-InicioCiclo)/7)+1))))</f>
        <v/>
      </c>
      <c r="G62" s="20">
        <f>IF(OR('Cronograma R. Operacional'!$A62="",'Cronograma R. Operacional'!$G62=""),"",'Cronograma R. Operacional'!$G62)</f>
        <v/>
      </c>
      <c r="H62" s="20">
        <f>IF(OR('Cronograma R. Operacional'!$A62="",'Cronograma R. Operacional'!$H62=""),"",'Cronograma R. Operacional'!$H62)</f>
        <v/>
      </c>
      <c r="I62" s="20">
        <f>IF(OR('Cronograma R. Operacional'!$A62="",'Cronograma R. Operacional'!$I62=""),"",'Cronograma R. Operacional'!$I62)</f>
        <v/>
      </c>
      <c r="J62" s="20">
        <f>IF(OR('Cronograma R. Operacional'!$A62="",'Cronograma R. Operacional'!$J62=""),"",'Cronograma R. Operacional'!$J62)</f>
        <v/>
      </c>
      <c r="K62" s="20">
        <f>IF('Cronograma R. Operacional'!$A62="","",'Cronograma R. Operacional'!$K62)</f>
        <v/>
      </c>
      <c r="L62" s="22">
        <f>IF('Cronograma R. Operacional'!$A62="","",IF(N('Cronograma R. Operacional'!$K62)&gt;=1,"Completado",IF(AND(ISNUMBER('Cronograma R. Operacional'!$E62),'Cronograma R. Operacional'!$E62&lt;FechaRef),"Vencida",IF(N('Cronograma R. Operacional'!$K62)&gt;0,"En curso","Pendiente"))))</f>
        <v/>
      </c>
      <c r="M62" s="41">
        <f>IF('Cronograma R. Operacional'!$A62="","",'Cronograma R. Operacional'!$M62&amp;"")</f>
        <v/>
      </c>
    </row>
    <row r="63">
      <c r="A63" s="22">
        <f>IF('Cronograma R. Operacional'!$A63="","",'Cronograma R. Operacional'!$A63)</f>
        <v/>
      </c>
      <c r="B63" s="41">
        <f>IF('Cronograma R. Operacional'!$A63="","",'Cronograma R. Operacional'!$B63&amp;"")</f>
        <v/>
      </c>
      <c r="C63" s="41">
        <f>IF('Cronograma R. Operacional'!$A63="","",'Cronograma R. Operacional'!$C63&amp;"")</f>
        <v/>
      </c>
      <c r="D63" s="63">
        <f>IF(OR('Cronograma R. Operacional'!$A63="",'Cronograma R. Operacional'!$D63=""),"",'Cronograma R. Operacional'!$D63)</f>
        <v/>
      </c>
      <c r="E63" s="63">
        <f>IF(OR('Cronograma R. Operacional'!$A63="",'Cronograma R. Operacional'!$E63=""),"",'Cronograma R. Operacional'!$E63)</f>
        <v/>
      </c>
      <c r="F63" s="22">
        <f>IF(OR('Cronograma R. Operacional'!$A63="",NOT(ISNUMBER('Cronograma R. Operacional'!$E63))),"",IF('Cronograma R. Operacional'!$E63&lt;InicioCiclo,"Antes del ciclo",IF('Cronograma R. Operacional'!$E63&gt;=InicioCiclo+28,"Después del ciclo","Semana "&amp;(INT(('Cronograma R. Operacional'!$E63-InicioCiclo)/7)+1))))</f>
        <v/>
      </c>
      <c r="G63" s="20">
        <f>IF(OR('Cronograma R. Operacional'!$A63="",'Cronograma R. Operacional'!$G63=""),"",'Cronograma R. Operacional'!$G63)</f>
        <v/>
      </c>
      <c r="H63" s="20">
        <f>IF(OR('Cronograma R. Operacional'!$A63="",'Cronograma R. Operacional'!$H63=""),"",'Cronograma R. Operacional'!$H63)</f>
        <v/>
      </c>
      <c r="I63" s="20">
        <f>IF(OR('Cronograma R. Operacional'!$A63="",'Cronograma R. Operacional'!$I63=""),"",'Cronograma R. Operacional'!$I63)</f>
        <v/>
      </c>
      <c r="J63" s="20">
        <f>IF(OR('Cronograma R. Operacional'!$A63="",'Cronograma R. Operacional'!$J63=""),"",'Cronograma R. Operacional'!$J63)</f>
        <v/>
      </c>
      <c r="K63" s="20">
        <f>IF('Cronograma R. Operacional'!$A63="","",'Cronograma R. Operacional'!$K63)</f>
        <v/>
      </c>
      <c r="L63" s="22">
        <f>IF('Cronograma R. Operacional'!$A63="","",IF(N('Cronograma R. Operacional'!$K63)&gt;=1,"Completado",IF(AND(ISNUMBER('Cronograma R. Operacional'!$E63),'Cronograma R. Operacional'!$E63&lt;FechaRef),"Vencida",IF(N('Cronograma R. Operacional'!$K63)&gt;0,"En curso","Pendiente"))))</f>
        <v/>
      </c>
      <c r="M63" s="41">
        <f>IF('Cronograma R. Operacional'!$A63="","",'Cronograma R. Operacional'!$M63&amp;"")</f>
        <v/>
      </c>
    </row>
    <row r="64">
      <c r="A64" s="22">
        <f>IF('Cronograma R. Operacional'!$A64="","",'Cronograma R. Operacional'!$A64)</f>
        <v/>
      </c>
      <c r="B64" s="41">
        <f>IF('Cronograma R. Operacional'!$A64="","",'Cronograma R. Operacional'!$B64&amp;"")</f>
        <v/>
      </c>
      <c r="C64" s="41">
        <f>IF('Cronograma R. Operacional'!$A64="","",'Cronograma R. Operacional'!$C64&amp;"")</f>
        <v/>
      </c>
      <c r="D64" s="63">
        <f>IF(OR('Cronograma R. Operacional'!$A64="",'Cronograma R. Operacional'!$D64=""),"",'Cronograma R. Operacional'!$D64)</f>
        <v/>
      </c>
      <c r="E64" s="63">
        <f>IF(OR('Cronograma R. Operacional'!$A64="",'Cronograma R. Operacional'!$E64=""),"",'Cronograma R. Operacional'!$E64)</f>
        <v/>
      </c>
      <c r="F64" s="22">
        <f>IF(OR('Cronograma R. Operacional'!$A64="",NOT(ISNUMBER('Cronograma R. Operacional'!$E64))),"",IF('Cronograma R. Operacional'!$E64&lt;InicioCiclo,"Antes del ciclo",IF('Cronograma R. Operacional'!$E64&gt;=InicioCiclo+28,"Después del ciclo","Semana "&amp;(INT(('Cronograma R. Operacional'!$E64-InicioCiclo)/7)+1))))</f>
        <v/>
      </c>
      <c r="G64" s="20">
        <f>IF(OR('Cronograma R. Operacional'!$A64="",'Cronograma R. Operacional'!$G64=""),"",'Cronograma R. Operacional'!$G64)</f>
        <v/>
      </c>
      <c r="H64" s="20">
        <f>IF(OR('Cronograma R. Operacional'!$A64="",'Cronograma R. Operacional'!$H64=""),"",'Cronograma R. Operacional'!$H64)</f>
        <v/>
      </c>
      <c r="I64" s="20">
        <f>IF(OR('Cronograma R. Operacional'!$A64="",'Cronograma R. Operacional'!$I64=""),"",'Cronograma R. Operacional'!$I64)</f>
        <v/>
      </c>
      <c r="J64" s="20">
        <f>IF(OR('Cronograma R. Operacional'!$A64="",'Cronograma R. Operacional'!$J64=""),"",'Cronograma R. Operacional'!$J64)</f>
        <v/>
      </c>
      <c r="K64" s="20">
        <f>IF('Cronograma R. Operacional'!$A64="","",'Cronograma R. Operacional'!$K64)</f>
        <v/>
      </c>
      <c r="L64" s="22">
        <f>IF('Cronograma R. Operacional'!$A64="","",IF(N('Cronograma R. Operacional'!$K64)&gt;=1,"Completado",IF(AND(ISNUMBER('Cronograma R. Operacional'!$E64),'Cronograma R. Operacional'!$E64&lt;FechaRef),"Vencida",IF(N('Cronograma R. Operacional'!$K64)&gt;0,"En curso","Pendiente"))))</f>
        <v/>
      </c>
      <c r="M64" s="41">
        <f>IF('Cronograma R. Operacional'!$A64="","",'Cronograma R. Operacional'!$M64&amp;"")</f>
        <v/>
      </c>
    </row>
    <row r="65">
      <c r="A65" s="22">
        <f>IF('Cronograma R. Operacional'!$A65="","",'Cronograma R. Operacional'!$A65)</f>
        <v/>
      </c>
      <c r="B65" s="41">
        <f>IF('Cronograma R. Operacional'!$A65="","",'Cronograma R. Operacional'!$B65&amp;"")</f>
        <v/>
      </c>
      <c r="C65" s="41">
        <f>IF('Cronograma R. Operacional'!$A65="","",'Cronograma R. Operacional'!$C65&amp;"")</f>
        <v/>
      </c>
      <c r="D65" s="63">
        <f>IF(OR('Cronograma R. Operacional'!$A65="",'Cronograma R. Operacional'!$D65=""),"",'Cronograma R. Operacional'!$D65)</f>
        <v/>
      </c>
      <c r="E65" s="63">
        <f>IF(OR('Cronograma R. Operacional'!$A65="",'Cronograma R. Operacional'!$E65=""),"",'Cronograma R. Operacional'!$E65)</f>
        <v/>
      </c>
      <c r="F65" s="22">
        <f>IF(OR('Cronograma R. Operacional'!$A65="",NOT(ISNUMBER('Cronograma R. Operacional'!$E65))),"",IF('Cronograma R. Operacional'!$E65&lt;InicioCiclo,"Antes del ciclo",IF('Cronograma R. Operacional'!$E65&gt;=InicioCiclo+28,"Después del ciclo","Semana "&amp;(INT(('Cronograma R. Operacional'!$E65-InicioCiclo)/7)+1))))</f>
        <v/>
      </c>
      <c r="G65" s="20">
        <f>IF(OR('Cronograma R. Operacional'!$A65="",'Cronograma R. Operacional'!$G65=""),"",'Cronograma R. Operacional'!$G65)</f>
        <v/>
      </c>
      <c r="H65" s="20">
        <f>IF(OR('Cronograma R. Operacional'!$A65="",'Cronograma R. Operacional'!$H65=""),"",'Cronograma R. Operacional'!$H65)</f>
        <v/>
      </c>
      <c r="I65" s="20">
        <f>IF(OR('Cronograma R. Operacional'!$A65="",'Cronograma R. Operacional'!$I65=""),"",'Cronograma R. Operacional'!$I65)</f>
        <v/>
      </c>
      <c r="J65" s="20">
        <f>IF(OR('Cronograma R. Operacional'!$A65="",'Cronograma R. Operacional'!$J65=""),"",'Cronograma R. Operacional'!$J65)</f>
        <v/>
      </c>
      <c r="K65" s="20">
        <f>IF('Cronograma R. Operacional'!$A65="","",'Cronograma R. Operacional'!$K65)</f>
        <v/>
      </c>
      <c r="L65" s="22">
        <f>IF('Cronograma R. Operacional'!$A65="","",IF(N('Cronograma R. Operacional'!$K65)&gt;=1,"Completado",IF(AND(ISNUMBER('Cronograma R. Operacional'!$E65),'Cronograma R. Operacional'!$E65&lt;FechaRef),"Vencida",IF(N('Cronograma R. Operacional'!$K65)&gt;0,"En curso","Pendiente"))))</f>
        <v/>
      </c>
      <c r="M65" s="41">
        <f>IF('Cronograma R. Operacional'!$A65="","",'Cronograma R. Operacional'!$M65&amp;"")</f>
        <v/>
      </c>
    </row>
    <row r="66">
      <c r="A66" s="22">
        <f>IF('Cronograma R. Operacional'!$A66="","",'Cronograma R. Operacional'!$A66)</f>
        <v/>
      </c>
      <c r="B66" s="41">
        <f>IF('Cronograma R. Operacional'!$A66="","",'Cronograma R. Operacional'!$B66&amp;"")</f>
        <v/>
      </c>
      <c r="C66" s="41">
        <f>IF('Cronograma R. Operacional'!$A66="","",'Cronograma R. Operacional'!$C66&amp;"")</f>
        <v/>
      </c>
      <c r="D66" s="63">
        <f>IF(OR('Cronograma R. Operacional'!$A66="",'Cronograma R. Operacional'!$D66=""),"",'Cronograma R. Operacional'!$D66)</f>
        <v/>
      </c>
      <c r="E66" s="63">
        <f>IF(OR('Cronograma R. Operacional'!$A66="",'Cronograma R. Operacional'!$E66=""),"",'Cronograma R. Operacional'!$E66)</f>
        <v/>
      </c>
      <c r="F66" s="22">
        <f>IF(OR('Cronograma R. Operacional'!$A66="",NOT(ISNUMBER('Cronograma R. Operacional'!$E66))),"",IF('Cronograma R. Operacional'!$E66&lt;InicioCiclo,"Antes del ciclo",IF('Cronograma R. Operacional'!$E66&gt;=InicioCiclo+28,"Después del ciclo","Semana "&amp;(INT(('Cronograma R. Operacional'!$E66-InicioCiclo)/7)+1))))</f>
        <v/>
      </c>
      <c r="G66" s="20">
        <f>IF(OR('Cronograma R. Operacional'!$A66="",'Cronograma R. Operacional'!$G66=""),"",'Cronograma R. Operacional'!$G66)</f>
        <v/>
      </c>
      <c r="H66" s="20">
        <f>IF(OR('Cronograma R. Operacional'!$A66="",'Cronograma R. Operacional'!$H66=""),"",'Cronograma R. Operacional'!$H66)</f>
        <v/>
      </c>
      <c r="I66" s="20">
        <f>IF(OR('Cronograma R. Operacional'!$A66="",'Cronograma R. Operacional'!$I66=""),"",'Cronograma R. Operacional'!$I66)</f>
        <v/>
      </c>
      <c r="J66" s="20">
        <f>IF(OR('Cronograma R. Operacional'!$A66="",'Cronograma R. Operacional'!$J66=""),"",'Cronograma R. Operacional'!$J66)</f>
        <v/>
      </c>
      <c r="K66" s="20">
        <f>IF('Cronograma R. Operacional'!$A66="","",'Cronograma R. Operacional'!$K66)</f>
        <v/>
      </c>
      <c r="L66" s="22">
        <f>IF('Cronograma R. Operacional'!$A66="","",IF(N('Cronograma R. Operacional'!$K66)&gt;=1,"Completado",IF(AND(ISNUMBER('Cronograma R. Operacional'!$E66),'Cronograma R. Operacional'!$E66&lt;FechaRef),"Vencida",IF(N('Cronograma R. Operacional'!$K66)&gt;0,"En curso","Pendiente"))))</f>
        <v/>
      </c>
      <c r="M66" s="41">
        <f>IF('Cronograma R. Operacional'!$A66="","",'Cronograma R. Operacional'!$M66&amp;"")</f>
        <v/>
      </c>
    </row>
    <row r="67">
      <c r="A67" s="22">
        <f>IF('Cronograma R. Operacional'!$A67="","",'Cronograma R. Operacional'!$A67)</f>
        <v/>
      </c>
      <c r="B67" s="41">
        <f>IF('Cronograma R. Operacional'!$A67="","",'Cronograma R. Operacional'!$B67&amp;"")</f>
        <v/>
      </c>
      <c r="C67" s="41">
        <f>IF('Cronograma R. Operacional'!$A67="","",'Cronograma R. Operacional'!$C67&amp;"")</f>
        <v/>
      </c>
      <c r="D67" s="63">
        <f>IF(OR('Cronograma R. Operacional'!$A67="",'Cronograma R. Operacional'!$D67=""),"",'Cronograma R. Operacional'!$D67)</f>
        <v/>
      </c>
      <c r="E67" s="63">
        <f>IF(OR('Cronograma R. Operacional'!$A67="",'Cronograma R. Operacional'!$E67=""),"",'Cronograma R. Operacional'!$E67)</f>
        <v/>
      </c>
      <c r="F67" s="22">
        <f>IF(OR('Cronograma R. Operacional'!$A67="",NOT(ISNUMBER('Cronograma R. Operacional'!$E67))),"",IF('Cronograma R. Operacional'!$E67&lt;InicioCiclo,"Antes del ciclo",IF('Cronograma R. Operacional'!$E67&gt;=InicioCiclo+28,"Después del ciclo","Semana "&amp;(INT(('Cronograma R. Operacional'!$E67-InicioCiclo)/7)+1))))</f>
        <v/>
      </c>
      <c r="G67" s="20">
        <f>IF(OR('Cronograma R. Operacional'!$A67="",'Cronograma R. Operacional'!$G67=""),"",'Cronograma R. Operacional'!$G67)</f>
        <v/>
      </c>
      <c r="H67" s="20">
        <f>IF(OR('Cronograma R. Operacional'!$A67="",'Cronograma R. Operacional'!$H67=""),"",'Cronograma R. Operacional'!$H67)</f>
        <v/>
      </c>
      <c r="I67" s="20">
        <f>IF(OR('Cronograma R. Operacional'!$A67="",'Cronograma R. Operacional'!$I67=""),"",'Cronograma R. Operacional'!$I67)</f>
        <v/>
      </c>
      <c r="J67" s="20">
        <f>IF(OR('Cronograma R. Operacional'!$A67="",'Cronograma R. Operacional'!$J67=""),"",'Cronograma R. Operacional'!$J67)</f>
        <v/>
      </c>
      <c r="K67" s="20">
        <f>IF('Cronograma R. Operacional'!$A67="","",'Cronograma R. Operacional'!$K67)</f>
        <v/>
      </c>
      <c r="L67" s="22">
        <f>IF('Cronograma R. Operacional'!$A67="","",IF(N('Cronograma R. Operacional'!$K67)&gt;=1,"Completado",IF(AND(ISNUMBER('Cronograma R. Operacional'!$E67),'Cronograma R. Operacional'!$E67&lt;FechaRef),"Vencida",IF(N('Cronograma R. Operacional'!$K67)&gt;0,"En curso","Pendiente"))))</f>
        <v/>
      </c>
      <c r="M67" s="41">
        <f>IF('Cronograma R. Operacional'!$A67="","",'Cronograma R. Operacional'!$M67&amp;"")</f>
        <v/>
      </c>
    </row>
    <row r="68">
      <c r="A68" s="22">
        <f>IF('Cronograma R. Operacional'!$A68="","",'Cronograma R. Operacional'!$A68)</f>
        <v/>
      </c>
      <c r="B68" s="41">
        <f>IF('Cronograma R. Operacional'!$A68="","",'Cronograma R. Operacional'!$B68&amp;"")</f>
        <v/>
      </c>
      <c r="C68" s="41">
        <f>IF('Cronograma R. Operacional'!$A68="","",'Cronograma R. Operacional'!$C68&amp;"")</f>
        <v/>
      </c>
      <c r="D68" s="63">
        <f>IF(OR('Cronograma R. Operacional'!$A68="",'Cronograma R. Operacional'!$D68=""),"",'Cronograma R. Operacional'!$D68)</f>
        <v/>
      </c>
      <c r="E68" s="63">
        <f>IF(OR('Cronograma R. Operacional'!$A68="",'Cronograma R. Operacional'!$E68=""),"",'Cronograma R. Operacional'!$E68)</f>
        <v/>
      </c>
      <c r="F68" s="22">
        <f>IF(OR('Cronograma R. Operacional'!$A68="",NOT(ISNUMBER('Cronograma R. Operacional'!$E68))),"",IF('Cronograma R. Operacional'!$E68&lt;InicioCiclo,"Antes del ciclo",IF('Cronograma R. Operacional'!$E68&gt;=InicioCiclo+28,"Después del ciclo","Semana "&amp;(INT(('Cronograma R. Operacional'!$E68-InicioCiclo)/7)+1))))</f>
        <v/>
      </c>
      <c r="G68" s="20">
        <f>IF(OR('Cronograma R. Operacional'!$A68="",'Cronograma R. Operacional'!$G68=""),"",'Cronograma R. Operacional'!$G68)</f>
        <v/>
      </c>
      <c r="H68" s="20">
        <f>IF(OR('Cronograma R. Operacional'!$A68="",'Cronograma R. Operacional'!$H68=""),"",'Cronograma R. Operacional'!$H68)</f>
        <v/>
      </c>
      <c r="I68" s="20">
        <f>IF(OR('Cronograma R. Operacional'!$A68="",'Cronograma R. Operacional'!$I68=""),"",'Cronograma R. Operacional'!$I68)</f>
        <v/>
      </c>
      <c r="J68" s="20">
        <f>IF(OR('Cronograma R. Operacional'!$A68="",'Cronograma R. Operacional'!$J68=""),"",'Cronograma R. Operacional'!$J68)</f>
        <v/>
      </c>
      <c r="K68" s="20">
        <f>IF('Cronograma R. Operacional'!$A68="","",'Cronograma R. Operacional'!$K68)</f>
        <v/>
      </c>
      <c r="L68" s="22">
        <f>IF('Cronograma R. Operacional'!$A68="","",IF(N('Cronograma R. Operacional'!$K68)&gt;=1,"Completado",IF(AND(ISNUMBER('Cronograma R. Operacional'!$E68),'Cronograma R. Operacional'!$E68&lt;FechaRef),"Vencida",IF(N('Cronograma R. Operacional'!$K68)&gt;0,"En curso","Pendiente"))))</f>
        <v/>
      </c>
      <c r="M68" s="41">
        <f>IF('Cronograma R. Operacional'!$A68="","",'Cronograma R. Operacional'!$M68&amp;"")</f>
        <v/>
      </c>
    </row>
    <row r="69">
      <c r="A69" s="22">
        <f>IF('Cronograma R. Operacional'!$A69="","",'Cronograma R. Operacional'!$A69)</f>
        <v/>
      </c>
      <c r="B69" s="41">
        <f>IF('Cronograma R. Operacional'!$A69="","",'Cronograma R. Operacional'!$B69&amp;"")</f>
        <v/>
      </c>
      <c r="C69" s="41">
        <f>IF('Cronograma R. Operacional'!$A69="","",'Cronograma R. Operacional'!$C69&amp;"")</f>
        <v/>
      </c>
      <c r="D69" s="63">
        <f>IF(OR('Cronograma R. Operacional'!$A69="",'Cronograma R. Operacional'!$D69=""),"",'Cronograma R. Operacional'!$D69)</f>
        <v/>
      </c>
      <c r="E69" s="63">
        <f>IF(OR('Cronograma R. Operacional'!$A69="",'Cronograma R. Operacional'!$E69=""),"",'Cronograma R. Operacional'!$E69)</f>
        <v/>
      </c>
      <c r="F69" s="22">
        <f>IF(OR('Cronograma R. Operacional'!$A69="",NOT(ISNUMBER('Cronograma R. Operacional'!$E69))),"",IF('Cronograma R. Operacional'!$E69&lt;InicioCiclo,"Antes del ciclo",IF('Cronograma R. Operacional'!$E69&gt;=InicioCiclo+28,"Después del ciclo","Semana "&amp;(INT(('Cronograma R. Operacional'!$E69-InicioCiclo)/7)+1))))</f>
        <v/>
      </c>
      <c r="G69" s="20">
        <f>IF(OR('Cronograma R. Operacional'!$A69="",'Cronograma R. Operacional'!$G69=""),"",'Cronograma R. Operacional'!$G69)</f>
        <v/>
      </c>
      <c r="H69" s="20">
        <f>IF(OR('Cronograma R. Operacional'!$A69="",'Cronograma R. Operacional'!$H69=""),"",'Cronograma R. Operacional'!$H69)</f>
        <v/>
      </c>
      <c r="I69" s="20">
        <f>IF(OR('Cronograma R. Operacional'!$A69="",'Cronograma R. Operacional'!$I69=""),"",'Cronograma R. Operacional'!$I69)</f>
        <v/>
      </c>
      <c r="J69" s="20">
        <f>IF(OR('Cronograma R. Operacional'!$A69="",'Cronograma R. Operacional'!$J69=""),"",'Cronograma R. Operacional'!$J69)</f>
        <v/>
      </c>
      <c r="K69" s="20">
        <f>IF('Cronograma R. Operacional'!$A69="","",'Cronograma R. Operacional'!$K69)</f>
        <v/>
      </c>
      <c r="L69" s="22">
        <f>IF('Cronograma R. Operacional'!$A69="","",IF(N('Cronograma R. Operacional'!$K69)&gt;=1,"Completado",IF(AND(ISNUMBER('Cronograma R. Operacional'!$E69),'Cronograma R. Operacional'!$E69&lt;FechaRef),"Vencida",IF(N('Cronograma R. Operacional'!$K69)&gt;0,"En curso","Pendiente"))))</f>
        <v/>
      </c>
      <c r="M69" s="41">
        <f>IF('Cronograma R. Operacional'!$A69="","",'Cronograma R. Operacional'!$M69&amp;"")</f>
        <v/>
      </c>
    </row>
    <row r="70">
      <c r="A70" s="22">
        <f>IF('Cronograma R. Operacional'!$A70="","",'Cronograma R. Operacional'!$A70)</f>
        <v/>
      </c>
      <c r="B70" s="41">
        <f>IF('Cronograma R. Operacional'!$A70="","",'Cronograma R. Operacional'!$B70&amp;"")</f>
        <v/>
      </c>
      <c r="C70" s="41">
        <f>IF('Cronograma R. Operacional'!$A70="","",'Cronograma R. Operacional'!$C70&amp;"")</f>
        <v/>
      </c>
      <c r="D70" s="63">
        <f>IF(OR('Cronograma R. Operacional'!$A70="",'Cronograma R. Operacional'!$D70=""),"",'Cronograma R. Operacional'!$D70)</f>
        <v/>
      </c>
      <c r="E70" s="63">
        <f>IF(OR('Cronograma R. Operacional'!$A70="",'Cronograma R. Operacional'!$E70=""),"",'Cronograma R. Operacional'!$E70)</f>
        <v/>
      </c>
      <c r="F70" s="22">
        <f>IF(OR('Cronograma R. Operacional'!$A70="",NOT(ISNUMBER('Cronograma R. Operacional'!$E70))),"",IF('Cronograma R. Operacional'!$E70&lt;InicioCiclo,"Antes del ciclo",IF('Cronograma R. Operacional'!$E70&gt;=InicioCiclo+28,"Después del ciclo","Semana "&amp;(INT(('Cronograma R. Operacional'!$E70-InicioCiclo)/7)+1))))</f>
        <v/>
      </c>
      <c r="G70" s="20">
        <f>IF(OR('Cronograma R. Operacional'!$A70="",'Cronograma R. Operacional'!$G70=""),"",'Cronograma R. Operacional'!$G70)</f>
        <v/>
      </c>
      <c r="H70" s="20">
        <f>IF(OR('Cronograma R. Operacional'!$A70="",'Cronograma R. Operacional'!$H70=""),"",'Cronograma R. Operacional'!$H70)</f>
        <v/>
      </c>
      <c r="I70" s="20">
        <f>IF(OR('Cronograma R. Operacional'!$A70="",'Cronograma R. Operacional'!$I70=""),"",'Cronograma R. Operacional'!$I70)</f>
        <v/>
      </c>
      <c r="J70" s="20">
        <f>IF(OR('Cronograma R. Operacional'!$A70="",'Cronograma R. Operacional'!$J70=""),"",'Cronograma R. Operacional'!$J70)</f>
        <v/>
      </c>
      <c r="K70" s="20">
        <f>IF('Cronograma R. Operacional'!$A70="","",'Cronograma R. Operacional'!$K70)</f>
        <v/>
      </c>
      <c r="L70" s="22">
        <f>IF('Cronograma R. Operacional'!$A70="","",IF(N('Cronograma R. Operacional'!$K70)&gt;=1,"Completado",IF(AND(ISNUMBER('Cronograma R. Operacional'!$E70),'Cronograma R. Operacional'!$E70&lt;FechaRef),"Vencida",IF(N('Cronograma R. Operacional'!$K70)&gt;0,"En curso","Pendiente"))))</f>
        <v/>
      </c>
      <c r="M70" s="41">
        <f>IF('Cronograma R. Operacional'!$A70="","",'Cronograma R. Operacional'!$M70&amp;"")</f>
        <v/>
      </c>
    </row>
    <row r="71">
      <c r="A71" s="22">
        <f>IF('Cronograma R. Operacional'!$A71="","",'Cronograma R. Operacional'!$A71)</f>
        <v/>
      </c>
      <c r="B71" s="41">
        <f>IF('Cronograma R. Operacional'!$A71="","",'Cronograma R. Operacional'!$B71&amp;"")</f>
        <v/>
      </c>
      <c r="C71" s="41">
        <f>IF('Cronograma R. Operacional'!$A71="","",'Cronograma R. Operacional'!$C71&amp;"")</f>
        <v/>
      </c>
      <c r="D71" s="63">
        <f>IF(OR('Cronograma R. Operacional'!$A71="",'Cronograma R. Operacional'!$D71=""),"",'Cronograma R. Operacional'!$D71)</f>
        <v/>
      </c>
      <c r="E71" s="63">
        <f>IF(OR('Cronograma R. Operacional'!$A71="",'Cronograma R. Operacional'!$E71=""),"",'Cronograma R. Operacional'!$E71)</f>
        <v/>
      </c>
      <c r="F71" s="22">
        <f>IF(OR('Cronograma R. Operacional'!$A71="",NOT(ISNUMBER('Cronograma R. Operacional'!$E71))),"",IF('Cronograma R. Operacional'!$E71&lt;InicioCiclo,"Antes del ciclo",IF('Cronograma R. Operacional'!$E71&gt;=InicioCiclo+28,"Después del ciclo","Semana "&amp;(INT(('Cronograma R. Operacional'!$E71-InicioCiclo)/7)+1))))</f>
        <v/>
      </c>
      <c r="G71" s="20">
        <f>IF(OR('Cronograma R. Operacional'!$A71="",'Cronograma R. Operacional'!$G71=""),"",'Cronograma R. Operacional'!$G71)</f>
        <v/>
      </c>
      <c r="H71" s="20">
        <f>IF(OR('Cronograma R. Operacional'!$A71="",'Cronograma R. Operacional'!$H71=""),"",'Cronograma R. Operacional'!$H71)</f>
        <v/>
      </c>
      <c r="I71" s="20">
        <f>IF(OR('Cronograma R. Operacional'!$A71="",'Cronograma R. Operacional'!$I71=""),"",'Cronograma R. Operacional'!$I71)</f>
        <v/>
      </c>
      <c r="J71" s="20">
        <f>IF(OR('Cronograma R. Operacional'!$A71="",'Cronograma R. Operacional'!$J71=""),"",'Cronograma R. Operacional'!$J71)</f>
        <v/>
      </c>
      <c r="K71" s="20">
        <f>IF('Cronograma R. Operacional'!$A71="","",'Cronograma R. Operacional'!$K71)</f>
        <v/>
      </c>
      <c r="L71" s="22">
        <f>IF('Cronograma R. Operacional'!$A71="","",IF(N('Cronograma R. Operacional'!$K71)&gt;=1,"Completado",IF(AND(ISNUMBER('Cronograma R. Operacional'!$E71),'Cronograma R. Operacional'!$E71&lt;FechaRef),"Vencida",IF(N('Cronograma R. Operacional'!$K71)&gt;0,"En curso","Pendiente"))))</f>
        <v/>
      </c>
      <c r="M71" s="41">
        <f>IF('Cronograma R. Operacional'!$A71="","",'Cronograma R. Operacional'!$M71&amp;"")</f>
        <v/>
      </c>
    </row>
    <row r="72">
      <c r="A72" s="22">
        <f>IF('Cronograma R. Operacional'!$A72="","",'Cronograma R. Operacional'!$A72)</f>
        <v/>
      </c>
      <c r="B72" s="41">
        <f>IF('Cronograma R. Operacional'!$A72="","",'Cronograma R. Operacional'!$B72&amp;"")</f>
        <v/>
      </c>
      <c r="C72" s="41">
        <f>IF('Cronograma R. Operacional'!$A72="","",'Cronograma R. Operacional'!$C72&amp;"")</f>
        <v/>
      </c>
      <c r="D72" s="63">
        <f>IF(OR('Cronograma R. Operacional'!$A72="",'Cronograma R. Operacional'!$D72=""),"",'Cronograma R. Operacional'!$D72)</f>
        <v/>
      </c>
      <c r="E72" s="63">
        <f>IF(OR('Cronograma R. Operacional'!$A72="",'Cronograma R. Operacional'!$E72=""),"",'Cronograma R. Operacional'!$E72)</f>
        <v/>
      </c>
      <c r="F72" s="22">
        <f>IF(OR('Cronograma R. Operacional'!$A72="",NOT(ISNUMBER('Cronograma R. Operacional'!$E72))),"",IF('Cronograma R. Operacional'!$E72&lt;InicioCiclo,"Antes del ciclo",IF('Cronograma R. Operacional'!$E72&gt;=InicioCiclo+28,"Después del ciclo","Semana "&amp;(INT(('Cronograma R. Operacional'!$E72-InicioCiclo)/7)+1))))</f>
        <v/>
      </c>
      <c r="G72" s="20">
        <f>IF(OR('Cronograma R. Operacional'!$A72="",'Cronograma R. Operacional'!$G72=""),"",'Cronograma R. Operacional'!$G72)</f>
        <v/>
      </c>
      <c r="H72" s="20">
        <f>IF(OR('Cronograma R. Operacional'!$A72="",'Cronograma R. Operacional'!$H72=""),"",'Cronograma R. Operacional'!$H72)</f>
        <v/>
      </c>
      <c r="I72" s="20">
        <f>IF(OR('Cronograma R. Operacional'!$A72="",'Cronograma R. Operacional'!$I72=""),"",'Cronograma R. Operacional'!$I72)</f>
        <v/>
      </c>
      <c r="J72" s="20">
        <f>IF(OR('Cronograma R. Operacional'!$A72="",'Cronograma R. Operacional'!$J72=""),"",'Cronograma R. Operacional'!$J72)</f>
        <v/>
      </c>
      <c r="K72" s="20">
        <f>IF('Cronograma R. Operacional'!$A72="","",'Cronograma R. Operacional'!$K72)</f>
        <v/>
      </c>
      <c r="L72" s="22">
        <f>IF('Cronograma R. Operacional'!$A72="","",IF(N('Cronograma R. Operacional'!$K72)&gt;=1,"Completado",IF(AND(ISNUMBER('Cronograma R. Operacional'!$E72),'Cronograma R. Operacional'!$E72&lt;FechaRef),"Vencida",IF(N('Cronograma R. Operacional'!$K72)&gt;0,"En curso","Pendiente"))))</f>
        <v/>
      </c>
      <c r="M72" s="41">
        <f>IF('Cronograma R. Operacional'!$A72="","",'Cronograma R. Operacional'!$M72&amp;"")</f>
        <v/>
      </c>
    </row>
    <row r="73">
      <c r="A73" s="22">
        <f>IF('Cronograma R. Operacional'!$A73="","",'Cronograma R. Operacional'!$A73)</f>
        <v/>
      </c>
      <c r="B73" s="41">
        <f>IF('Cronograma R. Operacional'!$A73="","",'Cronograma R. Operacional'!$B73&amp;"")</f>
        <v/>
      </c>
      <c r="C73" s="41">
        <f>IF('Cronograma R. Operacional'!$A73="","",'Cronograma R. Operacional'!$C73&amp;"")</f>
        <v/>
      </c>
      <c r="D73" s="63">
        <f>IF(OR('Cronograma R. Operacional'!$A73="",'Cronograma R. Operacional'!$D73=""),"",'Cronograma R. Operacional'!$D73)</f>
        <v/>
      </c>
      <c r="E73" s="63">
        <f>IF(OR('Cronograma R. Operacional'!$A73="",'Cronograma R. Operacional'!$E73=""),"",'Cronograma R. Operacional'!$E73)</f>
        <v/>
      </c>
      <c r="F73" s="22">
        <f>IF(OR('Cronograma R. Operacional'!$A73="",NOT(ISNUMBER('Cronograma R. Operacional'!$E73))),"",IF('Cronograma R. Operacional'!$E73&lt;InicioCiclo,"Antes del ciclo",IF('Cronograma R. Operacional'!$E73&gt;=InicioCiclo+28,"Después del ciclo","Semana "&amp;(INT(('Cronograma R. Operacional'!$E73-InicioCiclo)/7)+1))))</f>
        <v/>
      </c>
      <c r="G73" s="20">
        <f>IF(OR('Cronograma R. Operacional'!$A73="",'Cronograma R. Operacional'!$G73=""),"",'Cronograma R. Operacional'!$G73)</f>
        <v/>
      </c>
      <c r="H73" s="20">
        <f>IF(OR('Cronograma R. Operacional'!$A73="",'Cronograma R. Operacional'!$H73=""),"",'Cronograma R. Operacional'!$H73)</f>
        <v/>
      </c>
      <c r="I73" s="20">
        <f>IF(OR('Cronograma R. Operacional'!$A73="",'Cronograma R. Operacional'!$I73=""),"",'Cronograma R. Operacional'!$I73)</f>
        <v/>
      </c>
      <c r="J73" s="20">
        <f>IF(OR('Cronograma R. Operacional'!$A73="",'Cronograma R. Operacional'!$J73=""),"",'Cronograma R. Operacional'!$J73)</f>
        <v/>
      </c>
      <c r="K73" s="20">
        <f>IF('Cronograma R. Operacional'!$A73="","",'Cronograma R. Operacional'!$K73)</f>
        <v/>
      </c>
      <c r="L73" s="22">
        <f>IF('Cronograma R. Operacional'!$A73="","",IF(N('Cronograma R. Operacional'!$K73)&gt;=1,"Completado",IF(AND(ISNUMBER('Cronograma R. Operacional'!$E73),'Cronograma R. Operacional'!$E73&lt;FechaRef),"Vencida",IF(N('Cronograma R. Operacional'!$K73)&gt;0,"En curso","Pendiente"))))</f>
        <v/>
      </c>
      <c r="M73" s="41">
        <f>IF('Cronograma R. Operacional'!$A73="","",'Cronograma R. Operacional'!$M73&amp;"")</f>
        <v/>
      </c>
    </row>
    <row r="74">
      <c r="A74" s="22">
        <f>IF('Cronograma R. Operacional'!$A74="","",'Cronograma R. Operacional'!$A74)</f>
        <v/>
      </c>
      <c r="B74" s="41">
        <f>IF('Cronograma R. Operacional'!$A74="","",'Cronograma R. Operacional'!$B74&amp;"")</f>
        <v/>
      </c>
      <c r="C74" s="41">
        <f>IF('Cronograma R. Operacional'!$A74="","",'Cronograma R. Operacional'!$C74&amp;"")</f>
        <v/>
      </c>
      <c r="D74" s="63">
        <f>IF(OR('Cronograma R. Operacional'!$A74="",'Cronograma R. Operacional'!$D74=""),"",'Cronograma R. Operacional'!$D74)</f>
        <v/>
      </c>
      <c r="E74" s="63">
        <f>IF(OR('Cronograma R. Operacional'!$A74="",'Cronograma R. Operacional'!$E74=""),"",'Cronograma R. Operacional'!$E74)</f>
        <v/>
      </c>
      <c r="F74" s="22">
        <f>IF(OR('Cronograma R. Operacional'!$A74="",NOT(ISNUMBER('Cronograma R. Operacional'!$E74))),"",IF('Cronograma R. Operacional'!$E74&lt;InicioCiclo,"Antes del ciclo",IF('Cronograma R. Operacional'!$E74&gt;=InicioCiclo+28,"Después del ciclo","Semana "&amp;(INT(('Cronograma R. Operacional'!$E74-InicioCiclo)/7)+1))))</f>
        <v/>
      </c>
      <c r="G74" s="20">
        <f>IF(OR('Cronograma R. Operacional'!$A74="",'Cronograma R. Operacional'!$G74=""),"",'Cronograma R. Operacional'!$G74)</f>
        <v/>
      </c>
      <c r="H74" s="20">
        <f>IF(OR('Cronograma R. Operacional'!$A74="",'Cronograma R. Operacional'!$H74=""),"",'Cronograma R. Operacional'!$H74)</f>
        <v/>
      </c>
      <c r="I74" s="20">
        <f>IF(OR('Cronograma R. Operacional'!$A74="",'Cronograma R. Operacional'!$I74=""),"",'Cronograma R. Operacional'!$I74)</f>
        <v/>
      </c>
      <c r="J74" s="20">
        <f>IF(OR('Cronograma R. Operacional'!$A74="",'Cronograma R. Operacional'!$J74=""),"",'Cronograma R. Operacional'!$J74)</f>
        <v/>
      </c>
      <c r="K74" s="20">
        <f>IF('Cronograma R. Operacional'!$A74="","",'Cronograma R. Operacional'!$K74)</f>
        <v/>
      </c>
      <c r="L74" s="22">
        <f>IF('Cronograma R. Operacional'!$A74="","",IF(N('Cronograma R. Operacional'!$K74)&gt;=1,"Completado",IF(AND(ISNUMBER('Cronograma R. Operacional'!$E74),'Cronograma R. Operacional'!$E74&lt;FechaRef),"Vencida",IF(N('Cronograma R. Operacional'!$K74)&gt;0,"En curso","Pendiente"))))</f>
        <v/>
      </c>
      <c r="M74" s="41">
        <f>IF('Cronograma R. Operacional'!$A74="","",'Cronograma R. Operacional'!$M74&amp;"")</f>
        <v/>
      </c>
    </row>
    <row r="75">
      <c r="A75" s="22">
        <f>IF('Cronograma R. Operacional'!$A75="","",'Cronograma R. Operacional'!$A75)</f>
        <v/>
      </c>
      <c r="B75" s="41">
        <f>IF('Cronograma R. Operacional'!$A75="","",'Cronograma R. Operacional'!$B75&amp;"")</f>
        <v/>
      </c>
      <c r="C75" s="41">
        <f>IF('Cronograma R. Operacional'!$A75="","",'Cronograma R. Operacional'!$C75&amp;"")</f>
        <v/>
      </c>
      <c r="D75" s="63">
        <f>IF(OR('Cronograma R. Operacional'!$A75="",'Cronograma R. Operacional'!$D75=""),"",'Cronograma R. Operacional'!$D75)</f>
        <v/>
      </c>
      <c r="E75" s="63">
        <f>IF(OR('Cronograma R. Operacional'!$A75="",'Cronograma R. Operacional'!$E75=""),"",'Cronograma R. Operacional'!$E75)</f>
        <v/>
      </c>
      <c r="F75" s="22">
        <f>IF(OR('Cronograma R. Operacional'!$A75="",NOT(ISNUMBER('Cronograma R. Operacional'!$E75))),"",IF('Cronograma R. Operacional'!$E75&lt;InicioCiclo,"Antes del ciclo",IF('Cronograma R. Operacional'!$E75&gt;=InicioCiclo+28,"Después del ciclo","Semana "&amp;(INT(('Cronograma R. Operacional'!$E75-InicioCiclo)/7)+1))))</f>
        <v/>
      </c>
      <c r="G75" s="20">
        <f>IF(OR('Cronograma R. Operacional'!$A75="",'Cronograma R. Operacional'!$G75=""),"",'Cronograma R. Operacional'!$G75)</f>
        <v/>
      </c>
      <c r="H75" s="20">
        <f>IF(OR('Cronograma R. Operacional'!$A75="",'Cronograma R. Operacional'!$H75=""),"",'Cronograma R. Operacional'!$H75)</f>
        <v/>
      </c>
      <c r="I75" s="20">
        <f>IF(OR('Cronograma R. Operacional'!$A75="",'Cronograma R. Operacional'!$I75=""),"",'Cronograma R. Operacional'!$I75)</f>
        <v/>
      </c>
      <c r="J75" s="20">
        <f>IF(OR('Cronograma R. Operacional'!$A75="",'Cronograma R. Operacional'!$J75=""),"",'Cronograma R. Operacional'!$J75)</f>
        <v/>
      </c>
      <c r="K75" s="20">
        <f>IF('Cronograma R. Operacional'!$A75="","",'Cronograma R. Operacional'!$K75)</f>
        <v/>
      </c>
      <c r="L75" s="22">
        <f>IF('Cronograma R. Operacional'!$A75="","",IF(N('Cronograma R. Operacional'!$K75)&gt;=1,"Completado",IF(AND(ISNUMBER('Cronograma R. Operacional'!$E75),'Cronograma R. Operacional'!$E75&lt;FechaRef),"Vencida",IF(N('Cronograma R. Operacional'!$K75)&gt;0,"En curso","Pendiente"))))</f>
        <v/>
      </c>
      <c r="M75" s="41">
        <f>IF('Cronograma R. Operacional'!$A75="","",'Cronograma R. Operacional'!$M75&amp;"")</f>
        <v/>
      </c>
    </row>
    <row r="76">
      <c r="A76" s="22">
        <f>IF('Cronograma R. Operacional'!$A76="","",'Cronograma R. Operacional'!$A76)</f>
        <v/>
      </c>
      <c r="B76" s="41">
        <f>IF('Cronograma R. Operacional'!$A76="","",'Cronograma R. Operacional'!$B76&amp;"")</f>
        <v/>
      </c>
      <c r="C76" s="41">
        <f>IF('Cronograma R. Operacional'!$A76="","",'Cronograma R. Operacional'!$C76&amp;"")</f>
        <v/>
      </c>
      <c r="D76" s="63">
        <f>IF(OR('Cronograma R. Operacional'!$A76="",'Cronograma R. Operacional'!$D76=""),"",'Cronograma R. Operacional'!$D76)</f>
        <v/>
      </c>
      <c r="E76" s="63">
        <f>IF(OR('Cronograma R. Operacional'!$A76="",'Cronograma R. Operacional'!$E76=""),"",'Cronograma R. Operacional'!$E76)</f>
        <v/>
      </c>
      <c r="F76" s="22">
        <f>IF(OR('Cronograma R. Operacional'!$A76="",NOT(ISNUMBER('Cronograma R. Operacional'!$E76))),"",IF('Cronograma R. Operacional'!$E76&lt;InicioCiclo,"Antes del ciclo",IF('Cronograma R. Operacional'!$E76&gt;=InicioCiclo+28,"Después del ciclo","Semana "&amp;(INT(('Cronograma R. Operacional'!$E76-InicioCiclo)/7)+1))))</f>
        <v/>
      </c>
      <c r="G76" s="20">
        <f>IF(OR('Cronograma R. Operacional'!$A76="",'Cronograma R. Operacional'!$G76=""),"",'Cronograma R. Operacional'!$G76)</f>
        <v/>
      </c>
      <c r="H76" s="20">
        <f>IF(OR('Cronograma R. Operacional'!$A76="",'Cronograma R. Operacional'!$H76=""),"",'Cronograma R. Operacional'!$H76)</f>
        <v/>
      </c>
      <c r="I76" s="20">
        <f>IF(OR('Cronograma R. Operacional'!$A76="",'Cronograma R. Operacional'!$I76=""),"",'Cronograma R. Operacional'!$I76)</f>
        <v/>
      </c>
      <c r="J76" s="20">
        <f>IF(OR('Cronograma R. Operacional'!$A76="",'Cronograma R. Operacional'!$J76=""),"",'Cronograma R. Operacional'!$J76)</f>
        <v/>
      </c>
      <c r="K76" s="20">
        <f>IF('Cronograma R. Operacional'!$A76="","",'Cronograma R. Operacional'!$K76)</f>
        <v/>
      </c>
      <c r="L76" s="22">
        <f>IF('Cronograma R. Operacional'!$A76="","",IF(N('Cronograma R. Operacional'!$K76)&gt;=1,"Completado",IF(AND(ISNUMBER('Cronograma R. Operacional'!$E76),'Cronograma R. Operacional'!$E76&lt;FechaRef),"Vencida",IF(N('Cronograma R. Operacional'!$K76)&gt;0,"En curso","Pendiente"))))</f>
        <v/>
      </c>
      <c r="M76" s="41">
        <f>IF('Cronograma R. Operacional'!$A76="","",'Cronograma R. Operacional'!$M76&amp;"")</f>
        <v/>
      </c>
    </row>
    <row r="77">
      <c r="A77" s="22">
        <f>IF('Cronograma R. Operacional'!$A77="","",'Cronograma R. Operacional'!$A77)</f>
        <v/>
      </c>
      <c r="B77" s="41">
        <f>IF('Cronograma R. Operacional'!$A77="","",'Cronograma R. Operacional'!$B77&amp;"")</f>
        <v/>
      </c>
      <c r="C77" s="41">
        <f>IF('Cronograma R. Operacional'!$A77="","",'Cronograma R. Operacional'!$C77&amp;"")</f>
        <v/>
      </c>
      <c r="D77" s="63">
        <f>IF(OR('Cronograma R. Operacional'!$A77="",'Cronograma R. Operacional'!$D77=""),"",'Cronograma R. Operacional'!$D77)</f>
        <v/>
      </c>
      <c r="E77" s="63">
        <f>IF(OR('Cronograma R. Operacional'!$A77="",'Cronograma R. Operacional'!$E77=""),"",'Cronograma R. Operacional'!$E77)</f>
        <v/>
      </c>
      <c r="F77" s="22">
        <f>IF(OR('Cronograma R. Operacional'!$A77="",NOT(ISNUMBER('Cronograma R. Operacional'!$E77))),"",IF('Cronograma R. Operacional'!$E77&lt;InicioCiclo,"Antes del ciclo",IF('Cronograma R. Operacional'!$E77&gt;=InicioCiclo+28,"Después del ciclo","Semana "&amp;(INT(('Cronograma R. Operacional'!$E77-InicioCiclo)/7)+1))))</f>
        <v/>
      </c>
      <c r="G77" s="20">
        <f>IF(OR('Cronograma R. Operacional'!$A77="",'Cronograma R. Operacional'!$G77=""),"",'Cronograma R. Operacional'!$G77)</f>
        <v/>
      </c>
      <c r="H77" s="20">
        <f>IF(OR('Cronograma R. Operacional'!$A77="",'Cronograma R. Operacional'!$H77=""),"",'Cronograma R. Operacional'!$H77)</f>
        <v/>
      </c>
      <c r="I77" s="20">
        <f>IF(OR('Cronograma R. Operacional'!$A77="",'Cronograma R. Operacional'!$I77=""),"",'Cronograma R. Operacional'!$I77)</f>
        <v/>
      </c>
      <c r="J77" s="20">
        <f>IF(OR('Cronograma R. Operacional'!$A77="",'Cronograma R. Operacional'!$J77=""),"",'Cronograma R. Operacional'!$J77)</f>
        <v/>
      </c>
      <c r="K77" s="20">
        <f>IF('Cronograma R. Operacional'!$A77="","",'Cronograma R. Operacional'!$K77)</f>
        <v/>
      </c>
      <c r="L77" s="22">
        <f>IF('Cronograma R. Operacional'!$A77="","",IF(N('Cronograma R. Operacional'!$K77)&gt;=1,"Completado",IF(AND(ISNUMBER('Cronograma R. Operacional'!$E77),'Cronograma R. Operacional'!$E77&lt;FechaRef),"Vencida",IF(N('Cronograma R. Operacional'!$K77)&gt;0,"En curso","Pendiente"))))</f>
        <v/>
      </c>
      <c r="M77" s="41">
        <f>IF('Cronograma R. Operacional'!$A77="","",'Cronograma R. Operacional'!$M77&amp;"")</f>
        <v/>
      </c>
    </row>
    <row r="78">
      <c r="A78" s="22">
        <f>IF('Cronograma R. Operacional'!$A78="","",'Cronograma R. Operacional'!$A78)</f>
        <v/>
      </c>
      <c r="B78" s="41">
        <f>IF('Cronograma R. Operacional'!$A78="","",'Cronograma R. Operacional'!$B78&amp;"")</f>
        <v/>
      </c>
      <c r="C78" s="41">
        <f>IF('Cronograma R. Operacional'!$A78="","",'Cronograma R. Operacional'!$C78&amp;"")</f>
        <v/>
      </c>
      <c r="D78" s="63">
        <f>IF(OR('Cronograma R. Operacional'!$A78="",'Cronograma R. Operacional'!$D78=""),"",'Cronograma R. Operacional'!$D78)</f>
        <v/>
      </c>
      <c r="E78" s="63">
        <f>IF(OR('Cronograma R. Operacional'!$A78="",'Cronograma R. Operacional'!$E78=""),"",'Cronograma R. Operacional'!$E78)</f>
        <v/>
      </c>
      <c r="F78" s="22">
        <f>IF(OR('Cronograma R. Operacional'!$A78="",NOT(ISNUMBER('Cronograma R. Operacional'!$E78))),"",IF('Cronograma R. Operacional'!$E78&lt;InicioCiclo,"Antes del ciclo",IF('Cronograma R. Operacional'!$E78&gt;=InicioCiclo+28,"Después del ciclo","Semana "&amp;(INT(('Cronograma R. Operacional'!$E78-InicioCiclo)/7)+1))))</f>
        <v/>
      </c>
      <c r="G78" s="20">
        <f>IF(OR('Cronograma R. Operacional'!$A78="",'Cronograma R. Operacional'!$G78=""),"",'Cronograma R. Operacional'!$G78)</f>
        <v/>
      </c>
      <c r="H78" s="20">
        <f>IF(OR('Cronograma R. Operacional'!$A78="",'Cronograma R. Operacional'!$H78=""),"",'Cronograma R. Operacional'!$H78)</f>
        <v/>
      </c>
      <c r="I78" s="20">
        <f>IF(OR('Cronograma R. Operacional'!$A78="",'Cronograma R. Operacional'!$I78=""),"",'Cronograma R. Operacional'!$I78)</f>
        <v/>
      </c>
      <c r="J78" s="20">
        <f>IF(OR('Cronograma R. Operacional'!$A78="",'Cronograma R. Operacional'!$J78=""),"",'Cronograma R. Operacional'!$J78)</f>
        <v/>
      </c>
      <c r="K78" s="20">
        <f>IF('Cronograma R. Operacional'!$A78="","",'Cronograma R. Operacional'!$K78)</f>
        <v/>
      </c>
      <c r="L78" s="22">
        <f>IF('Cronograma R. Operacional'!$A78="","",IF(N('Cronograma R. Operacional'!$K78)&gt;=1,"Completado",IF(AND(ISNUMBER('Cronograma R. Operacional'!$E78),'Cronograma R. Operacional'!$E78&lt;FechaRef),"Vencida",IF(N('Cronograma R. Operacional'!$K78)&gt;0,"En curso","Pendiente"))))</f>
        <v/>
      </c>
      <c r="M78" s="41">
        <f>IF('Cronograma R. Operacional'!$A78="","",'Cronograma R. Operacional'!$M78&amp;"")</f>
        <v/>
      </c>
    </row>
    <row r="79">
      <c r="A79" s="22">
        <f>IF('Cronograma R. Operacional'!$A79="","",'Cronograma R. Operacional'!$A79)</f>
        <v/>
      </c>
      <c r="B79" s="41">
        <f>IF('Cronograma R. Operacional'!$A79="","",'Cronograma R. Operacional'!$B79&amp;"")</f>
        <v/>
      </c>
      <c r="C79" s="41">
        <f>IF('Cronograma R. Operacional'!$A79="","",'Cronograma R. Operacional'!$C79&amp;"")</f>
        <v/>
      </c>
      <c r="D79" s="63">
        <f>IF(OR('Cronograma R. Operacional'!$A79="",'Cronograma R. Operacional'!$D79=""),"",'Cronograma R. Operacional'!$D79)</f>
        <v/>
      </c>
      <c r="E79" s="63">
        <f>IF(OR('Cronograma R. Operacional'!$A79="",'Cronograma R. Operacional'!$E79=""),"",'Cronograma R. Operacional'!$E79)</f>
        <v/>
      </c>
      <c r="F79" s="22">
        <f>IF(OR('Cronograma R. Operacional'!$A79="",NOT(ISNUMBER('Cronograma R. Operacional'!$E79))),"",IF('Cronograma R. Operacional'!$E79&lt;InicioCiclo,"Antes del ciclo",IF('Cronograma R. Operacional'!$E79&gt;=InicioCiclo+28,"Después del ciclo","Semana "&amp;(INT(('Cronograma R. Operacional'!$E79-InicioCiclo)/7)+1))))</f>
        <v/>
      </c>
      <c r="G79" s="20">
        <f>IF(OR('Cronograma R. Operacional'!$A79="",'Cronograma R. Operacional'!$G79=""),"",'Cronograma R. Operacional'!$G79)</f>
        <v/>
      </c>
      <c r="H79" s="20">
        <f>IF(OR('Cronograma R. Operacional'!$A79="",'Cronograma R. Operacional'!$H79=""),"",'Cronograma R. Operacional'!$H79)</f>
        <v/>
      </c>
      <c r="I79" s="20">
        <f>IF(OR('Cronograma R. Operacional'!$A79="",'Cronograma R. Operacional'!$I79=""),"",'Cronograma R. Operacional'!$I79)</f>
        <v/>
      </c>
      <c r="J79" s="20">
        <f>IF(OR('Cronograma R. Operacional'!$A79="",'Cronograma R. Operacional'!$J79=""),"",'Cronograma R. Operacional'!$J79)</f>
        <v/>
      </c>
      <c r="K79" s="20">
        <f>IF('Cronograma R. Operacional'!$A79="","",'Cronograma R. Operacional'!$K79)</f>
        <v/>
      </c>
      <c r="L79" s="22">
        <f>IF('Cronograma R. Operacional'!$A79="","",IF(N('Cronograma R. Operacional'!$K79)&gt;=1,"Completado",IF(AND(ISNUMBER('Cronograma R. Operacional'!$E79),'Cronograma R. Operacional'!$E79&lt;FechaRef),"Vencida",IF(N('Cronograma R. Operacional'!$K79)&gt;0,"En curso","Pendiente"))))</f>
        <v/>
      </c>
      <c r="M79" s="41">
        <f>IF('Cronograma R. Operacional'!$A79="","",'Cronograma R. Operacional'!$M79&amp;"")</f>
        <v/>
      </c>
    </row>
    <row r="80">
      <c r="A80" s="22">
        <f>IF('Cronograma R. Operacional'!$A80="","",'Cronograma R. Operacional'!$A80)</f>
        <v/>
      </c>
      <c r="B80" s="41">
        <f>IF('Cronograma R. Operacional'!$A80="","",'Cronograma R. Operacional'!$B80&amp;"")</f>
        <v/>
      </c>
      <c r="C80" s="41">
        <f>IF('Cronograma R. Operacional'!$A80="","",'Cronograma R. Operacional'!$C80&amp;"")</f>
        <v/>
      </c>
      <c r="D80" s="63">
        <f>IF(OR('Cronograma R. Operacional'!$A80="",'Cronograma R. Operacional'!$D80=""),"",'Cronograma R. Operacional'!$D80)</f>
        <v/>
      </c>
      <c r="E80" s="63">
        <f>IF(OR('Cronograma R. Operacional'!$A80="",'Cronograma R. Operacional'!$E80=""),"",'Cronograma R. Operacional'!$E80)</f>
        <v/>
      </c>
      <c r="F80" s="22">
        <f>IF(OR('Cronograma R. Operacional'!$A80="",NOT(ISNUMBER('Cronograma R. Operacional'!$E80))),"",IF('Cronograma R. Operacional'!$E80&lt;InicioCiclo,"Antes del ciclo",IF('Cronograma R. Operacional'!$E80&gt;=InicioCiclo+28,"Después del ciclo","Semana "&amp;(INT(('Cronograma R. Operacional'!$E80-InicioCiclo)/7)+1))))</f>
        <v/>
      </c>
      <c r="G80" s="20">
        <f>IF(OR('Cronograma R. Operacional'!$A80="",'Cronograma R. Operacional'!$G80=""),"",'Cronograma R. Operacional'!$G80)</f>
        <v/>
      </c>
      <c r="H80" s="20">
        <f>IF(OR('Cronograma R. Operacional'!$A80="",'Cronograma R. Operacional'!$H80=""),"",'Cronograma R. Operacional'!$H80)</f>
        <v/>
      </c>
      <c r="I80" s="20">
        <f>IF(OR('Cronograma R. Operacional'!$A80="",'Cronograma R. Operacional'!$I80=""),"",'Cronograma R. Operacional'!$I80)</f>
        <v/>
      </c>
      <c r="J80" s="20">
        <f>IF(OR('Cronograma R. Operacional'!$A80="",'Cronograma R. Operacional'!$J80=""),"",'Cronograma R. Operacional'!$J80)</f>
        <v/>
      </c>
      <c r="K80" s="20">
        <f>IF('Cronograma R. Operacional'!$A80="","",'Cronograma R. Operacional'!$K80)</f>
        <v/>
      </c>
      <c r="L80" s="22">
        <f>IF('Cronograma R. Operacional'!$A80="","",IF(N('Cronograma R. Operacional'!$K80)&gt;=1,"Completado",IF(AND(ISNUMBER('Cronograma R. Operacional'!$E80),'Cronograma R. Operacional'!$E80&lt;FechaRef),"Vencida",IF(N('Cronograma R. Operacional'!$K80)&gt;0,"En curso","Pendiente"))))</f>
        <v/>
      </c>
      <c r="M80" s="41">
        <f>IF('Cronograma R. Operacional'!$A80="","",'Cronograma R. Operacional'!$M80&amp;"")</f>
        <v/>
      </c>
    </row>
    <row r="81">
      <c r="A81" s="22">
        <f>IF('Cronograma R. Operacional'!$A81="","",'Cronograma R. Operacional'!$A81)</f>
        <v/>
      </c>
      <c r="B81" s="41">
        <f>IF('Cronograma R. Operacional'!$A81="","",'Cronograma R. Operacional'!$B81&amp;"")</f>
        <v/>
      </c>
      <c r="C81" s="41">
        <f>IF('Cronograma R. Operacional'!$A81="","",'Cronograma R. Operacional'!$C81&amp;"")</f>
        <v/>
      </c>
      <c r="D81" s="63">
        <f>IF(OR('Cronograma R. Operacional'!$A81="",'Cronograma R. Operacional'!$D81=""),"",'Cronograma R. Operacional'!$D81)</f>
        <v/>
      </c>
      <c r="E81" s="63">
        <f>IF(OR('Cronograma R. Operacional'!$A81="",'Cronograma R. Operacional'!$E81=""),"",'Cronograma R. Operacional'!$E81)</f>
        <v/>
      </c>
      <c r="F81" s="22">
        <f>IF(OR('Cronograma R. Operacional'!$A81="",NOT(ISNUMBER('Cronograma R. Operacional'!$E81))),"",IF('Cronograma R. Operacional'!$E81&lt;InicioCiclo,"Antes del ciclo",IF('Cronograma R. Operacional'!$E81&gt;=InicioCiclo+28,"Después del ciclo","Semana "&amp;(INT(('Cronograma R. Operacional'!$E81-InicioCiclo)/7)+1))))</f>
        <v/>
      </c>
      <c r="G81" s="20">
        <f>IF(OR('Cronograma R. Operacional'!$A81="",'Cronograma R. Operacional'!$G81=""),"",'Cronograma R. Operacional'!$G81)</f>
        <v/>
      </c>
      <c r="H81" s="20">
        <f>IF(OR('Cronograma R. Operacional'!$A81="",'Cronograma R. Operacional'!$H81=""),"",'Cronograma R. Operacional'!$H81)</f>
        <v/>
      </c>
      <c r="I81" s="20">
        <f>IF(OR('Cronograma R. Operacional'!$A81="",'Cronograma R. Operacional'!$I81=""),"",'Cronograma R. Operacional'!$I81)</f>
        <v/>
      </c>
      <c r="J81" s="20">
        <f>IF(OR('Cronograma R. Operacional'!$A81="",'Cronograma R. Operacional'!$J81=""),"",'Cronograma R. Operacional'!$J81)</f>
        <v/>
      </c>
      <c r="K81" s="20">
        <f>IF('Cronograma R. Operacional'!$A81="","",'Cronograma R. Operacional'!$K81)</f>
        <v/>
      </c>
      <c r="L81" s="22">
        <f>IF('Cronograma R. Operacional'!$A81="","",IF(N('Cronograma R. Operacional'!$K81)&gt;=1,"Completado",IF(AND(ISNUMBER('Cronograma R. Operacional'!$E81),'Cronograma R. Operacional'!$E81&lt;FechaRef),"Vencida",IF(N('Cronograma R. Operacional'!$K81)&gt;0,"En curso","Pendiente"))))</f>
        <v/>
      </c>
      <c r="M81" s="41">
        <f>IF('Cronograma R. Operacional'!$A81="","",'Cronograma R. Operacional'!$M81&amp;"")</f>
        <v/>
      </c>
    </row>
    <row r="82">
      <c r="A82" s="22">
        <f>IF('Cronograma R. Operacional'!$A82="","",'Cronograma R. Operacional'!$A82)</f>
        <v/>
      </c>
      <c r="B82" s="41">
        <f>IF('Cronograma R. Operacional'!$A82="","",'Cronograma R. Operacional'!$B82&amp;"")</f>
        <v/>
      </c>
      <c r="C82" s="41">
        <f>IF('Cronograma R. Operacional'!$A82="","",'Cronograma R. Operacional'!$C82&amp;"")</f>
        <v/>
      </c>
      <c r="D82" s="63">
        <f>IF(OR('Cronograma R. Operacional'!$A82="",'Cronograma R. Operacional'!$D82=""),"",'Cronograma R. Operacional'!$D82)</f>
        <v/>
      </c>
      <c r="E82" s="63">
        <f>IF(OR('Cronograma R. Operacional'!$A82="",'Cronograma R. Operacional'!$E82=""),"",'Cronograma R. Operacional'!$E82)</f>
        <v/>
      </c>
      <c r="F82" s="22">
        <f>IF(OR('Cronograma R. Operacional'!$A82="",NOT(ISNUMBER('Cronograma R. Operacional'!$E82))),"",IF('Cronograma R. Operacional'!$E82&lt;InicioCiclo,"Antes del ciclo",IF('Cronograma R. Operacional'!$E82&gt;=InicioCiclo+28,"Después del ciclo","Semana "&amp;(INT(('Cronograma R. Operacional'!$E82-InicioCiclo)/7)+1))))</f>
        <v/>
      </c>
      <c r="G82" s="20">
        <f>IF(OR('Cronograma R. Operacional'!$A82="",'Cronograma R. Operacional'!$G82=""),"",'Cronograma R. Operacional'!$G82)</f>
        <v/>
      </c>
      <c r="H82" s="20">
        <f>IF(OR('Cronograma R. Operacional'!$A82="",'Cronograma R. Operacional'!$H82=""),"",'Cronograma R. Operacional'!$H82)</f>
        <v/>
      </c>
      <c r="I82" s="20">
        <f>IF(OR('Cronograma R. Operacional'!$A82="",'Cronograma R. Operacional'!$I82=""),"",'Cronograma R. Operacional'!$I82)</f>
        <v/>
      </c>
      <c r="J82" s="20">
        <f>IF(OR('Cronograma R. Operacional'!$A82="",'Cronograma R. Operacional'!$J82=""),"",'Cronograma R. Operacional'!$J82)</f>
        <v/>
      </c>
      <c r="K82" s="20">
        <f>IF('Cronograma R. Operacional'!$A82="","",'Cronograma R. Operacional'!$K82)</f>
        <v/>
      </c>
      <c r="L82" s="22">
        <f>IF('Cronograma R. Operacional'!$A82="","",IF(N('Cronograma R. Operacional'!$K82)&gt;=1,"Completado",IF(AND(ISNUMBER('Cronograma R. Operacional'!$E82),'Cronograma R. Operacional'!$E82&lt;FechaRef),"Vencida",IF(N('Cronograma R. Operacional'!$K82)&gt;0,"En curso","Pendiente"))))</f>
        <v/>
      </c>
      <c r="M82" s="41">
        <f>IF('Cronograma R. Operacional'!$A82="","",'Cronograma R. Operacional'!$M82&amp;"")</f>
        <v/>
      </c>
    </row>
    <row r="83">
      <c r="A83" s="22">
        <f>IF('Cronograma R. Operacional'!$A83="","",'Cronograma R. Operacional'!$A83)</f>
        <v/>
      </c>
      <c r="B83" s="41">
        <f>IF('Cronograma R. Operacional'!$A83="","",'Cronograma R. Operacional'!$B83&amp;"")</f>
        <v/>
      </c>
      <c r="C83" s="41">
        <f>IF('Cronograma R. Operacional'!$A83="","",'Cronograma R. Operacional'!$C83&amp;"")</f>
        <v/>
      </c>
      <c r="D83" s="63">
        <f>IF(OR('Cronograma R. Operacional'!$A83="",'Cronograma R. Operacional'!$D83=""),"",'Cronograma R. Operacional'!$D83)</f>
        <v/>
      </c>
      <c r="E83" s="63">
        <f>IF(OR('Cronograma R. Operacional'!$A83="",'Cronograma R. Operacional'!$E83=""),"",'Cronograma R. Operacional'!$E83)</f>
        <v/>
      </c>
      <c r="F83" s="22">
        <f>IF(OR('Cronograma R. Operacional'!$A83="",NOT(ISNUMBER('Cronograma R. Operacional'!$E83))),"",IF('Cronograma R. Operacional'!$E83&lt;InicioCiclo,"Antes del ciclo",IF('Cronograma R. Operacional'!$E83&gt;=InicioCiclo+28,"Después del ciclo","Semana "&amp;(INT(('Cronograma R. Operacional'!$E83-InicioCiclo)/7)+1))))</f>
        <v/>
      </c>
      <c r="G83" s="20">
        <f>IF(OR('Cronograma R. Operacional'!$A83="",'Cronograma R. Operacional'!$G83=""),"",'Cronograma R. Operacional'!$G83)</f>
        <v/>
      </c>
      <c r="H83" s="20">
        <f>IF(OR('Cronograma R. Operacional'!$A83="",'Cronograma R. Operacional'!$H83=""),"",'Cronograma R. Operacional'!$H83)</f>
        <v/>
      </c>
      <c r="I83" s="20">
        <f>IF(OR('Cronograma R. Operacional'!$A83="",'Cronograma R. Operacional'!$I83=""),"",'Cronograma R. Operacional'!$I83)</f>
        <v/>
      </c>
      <c r="J83" s="20">
        <f>IF(OR('Cronograma R. Operacional'!$A83="",'Cronograma R. Operacional'!$J83=""),"",'Cronograma R. Operacional'!$J83)</f>
        <v/>
      </c>
      <c r="K83" s="20">
        <f>IF('Cronograma R. Operacional'!$A83="","",'Cronograma R. Operacional'!$K83)</f>
        <v/>
      </c>
      <c r="L83" s="22">
        <f>IF('Cronograma R. Operacional'!$A83="","",IF(N('Cronograma R. Operacional'!$K83)&gt;=1,"Completado",IF(AND(ISNUMBER('Cronograma R. Operacional'!$E83),'Cronograma R. Operacional'!$E83&lt;FechaRef),"Vencida",IF(N('Cronograma R. Operacional'!$K83)&gt;0,"En curso","Pendiente"))))</f>
        <v/>
      </c>
      <c r="M83" s="41">
        <f>IF('Cronograma R. Operacional'!$A83="","",'Cronograma R. Operacional'!$M83&amp;"")</f>
        <v/>
      </c>
    </row>
    <row r="84">
      <c r="A84" s="22">
        <f>IF('Cronograma R. Operacional'!$A84="","",'Cronograma R. Operacional'!$A84)</f>
        <v/>
      </c>
      <c r="B84" s="41">
        <f>IF('Cronograma R. Operacional'!$A84="","",'Cronograma R. Operacional'!$B84&amp;"")</f>
        <v/>
      </c>
      <c r="C84" s="41">
        <f>IF('Cronograma R. Operacional'!$A84="","",'Cronograma R. Operacional'!$C84&amp;"")</f>
        <v/>
      </c>
      <c r="D84" s="63">
        <f>IF(OR('Cronograma R. Operacional'!$A84="",'Cronograma R. Operacional'!$D84=""),"",'Cronograma R. Operacional'!$D84)</f>
        <v/>
      </c>
      <c r="E84" s="63">
        <f>IF(OR('Cronograma R. Operacional'!$A84="",'Cronograma R. Operacional'!$E84=""),"",'Cronograma R. Operacional'!$E84)</f>
        <v/>
      </c>
      <c r="F84" s="22">
        <f>IF(OR('Cronograma R. Operacional'!$A84="",NOT(ISNUMBER('Cronograma R. Operacional'!$E84))),"",IF('Cronograma R. Operacional'!$E84&lt;InicioCiclo,"Antes del ciclo",IF('Cronograma R. Operacional'!$E84&gt;=InicioCiclo+28,"Después del ciclo","Semana "&amp;(INT(('Cronograma R. Operacional'!$E84-InicioCiclo)/7)+1))))</f>
        <v/>
      </c>
      <c r="G84" s="20">
        <f>IF(OR('Cronograma R. Operacional'!$A84="",'Cronograma R. Operacional'!$G84=""),"",'Cronograma R. Operacional'!$G84)</f>
        <v/>
      </c>
      <c r="H84" s="20">
        <f>IF(OR('Cronograma R. Operacional'!$A84="",'Cronograma R. Operacional'!$H84=""),"",'Cronograma R. Operacional'!$H84)</f>
        <v/>
      </c>
      <c r="I84" s="20">
        <f>IF(OR('Cronograma R. Operacional'!$A84="",'Cronograma R. Operacional'!$I84=""),"",'Cronograma R. Operacional'!$I84)</f>
        <v/>
      </c>
      <c r="J84" s="20">
        <f>IF(OR('Cronograma R. Operacional'!$A84="",'Cronograma R. Operacional'!$J84=""),"",'Cronograma R. Operacional'!$J84)</f>
        <v/>
      </c>
      <c r="K84" s="20">
        <f>IF('Cronograma R. Operacional'!$A84="","",'Cronograma R. Operacional'!$K84)</f>
        <v/>
      </c>
      <c r="L84" s="22">
        <f>IF('Cronograma R. Operacional'!$A84="","",IF(N('Cronograma R. Operacional'!$K84)&gt;=1,"Completado",IF(AND(ISNUMBER('Cronograma R. Operacional'!$E84),'Cronograma R. Operacional'!$E84&lt;FechaRef),"Vencida",IF(N('Cronograma R. Operacional'!$K84)&gt;0,"En curso","Pendiente"))))</f>
        <v/>
      </c>
      <c r="M84" s="41">
        <f>IF('Cronograma R. Operacional'!$A84="","",'Cronograma R. Operacional'!$M84&amp;"")</f>
        <v/>
      </c>
    </row>
    <row r="85">
      <c r="A85" s="22">
        <f>IF('Cronograma R. Operacional'!$A85="","",'Cronograma R. Operacional'!$A85)</f>
        <v/>
      </c>
      <c r="B85" s="41">
        <f>IF('Cronograma R. Operacional'!$A85="","",'Cronograma R. Operacional'!$B85&amp;"")</f>
        <v/>
      </c>
      <c r="C85" s="41">
        <f>IF('Cronograma R. Operacional'!$A85="","",'Cronograma R. Operacional'!$C85&amp;"")</f>
        <v/>
      </c>
      <c r="D85" s="63">
        <f>IF(OR('Cronograma R. Operacional'!$A85="",'Cronograma R. Operacional'!$D85=""),"",'Cronograma R. Operacional'!$D85)</f>
        <v/>
      </c>
      <c r="E85" s="63">
        <f>IF(OR('Cronograma R. Operacional'!$A85="",'Cronograma R. Operacional'!$E85=""),"",'Cronograma R. Operacional'!$E85)</f>
        <v/>
      </c>
      <c r="F85" s="22">
        <f>IF(OR('Cronograma R. Operacional'!$A85="",NOT(ISNUMBER('Cronograma R. Operacional'!$E85))),"",IF('Cronograma R. Operacional'!$E85&lt;InicioCiclo,"Antes del ciclo",IF('Cronograma R. Operacional'!$E85&gt;=InicioCiclo+28,"Después del ciclo","Semana "&amp;(INT(('Cronograma R. Operacional'!$E85-InicioCiclo)/7)+1))))</f>
        <v/>
      </c>
      <c r="G85" s="20">
        <f>IF(OR('Cronograma R. Operacional'!$A85="",'Cronograma R. Operacional'!$G85=""),"",'Cronograma R. Operacional'!$G85)</f>
        <v/>
      </c>
      <c r="H85" s="20">
        <f>IF(OR('Cronograma R. Operacional'!$A85="",'Cronograma R. Operacional'!$H85=""),"",'Cronograma R. Operacional'!$H85)</f>
        <v/>
      </c>
      <c r="I85" s="20">
        <f>IF(OR('Cronograma R. Operacional'!$A85="",'Cronograma R. Operacional'!$I85=""),"",'Cronograma R. Operacional'!$I85)</f>
        <v/>
      </c>
      <c r="J85" s="20">
        <f>IF(OR('Cronograma R. Operacional'!$A85="",'Cronograma R. Operacional'!$J85=""),"",'Cronograma R. Operacional'!$J85)</f>
        <v/>
      </c>
      <c r="K85" s="20">
        <f>IF('Cronograma R. Operacional'!$A85="","",'Cronograma R. Operacional'!$K85)</f>
        <v/>
      </c>
      <c r="L85" s="22">
        <f>IF('Cronograma R. Operacional'!$A85="","",IF(N('Cronograma R. Operacional'!$K85)&gt;=1,"Completado",IF(AND(ISNUMBER('Cronograma R. Operacional'!$E85),'Cronograma R. Operacional'!$E85&lt;FechaRef),"Vencida",IF(N('Cronograma R. Operacional'!$K85)&gt;0,"En curso","Pendiente"))))</f>
        <v/>
      </c>
      <c r="M85" s="41">
        <f>IF('Cronograma R. Operacional'!$A85="","",'Cronograma R. Operacional'!$M85&amp;"")</f>
        <v/>
      </c>
    </row>
    <row r="86">
      <c r="A86" s="22">
        <f>IF('Cronograma R. Operacional'!$A86="","",'Cronograma R. Operacional'!$A86)</f>
        <v/>
      </c>
      <c r="B86" s="41">
        <f>IF('Cronograma R. Operacional'!$A86="","",'Cronograma R. Operacional'!$B86&amp;"")</f>
        <v/>
      </c>
      <c r="C86" s="41">
        <f>IF('Cronograma R. Operacional'!$A86="","",'Cronograma R. Operacional'!$C86&amp;"")</f>
        <v/>
      </c>
      <c r="D86" s="63">
        <f>IF(OR('Cronograma R. Operacional'!$A86="",'Cronograma R. Operacional'!$D86=""),"",'Cronograma R. Operacional'!$D86)</f>
        <v/>
      </c>
      <c r="E86" s="63">
        <f>IF(OR('Cronograma R. Operacional'!$A86="",'Cronograma R. Operacional'!$E86=""),"",'Cronograma R. Operacional'!$E86)</f>
        <v/>
      </c>
      <c r="F86" s="22">
        <f>IF(OR('Cronograma R. Operacional'!$A86="",NOT(ISNUMBER('Cronograma R. Operacional'!$E86))),"",IF('Cronograma R. Operacional'!$E86&lt;InicioCiclo,"Antes del ciclo",IF('Cronograma R. Operacional'!$E86&gt;=InicioCiclo+28,"Después del ciclo","Semana "&amp;(INT(('Cronograma R. Operacional'!$E86-InicioCiclo)/7)+1))))</f>
        <v/>
      </c>
      <c r="G86" s="20">
        <f>IF(OR('Cronograma R. Operacional'!$A86="",'Cronograma R. Operacional'!$G86=""),"",'Cronograma R. Operacional'!$G86)</f>
        <v/>
      </c>
      <c r="H86" s="20">
        <f>IF(OR('Cronograma R. Operacional'!$A86="",'Cronograma R. Operacional'!$H86=""),"",'Cronograma R. Operacional'!$H86)</f>
        <v/>
      </c>
      <c r="I86" s="20">
        <f>IF(OR('Cronograma R. Operacional'!$A86="",'Cronograma R. Operacional'!$I86=""),"",'Cronograma R. Operacional'!$I86)</f>
        <v/>
      </c>
      <c r="J86" s="20">
        <f>IF(OR('Cronograma R. Operacional'!$A86="",'Cronograma R. Operacional'!$J86=""),"",'Cronograma R. Operacional'!$J86)</f>
        <v/>
      </c>
      <c r="K86" s="20">
        <f>IF('Cronograma R. Operacional'!$A86="","",'Cronograma R. Operacional'!$K86)</f>
        <v/>
      </c>
      <c r="L86" s="22">
        <f>IF('Cronograma R. Operacional'!$A86="","",IF(N('Cronograma R. Operacional'!$K86)&gt;=1,"Completado",IF(AND(ISNUMBER('Cronograma R. Operacional'!$E86),'Cronograma R. Operacional'!$E86&lt;FechaRef),"Vencida",IF(N('Cronograma R. Operacional'!$K86)&gt;0,"En curso","Pendiente"))))</f>
        <v/>
      </c>
      <c r="M86" s="41">
        <f>IF('Cronograma R. Operacional'!$A86="","",'Cronograma R. Operacional'!$M86&amp;"")</f>
        <v/>
      </c>
    </row>
    <row r="87">
      <c r="A87" s="22">
        <f>IF('Cronograma R. Operacional'!$A87="","",'Cronograma R. Operacional'!$A87)</f>
        <v/>
      </c>
      <c r="B87" s="41">
        <f>IF('Cronograma R. Operacional'!$A87="","",'Cronograma R. Operacional'!$B87&amp;"")</f>
        <v/>
      </c>
      <c r="C87" s="41">
        <f>IF('Cronograma R. Operacional'!$A87="","",'Cronograma R. Operacional'!$C87&amp;"")</f>
        <v/>
      </c>
      <c r="D87" s="63">
        <f>IF(OR('Cronograma R. Operacional'!$A87="",'Cronograma R. Operacional'!$D87=""),"",'Cronograma R. Operacional'!$D87)</f>
        <v/>
      </c>
      <c r="E87" s="63">
        <f>IF(OR('Cronograma R. Operacional'!$A87="",'Cronograma R. Operacional'!$E87=""),"",'Cronograma R. Operacional'!$E87)</f>
        <v/>
      </c>
      <c r="F87" s="22">
        <f>IF(OR('Cronograma R. Operacional'!$A87="",NOT(ISNUMBER('Cronograma R. Operacional'!$E87))),"",IF('Cronograma R. Operacional'!$E87&lt;InicioCiclo,"Antes del ciclo",IF('Cronograma R. Operacional'!$E87&gt;=InicioCiclo+28,"Después del ciclo","Semana "&amp;(INT(('Cronograma R. Operacional'!$E87-InicioCiclo)/7)+1))))</f>
        <v/>
      </c>
      <c r="G87" s="20">
        <f>IF(OR('Cronograma R. Operacional'!$A87="",'Cronograma R. Operacional'!$G87=""),"",'Cronograma R. Operacional'!$G87)</f>
        <v/>
      </c>
      <c r="H87" s="20">
        <f>IF(OR('Cronograma R. Operacional'!$A87="",'Cronograma R. Operacional'!$H87=""),"",'Cronograma R. Operacional'!$H87)</f>
        <v/>
      </c>
      <c r="I87" s="20">
        <f>IF(OR('Cronograma R. Operacional'!$A87="",'Cronograma R. Operacional'!$I87=""),"",'Cronograma R. Operacional'!$I87)</f>
        <v/>
      </c>
      <c r="J87" s="20">
        <f>IF(OR('Cronograma R. Operacional'!$A87="",'Cronograma R. Operacional'!$J87=""),"",'Cronograma R. Operacional'!$J87)</f>
        <v/>
      </c>
      <c r="K87" s="20">
        <f>IF('Cronograma R. Operacional'!$A87="","",'Cronograma R. Operacional'!$K87)</f>
        <v/>
      </c>
      <c r="L87" s="22">
        <f>IF('Cronograma R. Operacional'!$A87="","",IF(N('Cronograma R. Operacional'!$K87)&gt;=1,"Completado",IF(AND(ISNUMBER('Cronograma R. Operacional'!$E87),'Cronograma R. Operacional'!$E87&lt;FechaRef),"Vencida",IF(N('Cronograma R. Operacional'!$K87)&gt;0,"En curso","Pendiente"))))</f>
        <v/>
      </c>
      <c r="M87" s="41">
        <f>IF('Cronograma R. Operacional'!$A87="","",'Cronograma R. Operacional'!$M87&amp;"")</f>
        <v/>
      </c>
    </row>
    <row r="88">
      <c r="A88" s="22">
        <f>IF('Cronograma R. Operacional'!$A88="","",'Cronograma R. Operacional'!$A88)</f>
        <v/>
      </c>
      <c r="B88" s="41">
        <f>IF('Cronograma R. Operacional'!$A88="","",'Cronograma R. Operacional'!$B88&amp;"")</f>
        <v/>
      </c>
      <c r="C88" s="41">
        <f>IF('Cronograma R. Operacional'!$A88="","",'Cronograma R. Operacional'!$C88&amp;"")</f>
        <v/>
      </c>
      <c r="D88" s="63">
        <f>IF(OR('Cronograma R. Operacional'!$A88="",'Cronograma R. Operacional'!$D88=""),"",'Cronograma R. Operacional'!$D88)</f>
        <v/>
      </c>
      <c r="E88" s="63">
        <f>IF(OR('Cronograma R. Operacional'!$A88="",'Cronograma R. Operacional'!$E88=""),"",'Cronograma R. Operacional'!$E88)</f>
        <v/>
      </c>
      <c r="F88" s="22">
        <f>IF(OR('Cronograma R. Operacional'!$A88="",NOT(ISNUMBER('Cronograma R. Operacional'!$E88))),"",IF('Cronograma R. Operacional'!$E88&lt;InicioCiclo,"Antes del ciclo",IF('Cronograma R. Operacional'!$E88&gt;=InicioCiclo+28,"Después del ciclo","Semana "&amp;(INT(('Cronograma R. Operacional'!$E88-InicioCiclo)/7)+1))))</f>
        <v/>
      </c>
      <c r="G88" s="20">
        <f>IF(OR('Cronograma R. Operacional'!$A88="",'Cronograma R. Operacional'!$G88=""),"",'Cronograma R. Operacional'!$G88)</f>
        <v/>
      </c>
      <c r="H88" s="20">
        <f>IF(OR('Cronograma R. Operacional'!$A88="",'Cronograma R. Operacional'!$H88=""),"",'Cronograma R. Operacional'!$H88)</f>
        <v/>
      </c>
      <c r="I88" s="20">
        <f>IF(OR('Cronograma R. Operacional'!$A88="",'Cronograma R. Operacional'!$I88=""),"",'Cronograma R. Operacional'!$I88)</f>
        <v/>
      </c>
      <c r="J88" s="20">
        <f>IF(OR('Cronograma R. Operacional'!$A88="",'Cronograma R. Operacional'!$J88=""),"",'Cronograma R. Operacional'!$J88)</f>
        <v/>
      </c>
      <c r="K88" s="20">
        <f>IF('Cronograma R. Operacional'!$A88="","",'Cronograma R. Operacional'!$K88)</f>
        <v/>
      </c>
      <c r="L88" s="22">
        <f>IF('Cronograma R. Operacional'!$A88="","",IF(N('Cronograma R. Operacional'!$K88)&gt;=1,"Completado",IF(AND(ISNUMBER('Cronograma R. Operacional'!$E88),'Cronograma R. Operacional'!$E88&lt;FechaRef),"Vencida",IF(N('Cronograma R. Operacional'!$K88)&gt;0,"En curso","Pendiente"))))</f>
        <v/>
      </c>
      <c r="M88" s="41">
        <f>IF('Cronograma R. Operacional'!$A88="","",'Cronograma R. Operacional'!$M88&amp;"")</f>
        <v/>
      </c>
    </row>
    <row r="89">
      <c r="A89" s="22">
        <f>IF('Cronograma R. Operacional'!$A89="","",'Cronograma R. Operacional'!$A89)</f>
        <v/>
      </c>
      <c r="B89" s="41">
        <f>IF('Cronograma R. Operacional'!$A89="","",'Cronograma R. Operacional'!$B89&amp;"")</f>
        <v/>
      </c>
      <c r="C89" s="41">
        <f>IF('Cronograma R. Operacional'!$A89="","",'Cronograma R. Operacional'!$C89&amp;"")</f>
        <v/>
      </c>
      <c r="D89" s="63">
        <f>IF(OR('Cronograma R. Operacional'!$A89="",'Cronograma R. Operacional'!$D89=""),"",'Cronograma R. Operacional'!$D89)</f>
        <v/>
      </c>
      <c r="E89" s="63">
        <f>IF(OR('Cronograma R. Operacional'!$A89="",'Cronograma R. Operacional'!$E89=""),"",'Cronograma R. Operacional'!$E89)</f>
        <v/>
      </c>
      <c r="F89" s="22">
        <f>IF(OR('Cronograma R. Operacional'!$A89="",NOT(ISNUMBER('Cronograma R. Operacional'!$E89))),"",IF('Cronograma R. Operacional'!$E89&lt;InicioCiclo,"Antes del ciclo",IF('Cronograma R. Operacional'!$E89&gt;=InicioCiclo+28,"Después del ciclo","Semana "&amp;(INT(('Cronograma R. Operacional'!$E89-InicioCiclo)/7)+1))))</f>
        <v/>
      </c>
      <c r="G89" s="20">
        <f>IF(OR('Cronograma R. Operacional'!$A89="",'Cronograma R. Operacional'!$G89=""),"",'Cronograma R. Operacional'!$G89)</f>
        <v/>
      </c>
      <c r="H89" s="20">
        <f>IF(OR('Cronograma R. Operacional'!$A89="",'Cronograma R. Operacional'!$H89=""),"",'Cronograma R. Operacional'!$H89)</f>
        <v/>
      </c>
      <c r="I89" s="20">
        <f>IF(OR('Cronograma R. Operacional'!$A89="",'Cronograma R. Operacional'!$I89=""),"",'Cronograma R. Operacional'!$I89)</f>
        <v/>
      </c>
      <c r="J89" s="20">
        <f>IF(OR('Cronograma R. Operacional'!$A89="",'Cronograma R. Operacional'!$J89=""),"",'Cronograma R. Operacional'!$J89)</f>
        <v/>
      </c>
      <c r="K89" s="20">
        <f>IF('Cronograma R. Operacional'!$A89="","",'Cronograma R. Operacional'!$K89)</f>
        <v/>
      </c>
      <c r="L89" s="22">
        <f>IF('Cronograma R. Operacional'!$A89="","",IF(N('Cronograma R. Operacional'!$K89)&gt;=1,"Completado",IF(AND(ISNUMBER('Cronograma R. Operacional'!$E89),'Cronograma R. Operacional'!$E89&lt;FechaRef),"Vencida",IF(N('Cronograma R. Operacional'!$K89)&gt;0,"En curso","Pendiente"))))</f>
        <v/>
      </c>
      <c r="M89" s="41">
        <f>IF('Cronograma R. Operacional'!$A89="","",'Cronograma R. Operacional'!$M89&amp;"")</f>
        <v/>
      </c>
    </row>
    <row r="90">
      <c r="A90" s="22">
        <f>IF('Cronograma R. Operacional'!$A90="","",'Cronograma R. Operacional'!$A90)</f>
        <v/>
      </c>
      <c r="B90" s="41">
        <f>IF('Cronograma R. Operacional'!$A90="","",'Cronograma R. Operacional'!$B90&amp;"")</f>
        <v/>
      </c>
      <c r="C90" s="41">
        <f>IF('Cronograma R. Operacional'!$A90="","",'Cronograma R. Operacional'!$C90&amp;"")</f>
        <v/>
      </c>
      <c r="D90" s="63">
        <f>IF(OR('Cronograma R. Operacional'!$A90="",'Cronograma R. Operacional'!$D90=""),"",'Cronograma R. Operacional'!$D90)</f>
        <v/>
      </c>
      <c r="E90" s="63">
        <f>IF(OR('Cronograma R. Operacional'!$A90="",'Cronograma R. Operacional'!$E90=""),"",'Cronograma R. Operacional'!$E90)</f>
        <v/>
      </c>
      <c r="F90" s="22">
        <f>IF(OR('Cronograma R. Operacional'!$A90="",NOT(ISNUMBER('Cronograma R. Operacional'!$E90))),"",IF('Cronograma R. Operacional'!$E90&lt;InicioCiclo,"Antes del ciclo",IF('Cronograma R. Operacional'!$E90&gt;=InicioCiclo+28,"Después del ciclo","Semana "&amp;(INT(('Cronograma R. Operacional'!$E90-InicioCiclo)/7)+1))))</f>
        <v/>
      </c>
      <c r="G90" s="20">
        <f>IF(OR('Cronograma R. Operacional'!$A90="",'Cronograma R. Operacional'!$G90=""),"",'Cronograma R. Operacional'!$G90)</f>
        <v/>
      </c>
      <c r="H90" s="20">
        <f>IF(OR('Cronograma R. Operacional'!$A90="",'Cronograma R. Operacional'!$H90=""),"",'Cronograma R. Operacional'!$H90)</f>
        <v/>
      </c>
      <c r="I90" s="20">
        <f>IF(OR('Cronograma R. Operacional'!$A90="",'Cronograma R. Operacional'!$I90=""),"",'Cronograma R. Operacional'!$I90)</f>
        <v/>
      </c>
      <c r="J90" s="20">
        <f>IF(OR('Cronograma R. Operacional'!$A90="",'Cronograma R. Operacional'!$J90=""),"",'Cronograma R. Operacional'!$J90)</f>
        <v/>
      </c>
      <c r="K90" s="20">
        <f>IF('Cronograma R. Operacional'!$A90="","",'Cronograma R. Operacional'!$K90)</f>
        <v/>
      </c>
      <c r="L90" s="22">
        <f>IF('Cronograma R. Operacional'!$A90="","",IF(N('Cronograma R. Operacional'!$K90)&gt;=1,"Completado",IF(AND(ISNUMBER('Cronograma R. Operacional'!$E90),'Cronograma R. Operacional'!$E90&lt;FechaRef),"Vencida",IF(N('Cronograma R. Operacional'!$K90)&gt;0,"En curso","Pendiente"))))</f>
        <v/>
      </c>
      <c r="M90" s="41">
        <f>IF('Cronograma R. Operacional'!$A90="","",'Cronograma R. Operacional'!$M90&amp;"")</f>
        <v/>
      </c>
    </row>
    <row r="91">
      <c r="A91" s="22">
        <f>IF('Cronograma R. Operacional'!$A91="","",'Cronograma R. Operacional'!$A91)</f>
        <v/>
      </c>
      <c r="B91" s="41">
        <f>IF('Cronograma R. Operacional'!$A91="","",'Cronograma R. Operacional'!$B91&amp;"")</f>
        <v/>
      </c>
      <c r="C91" s="41">
        <f>IF('Cronograma R. Operacional'!$A91="","",'Cronograma R. Operacional'!$C91&amp;"")</f>
        <v/>
      </c>
      <c r="D91" s="63">
        <f>IF(OR('Cronograma R. Operacional'!$A91="",'Cronograma R. Operacional'!$D91=""),"",'Cronograma R. Operacional'!$D91)</f>
        <v/>
      </c>
      <c r="E91" s="63">
        <f>IF(OR('Cronograma R. Operacional'!$A91="",'Cronograma R. Operacional'!$E91=""),"",'Cronograma R. Operacional'!$E91)</f>
        <v/>
      </c>
      <c r="F91" s="22">
        <f>IF(OR('Cronograma R. Operacional'!$A91="",NOT(ISNUMBER('Cronograma R. Operacional'!$E91))),"",IF('Cronograma R. Operacional'!$E91&lt;InicioCiclo,"Antes del ciclo",IF('Cronograma R. Operacional'!$E91&gt;=InicioCiclo+28,"Después del ciclo","Semana "&amp;(INT(('Cronograma R. Operacional'!$E91-InicioCiclo)/7)+1))))</f>
        <v/>
      </c>
      <c r="G91" s="20">
        <f>IF(OR('Cronograma R. Operacional'!$A91="",'Cronograma R. Operacional'!$G91=""),"",'Cronograma R. Operacional'!$G91)</f>
        <v/>
      </c>
      <c r="H91" s="20">
        <f>IF(OR('Cronograma R. Operacional'!$A91="",'Cronograma R. Operacional'!$H91=""),"",'Cronograma R. Operacional'!$H91)</f>
        <v/>
      </c>
      <c r="I91" s="20">
        <f>IF(OR('Cronograma R. Operacional'!$A91="",'Cronograma R. Operacional'!$I91=""),"",'Cronograma R. Operacional'!$I91)</f>
        <v/>
      </c>
      <c r="J91" s="20">
        <f>IF(OR('Cronograma R. Operacional'!$A91="",'Cronograma R. Operacional'!$J91=""),"",'Cronograma R. Operacional'!$J91)</f>
        <v/>
      </c>
      <c r="K91" s="20">
        <f>IF('Cronograma R. Operacional'!$A91="","",'Cronograma R. Operacional'!$K91)</f>
        <v/>
      </c>
      <c r="L91" s="22">
        <f>IF('Cronograma R. Operacional'!$A91="","",IF(N('Cronograma R. Operacional'!$K91)&gt;=1,"Completado",IF(AND(ISNUMBER('Cronograma R. Operacional'!$E91),'Cronograma R. Operacional'!$E91&lt;FechaRef),"Vencida",IF(N('Cronograma R. Operacional'!$K91)&gt;0,"En curso","Pendiente"))))</f>
        <v/>
      </c>
      <c r="M91" s="41">
        <f>IF('Cronograma R. Operacional'!$A91="","",'Cronograma R. Operacional'!$M91&amp;"")</f>
        <v/>
      </c>
    </row>
    <row r="92">
      <c r="A92" s="22">
        <f>IF('Cronograma R. Operacional'!$A92="","",'Cronograma R. Operacional'!$A92)</f>
        <v/>
      </c>
      <c r="B92" s="41">
        <f>IF('Cronograma R. Operacional'!$A92="","",'Cronograma R. Operacional'!$B92&amp;"")</f>
        <v/>
      </c>
      <c r="C92" s="41">
        <f>IF('Cronograma R. Operacional'!$A92="","",'Cronograma R. Operacional'!$C92&amp;"")</f>
        <v/>
      </c>
      <c r="D92" s="63">
        <f>IF(OR('Cronograma R. Operacional'!$A92="",'Cronograma R. Operacional'!$D92=""),"",'Cronograma R. Operacional'!$D92)</f>
        <v/>
      </c>
      <c r="E92" s="63">
        <f>IF(OR('Cronograma R. Operacional'!$A92="",'Cronograma R. Operacional'!$E92=""),"",'Cronograma R. Operacional'!$E92)</f>
        <v/>
      </c>
      <c r="F92" s="22">
        <f>IF(OR('Cronograma R. Operacional'!$A92="",NOT(ISNUMBER('Cronograma R. Operacional'!$E92))),"",IF('Cronograma R. Operacional'!$E92&lt;InicioCiclo,"Antes del ciclo",IF('Cronograma R. Operacional'!$E92&gt;=InicioCiclo+28,"Después del ciclo","Semana "&amp;(INT(('Cronograma R. Operacional'!$E92-InicioCiclo)/7)+1))))</f>
        <v/>
      </c>
      <c r="G92" s="20">
        <f>IF(OR('Cronograma R. Operacional'!$A92="",'Cronograma R. Operacional'!$G92=""),"",'Cronograma R. Operacional'!$G92)</f>
        <v/>
      </c>
      <c r="H92" s="20">
        <f>IF(OR('Cronograma R. Operacional'!$A92="",'Cronograma R. Operacional'!$H92=""),"",'Cronograma R. Operacional'!$H92)</f>
        <v/>
      </c>
      <c r="I92" s="20">
        <f>IF(OR('Cronograma R. Operacional'!$A92="",'Cronograma R. Operacional'!$I92=""),"",'Cronograma R. Operacional'!$I92)</f>
        <v/>
      </c>
      <c r="J92" s="20">
        <f>IF(OR('Cronograma R. Operacional'!$A92="",'Cronograma R. Operacional'!$J92=""),"",'Cronograma R. Operacional'!$J92)</f>
        <v/>
      </c>
      <c r="K92" s="20">
        <f>IF('Cronograma R. Operacional'!$A92="","",'Cronograma R. Operacional'!$K92)</f>
        <v/>
      </c>
      <c r="L92" s="22">
        <f>IF('Cronograma R. Operacional'!$A92="","",IF(N('Cronograma R. Operacional'!$K92)&gt;=1,"Completado",IF(AND(ISNUMBER('Cronograma R. Operacional'!$E92),'Cronograma R. Operacional'!$E92&lt;FechaRef),"Vencida",IF(N('Cronograma R. Operacional'!$K92)&gt;0,"En curso","Pendiente"))))</f>
        <v/>
      </c>
      <c r="M92" s="41">
        <f>IF('Cronograma R. Operacional'!$A92="","",'Cronograma R. Operacional'!$M92&amp;"")</f>
        <v/>
      </c>
    </row>
    <row r="93">
      <c r="A93" s="22">
        <f>IF('Cronograma R. Operacional'!$A93="","",'Cronograma R. Operacional'!$A93)</f>
        <v/>
      </c>
      <c r="B93" s="41">
        <f>IF('Cronograma R. Operacional'!$A93="","",'Cronograma R. Operacional'!$B93&amp;"")</f>
        <v/>
      </c>
      <c r="C93" s="41">
        <f>IF('Cronograma R. Operacional'!$A93="","",'Cronograma R. Operacional'!$C93&amp;"")</f>
        <v/>
      </c>
      <c r="D93" s="63">
        <f>IF(OR('Cronograma R. Operacional'!$A93="",'Cronograma R. Operacional'!$D93=""),"",'Cronograma R. Operacional'!$D93)</f>
        <v/>
      </c>
      <c r="E93" s="63">
        <f>IF(OR('Cronograma R. Operacional'!$A93="",'Cronograma R. Operacional'!$E93=""),"",'Cronograma R. Operacional'!$E93)</f>
        <v/>
      </c>
      <c r="F93" s="22">
        <f>IF(OR('Cronograma R. Operacional'!$A93="",NOT(ISNUMBER('Cronograma R. Operacional'!$E93))),"",IF('Cronograma R. Operacional'!$E93&lt;InicioCiclo,"Antes del ciclo",IF('Cronograma R. Operacional'!$E93&gt;=InicioCiclo+28,"Después del ciclo","Semana "&amp;(INT(('Cronograma R. Operacional'!$E93-InicioCiclo)/7)+1))))</f>
        <v/>
      </c>
      <c r="G93" s="20">
        <f>IF(OR('Cronograma R. Operacional'!$A93="",'Cronograma R. Operacional'!$G93=""),"",'Cronograma R. Operacional'!$G93)</f>
        <v/>
      </c>
      <c r="H93" s="20">
        <f>IF(OR('Cronograma R. Operacional'!$A93="",'Cronograma R. Operacional'!$H93=""),"",'Cronograma R. Operacional'!$H93)</f>
        <v/>
      </c>
      <c r="I93" s="20">
        <f>IF(OR('Cronograma R. Operacional'!$A93="",'Cronograma R. Operacional'!$I93=""),"",'Cronograma R. Operacional'!$I93)</f>
        <v/>
      </c>
      <c r="J93" s="20">
        <f>IF(OR('Cronograma R. Operacional'!$A93="",'Cronograma R. Operacional'!$J93=""),"",'Cronograma R. Operacional'!$J93)</f>
        <v/>
      </c>
      <c r="K93" s="20">
        <f>IF('Cronograma R. Operacional'!$A93="","",'Cronograma R. Operacional'!$K93)</f>
        <v/>
      </c>
      <c r="L93" s="22">
        <f>IF('Cronograma R. Operacional'!$A93="","",IF(N('Cronograma R. Operacional'!$K93)&gt;=1,"Completado",IF(AND(ISNUMBER('Cronograma R. Operacional'!$E93),'Cronograma R. Operacional'!$E93&lt;FechaRef),"Vencida",IF(N('Cronograma R. Operacional'!$K93)&gt;0,"En curso","Pendiente"))))</f>
        <v/>
      </c>
      <c r="M93" s="41">
        <f>IF('Cronograma R. Operacional'!$A93="","",'Cronograma R. Operacional'!$M93&amp;"")</f>
        <v/>
      </c>
    </row>
    <row r="94">
      <c r="A94" s="22">
        <f>IF('Cronograma R. Operacional'!$A94="","",'Cronograma R. Operacional'!$A94)</f>
        <v/>
      </c>
      <c r="B94" s="41">
        <f>IF('Cronograma R. Operacional'!$A94="","",'Cronograma R. Operacional'!$B94&amp;"")</f>
        <v/>
      </c>
      <c r="C94" s="41">
        <f>IF('Cronograma R. Operacional'!$A94="","",'Cronograma R. Operacional'!$C94&amp;"")</f>
        <v/>
      </c>
      <c r="D94" s="63">
        <f>IF(OR('Cronograma R. Operacional'!$A94="",'Cronograma R. Operacional'!$D94=""),"",'Cronograma R. Operacional'!$D94)</f>
        <v/>
      </c>
      <c r="E94" s="63">
        <f>IF(OR('Cronograma R. Operacional'!$A94="",'Cronograma R. Operacional'!$E94=""),"",'Cronograma R. Operacional'!$E94)</f>
        <v/>
      </c>
      <c r="F94" s="22">
        <f>IF(OR('Cronograma R. Operacional'!$A94="",NOT(ISNUMBER('Cronograma R. Operacional'!$E94))),"",IF('Cronograma R. Operacional'!$E94&lt;InicioCiclo,"Antes del ciclo",IF('Cronograma R. Operacional'!$E94&gt;=InicioCiclo+28,"Después del ciclo","Semana "&amp;(INT(('Cronograma R. Operacional'!$E94-InicioCiclo)/7)+1))))</f>
        <v/>
      </c>
      <c r="G94" s="20">
        <f>IF(OR('Cronograma R. Operacional'!$A94="",'Cronograma R. Operacional'!$G94=""),"",'Cronograma R. Operacional'!$G94)</f>
        <v/>
      </c>
      <c r="H94" s="20">
        <f>IF(OR('Cronograma R. Operacional'!$A94="",'Cronograma R. Operacional'!$H94=""),"",'Cronograma R. Operacional'!$H94)</f>
        <v/>
      </c>
      <c r="I94" s="20">
        <f>IF(OR('Cronograma R. Operacional'!$A94="",'Cronograma R. Operacional'!$I94=""),"",'Cronograma R. Operacional'!$I94)</f>
        <v/>
      </c>
      <c r="J94" s="20">
        <f>IF(OR('Cronograma R. Operacional'!$A94="",'Cronograma R. Operacional'!$J94=""),"",'Cronograma R. Operacional'!$J94)</f>
        <v/>
      </c>
      <c r="K94" s="20">
        <f>IF('Cronograma R. Operacional'!$A94="","",'Cronograma R. Operacional'!$K94)</f>
        <v/>
      </c>
      <c r="L94" s="22">
        <f>IF('Cronograma R. Operacional'!$A94="","",IF(N('Cronograma R. Operacional'!$K94)&gt;=1,"Completado",IF(AND(ISNUMBER('Cronograma R. Operacional'!$E94),'Cronograma R. Operacional'!$E94&lt;FechaRef),"Vencida",IF(N('Cronograma R. Operacional'!$K94)&gt;0,"En curso","Pendiente"))))</f>
        <v/>
      </c>
      <c r="M94" s="41">
        <f>IF('Cronograma R. Operacional'!$A94="","",'Cronograma R. Operacional'!$M94&amp;"")</f>
        <v/>
      </c>
    </row>
    <row r="95">
      <c r="A95" s="22">
        <f>IF('Cronograma R. Operacional'!$A95="","",'Cronograma R. Operacional'!$A95)</f>
        <v/>
      </c>
      <c r="B95" s="41">
        <f>IF('Cronograma R. Operacional'!$A95="","",'Cronograma R. Operacional'!$B95&amp;"")</f>
        <v/>
      </c>
      <c r="C95" s="41">
        <f>IF('Cronograma R. Operacional'!$A95="","",'Cronograma R. Operacional'!$C95&amp;"")</f>
        <v/>
      </c>
      <c r="D95" s="63">
        <f>IF(OR('Cronograma R. Operacional'!$A95="",'Cronograma R. Operacional'!$D95=""),"",'Cronograma R. Operacional'!$D95)</f>
        <v/>
      </c>
      <c r="E95" s="63">
        <f>IF(OR('Cronograma R. Operacional'!$A95="",'Cronograma R. Operacional'!$E95=""),"",'Cronograma R. Operacional'!$E95)</f>
        <v/>
      </c>
      <c r="F95" s="22">
        <f>IF(OR('Cronograma R. Operacional'!$A95="",NOT(ISNUMBER('Cronograma R. Operacional'!$E95))),"",IF('Cronograma R. Operacional'!$E95&lt;InicioCiclo,"Antes del ciclo",IF('Cronograma R. Operacional'!$E95&gt;=InicioCiclo+28,"Después del ciclo","Semana "&amp;(INT(('Cronograma R. Operacional'!$E95-InicioCiclo)/7)+1))))</f>
        <v/>
      </c>
      <c r="G95" s="20">
        <f>IF(OR('Cronograma R. Operacional'!$A95="",'Cronograma R. Operacional'!$G95=""),"",'Cronograma R. Operacional'!$G95)</f>
        <v/>
      </c>
      <c r="H95" s="20">
        <f>IF(OR('Cronograma R. Operacional'!$A95="",'Cronograma R. Operacional'!$H95=""),"",'Cronograma R. Operacional'!$H95)</f>
        <v/>
      </c>
      <c r="I95" s="20">
        <f>IF(OR('Cronograma R. Operacional'!$A95="",'Cronograma R. Operacional'!$I95=""),"",'Cronograma R. Operacional'!$I95)</f>
        <v/>
      </c>
      <c r="J95" s="20">
        <f>IF(OR('Cronograma R. Operacional'!$A95="",'Cronograma R. Operacional'!$J95=""),"",'Cronograma R. Operacional'!$J95)</f>
        <v/>
      </c>
      <c r="K95" s="20">
        <f>IF('Cronograma R. Operacional'!$A95="","",'Cronograma R. Operacional'!$K95)</f>
        <v/>
      </c>
      <c r="L95" s="22">
        <f>IF('Cronograma R. Operacional'!$A95="","",IF(N('Cronograma R. Operacional'!$K95)&gt;=1,"Completado",IF(AND(ISNUMBER('Cronograma R. Operacional'!$E95),'Cronograma R. Operacional'!$E95&lt;FechaRef),"Vencida",IF(N('Cronograma R. Operacional'!$K95)&gt;0,"En curso","Pendiente"))))</f>
        <v/>
      </c>
      <c r="M95" s="41">
        <f>IF('Cronograma R. Operacional'!$A95="","",'Cronograma R. Operacional'!$M95&amp;"")</f>
        <v/>
      </c>
    </row>
    <row r="96">
      <c r="A96" s="22">
        <f>IF('Cronograma R. Operacional'!$A96="","",'Cronograma R. Operacional'!$A96)</f>
        <v/>
      </c>
      <c r="B96" s="41">
        <f>IF('Cronograma R. Operacional'!$A96="","",'Cronograma R. Operacional'!$B96&amp;"")</f>
        <v/>
      </c>
      <c r="C96" s="41">
        <f>IF('Cronograma R. Operacional'!$A96="","",'Cronograma R. Operacional'!$C96&amp;"")</f>
        <v/>
      </c>
      <c r="D96" s="63">
        <f>IF(OR('Cronograma R. Operacional'!$A96="",'Cronograma R. Operacional'!$D96=""),"",'Cronograma R. Operacional'!$D96)</f>
        <v/>
      </c>
      <c r="E96" s="63">
        <f>IF(OR('Cronograma R. Operacional'!$A96="",'Cronograma R. Operacional'!$E96=""),"",'Cronograma R. Operacional'!$E96)</f>
        <v/>
      </c>
      <c r="F96" s="22">
        <f>IF(OR('Cronograma R. Operacional'!$A96="",NOT(ISNUMBER('Cronograma R. Operacional'!$E96))),"",IF('Cronograma R. Operacional'!$E96&lt;InicioCiclo,"Antes del ciclo",IF('Cronograma R. Operacional'!$E96&gt;=InicioCiclo+28,"Después del ciclo","Semana "&amp;(INT(('Cronograma R. Operacional'!$E96-InicioCiclo)/7)+1))))</f>
        <v/>
      </c>
      <c r="G96" s="20">
        <f>IF(OR('Cronograma R. Operacional'!$A96="",'Cronograma R. Operacional'!$G96=""),"",'Cronograma R. Operacional'!$G96)</f>
        <v/>
      </c>
      <c r="H96" s="20">
        <f>IF(OR('Cronograma R. Operacional'!$A96="",'Cronograma R. Operacional'!$H96=""),"",'Cronograma R. Operacional'!$H96)</f>
        <v/>
      </c>
      <c r="I96" s="20">
        <f>IF(OR('Cronograma R. Operacional'!$A96="",'Cronograma R. Operacional'!$I96=""),"",'Cronograma R. Operacional'!$I96)</f>
        <v/>
      </c>
      <c r="J96" s="20">
        <f>IF(OR('Cronograma R. Operacional'!$A96="",'Cronograma R. Operacional'!$J96=""),"",'Cronograma R. Operacional'!$J96)</f>
        <v/>
      </c>
      <c r="K96" s="20">
        <f>IF('Cronograma R. Operacional'!$A96="","",'Cronograma R. Operacional'!$K96)</f>
        <v/>
      </c>
      <c r="L96" s="22">
        <f>IF('Cronograma R. Operacional'!$A96="","",IF(N('Cronograma R. Operacional'!$K96)&gt;=1,"Completado",IF(AND(ISNUMBER('Cronograma R. Operacional'!$E96),'Cronograma R. Operacional'!$E96&lt;FechaRef),"Vencida",IF(N('Cronograma R. Operacional'!$K96)&gt;0,"En curso","Pendiente"))))</f>
        <v/>
      </c>
      <c r="M96" s="41">
        <f>IF('Cronograma R. Operacional'!$A96="","",'Cronograma R. Operacional'!$M96&amp;"")</f>
        <v/>
      </c>
    </row>
    <row r="97">
      <c r="A97" s="22">
        <f>IF('Cronograma R. Operacional'!$A97="","",'Cronograma R. Operacional'!$A97)</f>
        <v/>
      </c>
      <c r="B97" s="41">
        <f>IF('Cronograma R. Operacional'!$A97="","",'Cronograma R. Operacional'!$B97&amp;"")</f>
        <v/>
      </c>
      <c r="C97" s="41">
        <f>IF('Cronograma R. Operacional'!$A97="","",'Cronograma R. Operacional'!$C97&amp;"")</f>
        <v/>
      </c>
      <c r="D97" s="63">
        <f>IF(OR('Cronograma R. Operacional'!$A97="",'Cronograma R. Operacional'!$D97=""),"",'Cronograma R. Operacional'!$D97)</f>
        <v/>
      </c>
      <c r="E97" s="63">
        <f>IF(OR('Cronograma R. Operacional'!$A97="",'Cronograma R. Operacional'!$E97=""),"",'Cronograma R. Operacional'!$E97)</f>
        <v/>
      </c>
      <c r="F97" s="22">
        <f>IF(OR('Cronograma R. Operacional'!$A97="",NOT(ISNUMBER('Cronograma R. Operacional'!$E97))),"",IF('Cronograma R. Operacional'!$E97&lt;InicioCiclo,"Antes del ciclo",IF('Cronograma R. Operacional'!$E97&gt;=InicioCiclo+28,"Después del ciclo","Semana "&amp;(INT(('Cronograma R. Operacional'!$E97-InicioCiclo)/7)+1))))</f>
        <v/>
      </c>
      <c r="G97" s="20">
        <f>IF(OR('Cronograma R. Operacional'!$A97="",'Cronograma R. Operacional'!$G97=""),"",'Cronograma R. Operacional'!$G97)</f>
        <v/>
      </c>
      <c r="H97" s="20">
        <f>IF(OR('Cronograma R. Operacional'!$A97="",'Cronograma R. Operacional'!$H97=""),"",'Cronograma R. Operacional'!$H97)</f>
        <v/>
      </c>
      <c r="I97" s="20">
        <f>IF(OR('Cronograma R. Operacional'!$A97="",'Cronograma R. Operacional'!$I97=""),"",'Cronograma R. Operacional'!$I97)</f>
        <v/>
      </c>
      <c r="J97" s="20">
        <f>IF(OR('Cronograma R. Operacional'!$A97="",'Cronograma R. Operacional'!$J97=""),"",'Cronograma R. Operacional'!$J97)</f>
        <v/>
      </c>
      <c r="K97" s="20">
        <f>IF('Cronograma R. Operacional'!$A97="","",'Cronograma R. Operacional'!$K97)</f>
        <v/>
      </c>
      <c r="L97" s="22">
        <f>IF('Cronograma R. Operacional'!$A97="","",IF(N('Cronograma R. Operacional'!$K97)&gt;=1,"Completado",IF(AND(ISNUMBER('Cronograma R. Operacional'!$E97),'Cronograma R. Operacional'!$E97&lt;FechaRef),"Vencida",IF(N('Cronograma R. Operacional'!$K97)&gt;0,"En curso","Pendiente"))))</f>
        <v/>
      </c>
      <c r="M97" s="41">
        <f>IF('Cronograma R. Operacional'!$A97="","",'Cronograma R. Operacional'!$M97&amp;"")</f>
        <v/>
      </c>
    </row>
    <row r="98">
      <c r="A98" s="22">
        <f>IF('Cronograma R. Operacional'!$A98="","",'Cronograma R. Operacional'!$A98)</f>
        <v/>
      </c>
      <c r="B98" s="41">
        <f>IF('Cronograma R. Operacional'!$A98="","",'Cronograma R. Operacional'!$B98&amp;"")</f>
        <v/>
      </c>
      <c r="C98" s="41">
        <f>IF('Cronograma R. Operacional'!$A98="","",'Cronograma R. Operacional'!$C98&amp;"")</f>
        <v/>
      </c>
      <c r="D98" s="63">
        <f>IF(OR('Cronograma R. Operacional'!$A98="",'Cronograma R. Operacional'!$D98=""),"",'Cronograma R. Operacional'!$D98)</f>
        <v/>
      </c>
      <c r="E98" s="63">
        <f>IF(OR('Cronograma R. Operacional'!$A98="",'Cronograma R. Operacional'!$E98=""),"",'Cronograma R. Operacional'!$E98)</f>
        <v/>
      </c>
      <c r="F98" s="22">
        <f>IF(OR('Cronograma R. Operacional'!$A98="",NOT(ISNUMBER('Cronograma R. Operacional'!$E98))),"",IF('Cronograma R. Operacional'!$E98&lt;InicioCiclo,"Antes del ciclo",IF('Cronograma R. Operacional'!$E98&gt;=InicioCiclo+28,"Después del ciclo","Semana "&amp;(INT(('Cronograma R. Operacional'!$E98-InicioCiclo)/7)+1))))</f>
        <v/>
      </c>
      <c r="G98" s="20">
        <f>IF(OR('Cronograma R. Operacional'!$A98="",'Cronograma R. Operacional'!$G98=""),"",'Cronograma R. Operacional'!$G98)</f>
        <v/>
      </c>
      <c r="H98" s="20">
        <f>IF(OR('Cronograma R. Operacional'!$A98="",'Cronograma R. Operacional'!$H98=""),"",'Cronograma R. Operacional'!$H98)</f>
        <v/>
      </c>
      <c r="I98" s="20">
        <f>IF(OR('Cronograma R. Operacional'!$A98="",'Cronograma R. Operacional'!$I98=""),"",'Cronograma R. Operacional'!$I98)</f>
        <v/>
      </c>
      <c r="J98" s="20">
        <f>IF(OR('Cronograma R. Operacional'!$A98="",'Cronograma R. Operacional'!$J98=""),"",'Cronograma R. Operacional'!$J98)</f>
        <v/>
      </c>
      <c r="K98" s="20">
        <f>IF('Cronograma R. Operacional'!$A98="","",'Cronograma R. Operacional'!$K98)</f>
        <v/>
      </c>
      <c r="L98" s="22">
        <f>IF('Cronograma R. Operacional'!$A98="","",IF(N('Cronograma R. Operacional'!$K98)&gt;=1,"Completado",IF(AND(ISNUMBER('Cronograma R. Operacional'!$E98),'Cronograma R. Operacional'!$E98&lt;FechaRef),"Vencida",IF(N('Cronograma R. Operacional'!$K98)&gt;0,"En curso","Pendiente"))))</f>
        <v/>
      </c>
      <c r="M98" s="41">
        <f>IF('Cronograma R. Operacional'!$A98="","",'Cronograma R. Operacional'!$M98&amp;"")</f>
        <v/>
      </c>
    </row>
    <row r="99">
      <c r="A99" s="22">
        <f>IF('Cronograma R. Operacional'!$A99="","",'Cronograma R. Operacional'!$A99)</f>
        <v/>
      </c>
      <c r="B99" s="41">
        <f>IF('Cronograma R. Operacional'!$A99="","",'Cronograma R. Operacional'!$B99&amp;"")</f>
        <v/>
      </c>
      <c r="C99" s="41">
        <f>IF('Cronograma R. Operacional'!$A99="","",'Cronograma R. Operacional'!$C99&amp;"")</f>
        <v/>
      </c>
      <c r="D99" s="63">
        <f>IF(OR('Cronograma R. Operacional'!$A99="",'Cronograma R. Operacional'!$D99=""),"",'Cronograma R. Operacional'!$D99)</f>
        <v/>
      </c>
      <c r="E99" s="63">
        <f>IF(OR('Cronograma R. Operacional'!$A99="",'Cronograma R. Operacional'!$E99=""),"",'Cronograma R. Operacional'!$E99)</f>
        <v/>
      </c>
      <c r="F99" s="22">
        <f>IF(OR('Cronograma R. Operacional'!$A99="",NOT(ISNUMBER('Cronograma R. Operacional'!$E99))),"",IF('Cronograma R. Operacional'!$E99&lt;InicioCiclo,"Antes del ciclo",IF('Cronograma R. Operacional'!$E99&gt;=InicioCiclo+28,"Después del ciclo","Semana "&amp;(INT(('Cronograma R. Operacional'!$E99-InicioCiclo)/7)+1))))</f>
        <v/>
      </c>
      <c r="G99" s="20">
        <f>IF(OR('Cronograma R. Operacional'!$A99="",'Cronograma R. Operacional'!$G99=""),"",'Cronograma R. Operacional'!$G99)</f>
        <v/>
      </c>
      <c r="H99" s="20">
        <f>IF(OR('Cronograma R. Operacional'!$A99="",'Cronograma R. Operacional'!$H99=""),"",'Cronograma R. Operacional'!$H99)</f>
        <v/>
      </c>
      <c r="I99" s="20">
        <f>IF(OR('Cronograma R. Operacional'!$A99="",'Cronograma R. Operacional'!$I99=""),"",'Cronograma R. Operacional'!$I99)</f>
        <v/>
      </c>
      <c r="J99" s="20">
        <f>IF(OR('Cronograma R. Operacional'!$A99="",'Cronograma R. Operacional'!$J99=""),"",'Cronograma R. Operacional'!$J99)</f>
        <v/>
      </c>
      <c r="K99" s="20">
        <f>IF('Cronograma R. Operacional'!$A99="","",'Cronograma R. Operacional'!$K99)</f>
        <v/>
      </c>
      <c r="L99" s="22">
        <f>IF('Cronograma R. Operacional'!$A99="","",IF(N('Cronograma R. Operacional'!$K99)&gt;=1,"Completado",IF(AND(ISNUMBER('Cronograma R. Operacional'!$E99),'Cronograma R. Operacional'!$E99&lt;FechaRef),"Vencida",IF(N('Cronograma R. Operacional'!$K99)&gt;0,"En curso","Pendiente"))))</f>
        <v/>
      </c>
      <c r="M99" s="41">
        <f>IF('Cronograma R. Operacional'!$A99="","",'Cronograma R. Operacional'!$M99&amp;"")</f>
        <v/>
      </c>
    </row>
    <row r="100">
      <c r="A100" s="22">
        <f>IF('Cronograma R. Operacional'!$A100="","",'Cronograma R. Operacional'!$A100)</f>
        <v/>
      </c>
      <c r="B100" s="41">
        <f>IF('Cronograma R. Operacional'!$A100="","",'Cronograma R. Operacional'!$B100&amp;"")</f>
        <v/>
      </c>
      <c r="C100" s="41">
        <f>IF('Cronograma R. Operacional'!$A100="","",'Cronograma R. Operacional'!$C100&amp;"")</f>
        <v/>
      </c>
      <c r="D100" s="63">
        <f>IF(OR('Cronograma R. Operacional'!$A100="",'Cronograma R. Operacional'!$D100=""),"",'Cronograma R. Operacional'!$D100)</f>
        <v/>
      </c>
      <c r="E100" s="63">
        <f>IF(OR('Cronograma R. Operacional'!$A100="",'Cronograma R. Operacional'!$E100=""),"",'Cronograma R. Operacional'!$E100)</f>
        <v/>
      </c>
      <c r="F100" s="22">
        <f>IF(OR('Cronograma R. Operacional'!$A100="",NOT(ISNUMBER('Cronograma R. Operacional'!$E100))),"",IF('Cronograma R. Operacional'!$E100&lt;InicioCiclo,"Antes del ciclo",IF('Cronograma R. Operacional'!$E100&gt;=InicioCiclo+28,"Después del ciclo","Semana "&amp;(INT(('Cronograma R. Operacional'!$E100-InicioCiclo)/7)+1))))</f>
        <v/>
      </c>
      <c r="G100" s="20">
        <f>IF(OR('Cronograma R. Operacional'!$A100="",'Cronograma R. Operacional'!$G100=""),"",'Cronograma R. Operacional'!$G100)</f>
        <v/>
      </c>
      <c r="H100" s="20">
        <f>IF(OR('Cronograma R. Operacional'!$A100="",'Cronograma R. Operacional'!$H100=""),"",'Cronograma R. Operacional'!$H100)</f>
        <v/>
      </c>
      <c r="I100" s="20">
        <f>IF(OR('Cronograma R. Operacional'!$A100="",'Cronograma R. Operacional'!$I100=""),"",'Cronograma R. Operacional'!$I100)</f>
        <v/>
      </c>
      <c r="J100" s="20">
        <f>IF(OR('Cronograma R. Operacional'!$A100="",'Cronograma R. Operacional'!$J100=""),"",'Cronograma R. Operacional'!$J100)</f>
        <v/>
      </c>
      <c r="K100" s="20">
        <f>IF('Cronograma R. Operacional'!$A100="","",'Cronograma R. Operacional'!$K100)</f>
        <v/>
      </c>
      <c r="L100" s="22">
        <f>IF('Cronograma R. Operacional'!$A100="","",IF(N('Cronograma R. Operacional'!$K100)&gt;=1,"Completado",IF(AND(ISNUMBER('Cronograma R. Operacional'!$E100),'Cronograma R. Operacional'!$E100&lt;FechaRef),"Vencida",IF(N('Cronograma R. Operacional'!$K100)&gt;0,"En curso","Pendiente"))))</f>
        <v/>
      </c>
      <c r="M100" s="41">
        <f>IF('Cronograma R. Operacional'!$A100="","",'Cronograma R. Operacional'!$M100&amp;"")</f>
        <v/>
      </c>
    </row>
    <row r="101">
      <c r="A101" s="22">
        <f>IF('Cronograma R. Operacional'!$A101="","",'Cronograma R. Operacional'!$A101)</f>
        <v/>
      </c>
      <c r="B101" s="41">
        <f>IF('Cronograma R. Operacional'!$A101="","",'Cronograma R. Operacional'!$B101&amp;"")</f>
        <v/>
      </c>
      <c r="C101" s="41">
        <f>IF('Cronograma R. Operacional'!$A101="","",'Cronograma R. Operacional'!$C101&amp;"")</f>
        <v/>
      </c>
      <c r="D101" s="63">
        <f>IF(OR('Cronograma R. Operacional'!$A101="",'Cronograma R. Operacional'!$D101=""),"",'Cronograma R. Operacional'!$D101)</f>
        <v/>
      </c>
      <c r="E101" s="63">
        <f>IF(OR('Cronograma R. Operacional'!$A101="",'Cronograma R. Operacional'!$E101=""),"",'Cronograma R. Operacional'!$E101)</f>
        <v/>
      </c>
      <c r="F101" s="22">
        <f>IF(OR('Cronograma R. Operacional'!$A101="",NOT(ISNUMBER('Cronograma R. Operacional'!$E101))),"",IF('Cronograma R. Operacional'!$E101&lt;InicioCiclo,"Antes del ciclo",IF('Cronograma R. Operacional'!$E101&gt;=InicioCiclo+28,"Después del ciclo","Semana "&amp;(INT(('Cronograma R. Operacional'!$E101-InicioCiclo)/7)+1))))</f>
        <v/>
      </c>
      <c r="G101" s="20">
        <f>IF(OR('Cronograma R. Operacional'!$A101="",'Cronograma R. Operacional'!$G101=""),"",'Cronograma R. Operacional'!$G101)</f>
        <v/>
      </c>
      <c r="H101" s="20">
        <f>IF(OR('Cronograma R. Operacional'!$A101="",'Cronograma R. Operacional'!$H101=""),"",'Cronograma R. Operacional'!$H101)</f>
        <v/>
      </c>
      <c r="I101" s="20">
        <f>IF(OR('Cronograma R. Operacional'!$A101="",'Cronograma R. Operacional'!$I101=""),"",'Cronograma R. Operacional'!$I101)</f>
        <v/>
      </c>
      <c r="J101" s="20">
        <f>IF(OR('Cronograma R. Operacional'!$A101="",'Cronograma R. Operacional'!$J101=""),"",'Cronograma R. Operacional'!$J101)</f>
        <v/>
      </c>
      <c r="K101" s="20">
        <f>IF('Cronograma R. Operacional'!$A101="","",'Cronograma R. Operacional'!$K101)</f>
        <v/>
      </c>
      <c r="L101" s="22">
        <f>IF('Cronograma R. Operacional'!$A101="","",IF(N('Cronograma R. Operacional'!$K101)&gt;=1,"Completado",IF(AND(ISNUMBER('Cronograma R. Operacional'!$E101),'Cronograma R. Operacional'!$E101&lt;FechaRef),"Vencida",IF(N('Cronograma R. Operacional'!$K101)&gt;0,"En curso","Pendiente"))))</f>
        <v/>
      </c>
      <c r="M101" s="41">
        <f>IF('Cronograma R. Operacional'!$A101="","",'Cronograma R. Operacional'!$M101&amp;"")</f>
        <v/>
      </c>
    </row>
    <row r="102">
      <c r="A102" s="22">
        <f>IF('Cronograma R. Operacional'!$A102="","",'Cronograma R. Operacional'!$A102)</f>
        <v/>
      </c>
      <c r="B102" s="41">
        <f>IF('Cronograma R. Operacional'!$A102="","",'Cronograma R. Operacional'!$B102&amp;"")</f>
        <v/>
      </c>
      <c r="C102" s="41">
        <f>IF('Cronograma R. Operacional'!$A102="","",'Cronograma R. Operacional'!$C102&amp;"")</f>
        <v/>
      </c>
      <c r="D102" s="63">
        <f>IF(OR('Cronograma R. Operacional'!$A102="",'Cronograma R. Operacional'!$D102=""),"",'Cronograma R. Operacional'!$D102)</f>
        <v/>
      </c>
      <c r="E102" s="63">
        <f>IF(OR('Cronograma R. Operacional'!$A102="",'Cronograma R. Operacional'!$E102=""),"",'Cronograma R. Operacional'!$E102)</f>
        <v/>
      </c>
      <c r="F102" s="22">
        <f>IF(OR('Cronograma R. Operacional'!$A102="",NOT(ISNUMBER('Cronograma R. Operacional'!$E102))),"",IF('Cronograma R. Operacional'!$E102&lt;InicioCiclo,"Antes del ciclo",IF('Cronograma R. Operacional'!$E102&gt;=InicioCiclo+28,"Después del ciclo","Semana "&amp;(INT(('Cronograma R. Operacional'!$E102-InicioCiclo)/7)+1))))</f>
        <v/>
      </c>
      <c r="G102" s="20">
        <f>IF(OR('Cronograma R. Operacional'!$A102="",'Cronograma R. Operacional'!$G102=""),"",'Cronograma R. Operacional'!$G102)</f>
        <v/>
      </c>
      <c r="H102" s="20">
        <f>IF(OR('Cronograma R. Operacional'!$A102="",'Cronograma R. Operacional'!$H102=""),"",'Cronograma R. Operacional'!$H102)</f>
        <v/>
      </c>
      <c r="I102" s="20">
        <f>IF(OR('Cronograma R. Operacional'!$A102="",'Cronograma R. Operacional'!$I102=""),"",'Cronograma R. Operacional'!$I102)</f>
        <v/>
      </c>
      <c r="J102" s="20">
        <f>IF(OR('Cronograma R. Operacional'!$A102="",'Cronograma R. Operacional'!$J102=""),"",'Cronograma R. Operacional'!$J102)</f>
        <v/>
      </c>
      <c r="K102" s="20">
        <f>IF('Cronograma R. Operacional'!$A102="","",'Cronograma R. Operacional'!$K102)</f>
        <v/>
      </c>
      <c r="L102" s="22">
        <f>IF('Cronograma R. Operacional'!$A102="","",IF(N('Cronograma R. Operacional'!$K102)&gt;=1,"Completado",IF(AND(ISNUMBER('Cronograma R. Operacional'!$E102),'Cronograma R. Operacional'!$E102&lt;FechaRef),"Vencida",IF(N('Cronograma R. Operacional'!$K102)&gt;0,"En curso","Pendiente"))))</f>
        <v/>
      </c>
      <c r="M102" s="41">
        <f>IF('Cronograma R. Operacional'!$A102="","",'Cronograma R. Operacional'!$M102&amp;"")</f>
        <v/>
      </c>
    </row>
    <row r="103">
      <c r="A103" s="22">
        <f>IF('Cronograma R. Operacional'!$A103="","",'Cronograma R. Operacional'!$A103)</f>
        <v/>
      </c>
      <c r="B103" s="41">
        <f>IF('Cronograma R. Operacional'!$A103="","",'Cronograma R. Operacional'!$B103&amp;"")</f>
        <v/>
      </c>
      <c r="C103" s="41">
        <f>IF('Cronograma R. Operacional'!$A103="","",'Cronograma R. Operacional'!$C103&amp;"")</f>
        <v/>
      </c>
      <c r="D103" s="63">
        <f>IF(OR('Cronograma R. Operacional'!$A103="",'Cronograma R. Operacional'!$D103=""),"",'Cronograma R. Operacional'!$D103)</f>
        <v/>
      </c>
      <c r="E103" s="63">
        <f>IF(OR('Cronograma R. Operacional'!$A103="",'Cronograma R. Operacional'!$E103=""),"",'Cronograma R. Operacional'!$E103)</f>
        <v/>
      </c>
      <c r="F103" s="22">
        <f>IF(OR('Cronograma R. Operacional'!$A103="",NOT(ISNUMBER('Cronograma R. Operacional'!$E103))),"",IF('Cronograma R. Operacional'!$E103&lt;InicioCiclo,"Antes del ciclo",IF('Cronograma R. Operacional'!$E103&gt;=InicioCiclo+28,"Después del ciclo","Semana "&amp;(INT(('Cronograma R. Operacional'!$E103-InicioCiclo)/7)+1))))</f>
        <v/>
      </c>
      <c r="G103" s="20">
        <f>IF(OR('Cronograma R. Operacional'!$A103="",'Cronograma R. Operacional'!$G103=""),"",'Cronograma R. Operacional'!$G103)</f>
        <v/>
      </c>
      <c r="H103" s="20">
        <f>IF(OR('Cronograma R. Operacional'!$A103="",'Cronograma R. Operacional'!$H103=""),"",'Cronograma R. Operacional'!$H103)</f>
        <v/>
      </c>
      <c r="I103" s="20">
        <f>IF(OR('Cronograma R. Operacional'!$A103="",'Cronograma R. Operacional'!$I103=""),"",'Cronograma R. Operacional'!$I103)</f>
        <v/>
      </c>
      <c r="J103" s="20">
        <f>IF(OR('Cronograma R. Operacional'!$A103="",'Cronograma R. Operacional'!$J103=""),"",'Cronograma R. Operacional'!$J103)</f>
        <v/>
      </c>
      <c r="K103" s="20">
        <f>IF('Cronograma R. Operacional'!$A103="","",'Cronograma R. Operacional'!$K103)</f>
        <v/>
      </c>
      <c r="L103" s="22">
        <f>IF('Cronograma R. Operacional'!$A103="","",IF(N('Cronograma R. Operacional'!$K103)&gt;=1,"Completado",IF(AND(ISNUMBER('Cronograma R. Operacional'!$E103),'Cronograma R. Operacional'!$E103&lt;FechaRef),"Vencida",IF(N('Cronograma R. Operacional'!$K103)&gt;0,"En curso","Pendiente"))))</f>
        <v/>
      </c>
      <c r="M103" s="41">
        <f>IF('Cronograma R. Operacional'!$A103="","",'Cronograma R. Operacional'!$M103&amp;"")</f>
        <v/>
      </c>
    </row>
    <row r="104">
      <c r="A104" s="22">
        <f>IF('Cronograma R. Operacional'!$A104="","",'Cronograma R. Operacional'!$A104)</f>
        <v/>
      </c>
      <c r="B104" s="41">
        <f>IF('Cronograma R. Operacional'!$A104="","",'Cronograma R. Operacional'!$B104&amp;"")</f>
        <v/>
      </c>
      <c r="C104" s="41">
        <f>IF('Cronograma R. Operacional'!$A104="","",'Cronograma R. Operacional'!$C104&amp;"")</f>
        <v/>
      </c>
      <c r="D104" s="63">
        <f>IF(OR('Cronograma R. Operacional'!$A104="",'Cronograma R. Operacional'!$D104=""),"",'Cronograma R. Operacional'!$D104)</f>
        <v/>
      </c>
      <c r="E104" s="63">
        <f>IF(OR('Cronograma R. Operacional'!$A104="",'Cronograma R. Operacional'!$E104=""),"",'Cronograma R. Operacional'!$E104)</f>
        <v/>
      </c>
      <c r="F104" s="22">
        <f>IF(OR('Cronograma R. Operacional'!$A104="",NOT(ISNUMBER('Cronograma R. Operacional'!$E104))),"",IF('Cronograma R. Operacional'!$E104&lt;InicioCiclo,"Antes del ciclo",IF('Cronograma R. Operacional'!$E104&gt;=InicioCiclo+28,"Después del ciclo","Semana "&amp;(INT(('Cronograma R. Operacional'!$E104-InicioCiclo)/7)+1))))</f>
        <v/>
      </c>
      <c r="G104" s="20">
        <f>IF(OR('Cronograma R. Operacional'!$A104="",'Cronograma R. Operacional'!$G104=""),"",'Cronograma R. Operacional'!$G104)</f>
        <v/>
      </c>
      <c r="H104" s="20">
        <f>IF(OR('Cronograma R. Operacional'!$A104="",'Cronograma R. Operacional'!$H104=""),"",'Cronograma R. Operacional'!$H104)</f>
        <v/>
      </c>
      <c r="I104" s="20">
        <f>IF(OR('Cronograma R. Operacional'!$A104="",'Cronograma R. Operacional'!$I104=""),"",'Cronograma R. Operacional'!$I104)</f>
        <v/>
      </c>
      <c r="J104" s="20">
        <f>IF(OR('Cronograma R. Operacional'!$A104="",'Cronograma R. Operacional'!$J104=""),"",'Cronograma R. Operacional'!$J104)</f>
        <v/>
      </c>
      <c r="K104" s="20">
        <f>IF('Cronograma R. Operacional'!$A104="","",'Cronograma R. Operacional'!$K104)</f>
        <v/>
      </c>
      <c r="L104" s="22">
        <f>IF('Cronograma R. Operacional'!$A104="","",IF(N('Cronograma R. Operacional'!$K104)&gt;=1,"Completado",IF(AND(ISNUMBER('Cronograma R. Operacional'!$E104),'Cronograma R. Operacional'!$E104&lt;FechaRef),"Vencida",IF(N('Cronograma R. Operacional'!$K104)&gt;0,"En curso","Pendiente"))))</f>
        <v/>
      </c>
      <c r="M104" s="41">
        <f>IF('Cronograma R. Operacional'!$A104="","",'Cronograma R. Operacional'!$M104&amp;"")</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G5:J104">
    <cfRule type="expression" priority="1" dxfId="6" stopIfTrue="1">
      <formula>AND(AND(ISNUMBER($D5),ISNUMBER($E5),$D5&lt;=InicioCiclo+7*(COLUMN(G5)-7)+6,$E5&gt;=InicioCiclo+7*(COLUMN(G5)-7)),$L5="Vencida")</formula>
    </cfRule>
    <cfRule type="expression" priority="2" dxfId="9">
      <formula>AND(ISNUMBER($D5),ISNUMBER($E5),$D5&lt;=InicioCiclo+7*(COLUMN(G5)-7)+6,$E5&gt;=InicioCiclo+7*(COLUMN(G5)-7))</formula>
    </cfRule>
  </conditionalFormatting>
  <conditionalFormatting sqref="L5:L104">
    <cfRule type="expression" priority="3" dxfId="0">
      <formula>$L5="Completado"</formula>
    </cfRule>
    <cfRule type="expression" priority="4" dxfId="6">
      <formula>$L5="Vencida"</formula>
    </cfRule>
    <cfRule type="expression" priority="5" dxfId="4">
      <formula>$L5="En curso"</formula>
    </cfRule>
    <cfRule type="expression" priority="6" dxfId="5">
      <formula>$L5="Pendiente"</formula>
    </cfRule>
  </conditionalFormatting>
  <conditionalFormatting sqref="F5:F104">
    <cfRule type="expression" priority="7" dxfId="1">
      <formula>$F5="Semana "&amp;SemanaActual</formula>
    </cfRule>
  </conditionalFormatting>
  <conditionalFormatting sqref="K5:K104">
    <cfRule type="dataBar" priority="8">
      <dataBar showValue="1">
        <cfvo type="num" val="0"/>
        <cfvo type="num" val="1"/>
        <color rgb="005B9BD5"/>
      </dataBar>
    </cfRule>
  </conditionalFormatting>
  <conditionalFormatting sqref="G4:J4">
    <cfRule type="expression" priority="9" dxfId="1">
      <formula>COLUMN(G4)-6=SemanaActual</formula>
    </cfRule>
  </conditionalFormatting>
  <conditionalFormatting sqref="G3:J3">
    <cfRule type="expression" priority="10" dxfId="1">
      <formula>COLUMN(G3)-6=SemanaActual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4.xml><?xml version="1.0" encoding="utf-8"?>
<worksheet xmlns="http://schemas.openxmlformats.org/spreadsheetml/2006/main">
  <sheetPr>
    <tabColor rgb="007030A0"/>
    <outlinePr summaryBelow="1" summaryRight="1"/>
    <pageSetUpPr fitToPage="1"/>
  </sheetPr>
  <dimension ref="A1:N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6" customWidth="1" min="2" max="2"/>
    <col width="22" customWidth="1" min="3" max="3"/>
    <col width="12" customWidth="1" min="4" max="4"/>
    <col width="12" customWidth="1" min="5" max="5"/>
    <col width="11" customWidth="1" min="6" max="6"/>
    <col width="11" customWidth="1" min="7" max="7"/>
    <col width="11" customWidth="1" min="8" max="8"/>
    <col width="11" customWidth="1" min="9" max="9"/>
    <col width="11" customWidth="1" min="10" max="10"/>
    <col width="12" customWidth="1" min="11" max="11"/>
    <col width="13" customWidth="1" min="12" max="12"/>
    <col width="42" customWidth="1" min="13" max="13"/>
    <col width="52" customWidth="1" min="14" max="14"/>
  </cols>
  <sheetData>
    <row r="1" ht="28" customHeight="1">
      <c r="A1" s="64" t="inlineStr">
        <is>
          <t>Cronograma – Riesgo Normativo</t>
        </is>
      </c>
      <c r="B1" s="64" t="n"/>
      <c r="C1" s="64" t="n"/>
      <c r="D1" s="64" t="n"/>
      <c r="E1" s="64" t="n"/>
      <c r="F1" s="64" t="n"/>
      <c r="G1" s="64" t="n"/>
      <c r="H1" s="64" t="n"/>
      <c r="I1" s="64" t="n"/>
      <c r="J1" s="64" t="n"/>
      <c r="K1" s="64" t="n"/>
      <c r="L1" s="64" t="n"/>
      <c r="M1" s="64" t="n"/>
      <c r="N1" s="64" t="n"/>
    </row>
    <row r="2" ht="30" customHeight="1">
      <c r="A2" s="46" t="inlineStr">
        <is>
          <t>Llene solo las celdas AMARILLAS; las GRISES se calculan solas (el N° se numera solo). En cada semana escriba el % TOTAL logrado hasta esa semana (ej. 20%, 45%, 75%, 100%). Los pesos de esta hoja deben sumar 100%. Si una actividad no se cumple, explique el motivo en Observaciones.</t>
        </is>
      </c>
      <c r="B2" s="46" t="n"/>
      <c r="C2" s="46" t="n"/>
      <c r="D2" s="46" t="n"/>
      <c r="E2" s="46" t="n"/>
      <c r="F2" s="46" t="n"/>
      <c r="G2" s="46" t="n"/>
      <c r="H2" s="46" t="n"/>
      <c r="I2" s="46" t="n"/>
      <c r="J2" s="46" t="n"/>
      <c r="K2" s="46" t="n"/>
      <c r="L2" s="46" t="n"/>
      <c r="M2" s="46" t="n"/>
      <c r="N2" s="46" t="n"/>
    </row>
    <row r="3">
      <c r="A3" s="47" t="inlineStr">
        <is>
          <t>Entrada</t>
        </is>
      </c>
      <c r="B3" s="48" t="inlineStr">
        <is>
          <t>Gris = automático</t>
        </is>
      </c>
      <c r="C3" s="49" t="inlineStr">
        <is>
          <t>Suma de pesos:</t>
        </is>
      </c>
      <c r="D3" s="50">
        <f>SUM(F5:F1000)</f>
        <v/>
      </c>
      <c r="E3" s="51">
        <f>IF(COUNTIF(N5:N1000,"?*")=0,"",IF(ABS(D3-1)&lt;=0.0001,"✔ 100%","⚠ Debe sumar 100%"))</f>
        <v/>
      </c>
      <c r="F3" s="51" t="n"/>
    </row>
    <row r="4" ht="42" customHeight="1">
      <c r="A4" s="52" t="inlineStr">
        <is>
          <t>N°</t>
        </is>
      </c>
      <c r="B4" s="65" t="inlineStr">
        <is>
          <t>Macro Actividad</t>
        </is>
      </c>
      <c r="C4" s="65" t="inlineStr">
        <is>
          <t>Responsable</t>
        </is>
      </c>
      <c r="D4" s="65" t="inlineStr">
        <is>
          <t>Fecha de inicio</t>
        </is>
      </c>
      <c r="E4" s="65" t="inlineStr">
        <is>
          <t>Fecha límite</t>
        </is>
      </c>
      <c r="F4" s="65" t="inlineStr">
        <is>
          <t>Peso de actividad (%)</t>
        </is>
      </c>
      <c r="G4" s="65" t="inlineStr">
        <is>
          <t>Avance Semana 1 (%)</t>
        </is>
      </c>
      <c r="H4" s="65" t="inlineStr">
        <is>
          <t>Avance Semana 2 (%)</t>
        </is>
      </c>
      <c r="I4" s="65" t="inlineStr">
        <is>
          <t>Avance Semana 3 (%)</t>
        </is>
      </c>
      <c r="J4" s="65" t="inlineStr">
        <is>
          <t>Avance Semana 4 (%)</t>
        </is>
      </c>
      <c r="K4" s="52" t="inlineStr">
        <is>
          <t>% de Avance Total Actual</t>
        </is>
      </c>
      <c r="L4" s="52" t="inlineStr">
        <is>
          <t>Estado</t>
        </is>
      </c>
      <c r="M4" s="65" t="inlineStr">
        <is>
          <t>Observaciones</t>
        </is>
      </c>
      <c r="N4" s="52" t="inlineStr">
        <is>
          <t>Revisión automática (alertas)</t>
        </is>
      </c>
    </row>
    <row r="5">
      <c r="A5" s="53">
        <f>IF(NOT((COUNTA($B5:$J5)+COUNTA($M5))&gt;0),"",COUNTIF($L$5:$L5,"?*"))</f>
        <v/>
      </c>
      <c r="B5" s="54" t="n"/>
      <c r="C5" s="54" t="n"/>
      <c r="D5" s="55" t="n"/>
      <c r="E5" s="55" t="n"/>
      <c r="F5" s="56" t="n"/>
      <c r="G5" s="57" t="n"/>
      <c r="H5" s="57" t="n"/>
      <c r="I5" s="57" t="n"/>
      <c r="J5" s="57" t="n"/>
      <c r="K5" s="58">
        <f>IF(NOT((COUNTA($B5:$J5)+COUNTA($M5))&gt;0),"",IFERROR(LOOKUP(2,1/(G5:J5&lt;&gt;""),G5:J5),0))</f>
        <v/>
      </c>
      <c r="L5" s="53">
        <f>IF(K5="","",IF(K5&gt;=1,"Completado",IF(K5&gt;0,"En curso","Pendiente")))</f>
        <v/>
      </c>
      <c r="M5" s="54" t="n"/>
      <c r="N5" s="59">
        <f>IF(NOT((COUNTA($B5:$J5)+COUNTA($M5))&gt;0),"",IF((IF(B5="","Macroactividad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","")&amp;IF(ABS(SUM($F$5:$F$1000)-1)&gt;0.0001,"Pesos del puesto suman "&amp;TEXT(SUM($F$5:$F$1000),"0%")&amp;"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 OK","⚠ "&amp;LEFT(IF(B5="","Macroactividad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","")&amp;IF(ABS(SUM($F$5:$F$1000)-1)&gt;0.0001,"Pesos del puesto suman "&amp;TEXT(SUM($F$5:$F$1000),"0%")&amp;"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",""),LEN(IF(B5="","Macroactividad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","")&amp;IF(ABS(SUM($F$5:$F$1000)-1)&gt;0.0001,"Pesos del puesto suman "&amp;TEXT(SUM($F$5:$F$1000),"0%")&amp;"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",""))-3)))</f>
        <v/>
      </c>
    </row>
    <row r="6">
      <c r="A6" s="53">
        <f>IF(NOT((COUNTA($B6:$J6)+COUNTA($M6))&gt;0),"",COUNTIF($L$5:$L6,"?*"))</f>
        <v/>
      </c>
      <c r="B6" s="54" t="n"/>
      <c r="C6" s="54" t="n"/>
      <c r="D6" s="55" t="n"/>
      <c r="E6" s="55" t="n"/>
      <c r="F6" s="56" t="n"/>
      <c r="G6" s="57" t="n"/>
      <c r="H6" s="57" t="n"/>
      <c r="I6" s="57" t="n"/>
      <c r="J6" s="57" t="n"/>
      <c r="K6" s="58">
        <f>IF(NOT((COUNTA($B6:$J6)+COUNTA($M6))&gt;0),"",IFERROR(LOOKUP(2,1/(G6:J6&lt;&gt;""),G6:J6),0))</f>
        <v/>
      </c>
      <c r="L6" s="53">
        <f>IF(K6="","",IF(K6&gt;=1,"Completado",IF(K6&gt;0,"En curso","Pendiente")))</f>
        <v/>
      </c>
      <c r="M6" s="54" t="n"/>
      <c r="N6" s="59">
        <f>IF(NOT((COUNTA($B6:$J6)+COUNTA($M6))&gt;0),"",IF((IF(B6="","Macroactividad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","")&amp;IF(ABS(SUM($F$5:$F$1000)-1)&gt;0.0001,"Pesos del puesto suman "&amp;TEXT(SUM($F$5:$F$1000),"0%")&amp;"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 OK","⚠ "&amp;LEFT(IF(B6="","Macroactividad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","")&amp;IF(ABS(SUM($F$5:$F$1000)-1)&gt;0.0001,"Pesos del puesto suman "&amp;TEXT(SUM($F$5:$F$1000),"0%")&amp;"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",""),LEN(IF(B6="","Macroactividad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","")&amp;IF(ABS(SUM($F$5:$F$1000)-1)&gt;0.0001,"Pesos del puesto suman "&amp;TEXT(SUM($F$5:$F$1000),"0%")&amp;"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",""))-3)))</f>
        <v/>
      </c>
    </row>
    <row r="7">
      <c r="A7" s="53">
        <f>IF(NOT((COUNTA($B7:$J7)+COUNTA($M7))&gt;0),"",COUNTIF($L$5:$L7,"?*"))</f>
        <v/>
      </c>
      <c r="B7" s="54" t="n"/>
      <c r="C7" s="54" t="n"/>
      <c r="D7" s="55" t="n"/>
      <c r="E7" s="55" t="n"/>
      <c r="F7" s="56" t="n"/>
      <c r="G7" s="57" t="n"/>
      <c r="H7" s="57" t="n"/>
      <c r="I7" s="57" t="n"/>
      <c r="J7" s="57" t="n"/>
      <c r="K7" s="58">
        <f>IF(NOT((COUNTA($B7:$J7)+COUNTA($M7))&gt;0),"",IFERROR(LOOKUP(2,1/(G7:J7&lt;&gt;""),G7:J7),0))</f>
        <v/>
      </c>
      <c r="L7" s="53">
        <f>IF(K7="","",IF(K7&gt;=1,"Completado",IF(K7&gt;0,"En curso","Pendiente")))</f>
        <v/>
      </c>
      <c r="M7" s="54" t="n"/>
      <c r="N7" s="59">
        <f>IF(NOT((COUNTA($B7:$J7)+COUNTA($M7))&gt;0),"",IF((IF(B7="","Macroactividad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","")&amp;IF(ABS(SUM($F$5:$F$1000)-1)&gt;0.0001,"Pesos del puesto suman "&amp;TEXT(SUM($F$5:$F$1000),"0%")&amp;"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 OK","⚠ "&amp;LEFT(IF(B7="","Macroactividad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","")&amp;IF(ABS(SUM($F$5:$F$1000)-1)&gt;0.0001,"Pesos del puesto suman "&amp;TEXT(SUM($F$5:$F$1000),"0%")&amp;"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",""),LEN(IF(B7="","Macroactividad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","")&amp;IF(ABS(SUM($F$5:$F$1000)-1)&gt;0.0001,"Pesos del puesto suman "&amp;TEXT(SUM($F$5:$F$1000),"0%")&amp;"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",""))-3)))</f>
        <v/>
      </c>
    </row>
    <row r="8">
      <c r="A8" s="53">
        <f>IF(NOT((COUNTA($B8:$J8)+COUNTA($M8))&gt;0),"",COUNTIF($L$5:$L8,"?*"))</f>
        <v/>
      </c>
      <c r="B8" s="54" t="n"/>
      <c r="C8" s="54" t="n"/>
      <c r="D8" s="55" t="n"/>
      <c r="E8" s="55" t="n"/>
      <c r="F8" s="56" t="n"/>
      <c r="G8" s="57" t="n"/>
      <c r="H8" s="57" t="n"/>
      <c r="I8" s="57" t="n"/>
      <c r="J8" s="57" t="n"/>
      <c r="K8" s="58">
        <f>IF(NOT((COUNTA($B8:$J8)+COUNTA($M8))&gt;0),"",IFERROR(LOOKUP(2,1/(G8:J8&lt;&gt;""),G8:J8),0))</f>
        <v/>
      </c>
      <c r="L8" s="53">
        <f>IF(K8="","",IF(K8&gt;=1,"Completado",IF(K8&gt;0,"En curso","Pendiente")))</f>
        <v/>
      </c>
      <c r="M8" s="54" t="n"/>
      <c r="N8" s="59">
        <f>IF(NOT((COUNTA($B8:$J8)+COUNTA($M8))&gt;0),"",IF((IF(B8="","Macroactividad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","")&amp;IF(ABS(SUM($F$5:$F$1000)-1)&gt;0.0001,"Pesos del puesto suman "&amp;TEXT(SUM($F$5:$F$1000),"0%")&amp;"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 OK","⚠ "&amp;LEFT(IF(B8="","Macroactividad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","")&amp;IF(ABS(SUM($F$5:$F$1000)-1)&gt;0.0001,"Pesos del puesto suman "&amp;TEXT(SUM($F$5:$F$1000),"0%")&amp;"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",""),LEN(IF(B8="","Macroactividad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","")&amp;IF(ABS(SUM($F$5:$F$1000)-1)&gt;0.0001,"Pesos del puesto suman "&amp;TEXT(SUM($F$5:$F$1000),"0%")&amp;"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",""))-3)))</f>
        <v/>
      </c>
    </row>
    <row r="9">
      <c r="A9" s="53">
        <f>IF(NOT((COUNTA($B9:$J9)+COUNTA($M9))&gt;0),"",COUNTIF($L$5:$L9,"?*"))</f>
        <v/>
      </c>
      <c r="B9" s="54" t="n"/>
      <c r="C9" s="54" t="n"/>
      <c r="D9" s="55" t="n"/>
      <c r="E9" s="55" t="n"/>
      <c r="F9" s="56" t="n"/>
      <c r="G9" s="57" t="n"/>
      <c r="H9" s="57" t="n"/>
      <c r="I9" s="57" t="n"/>
      <c r="J9" s="57" t="n"/>
      <c r="K9" s="58">
        <f>IF(NOT((COUNTA($B9:$J9)+COUNTA($M9))&gt;0),"",IFERROR(LOOKUP(2,1/(G9:J9&lt;&gt;""),G9:J9),0))</f>
        <v/>
      </c>
      <c r="L9" s="53">
        <f>IF(K9="","",IF(K9&gt;=1,"Completado",IF(K9&gt;0,"En curso","Pendiente")))</f>
        <v/>
      </c>
      <c r="M9" s="54" t="n"/>
      <c r="N9" s="59">
        <f>IF(NOT((COUNTA($B9:$J9)+COUNTA($M9))&gt;0),"",IF((IF(B9="","Macroactividad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","")&amp;IF(ABS(SUM($F$5:$F$1000)-1)&gt;0.0001,"Pesos del puesto suman "&amp;TEXT(SUM($F$5:$F$1000),"0%")&amp;"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 OK","⚠ "&amp;LEFT(IF(B9="","Macroactividad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","")&amp;IF(ABS(SUM($F$5:$F$1000)-1)&gt;0.0001,"Pesos del puesto suman "&amp;TEXT(SUM($F$5:$F$1000),"0%")&amp;"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",""),LEN(IF(B9="","Macroactividad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","")&amp;IF(ABS(SUM($F$5:$F$1000)-1)&gt;0.0001,"Pesos del puesto suman "&amp;TEXT(SUM($F$5:$F$1000),"0%")&amp;"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",""))-3)))</f>
        <v/>
      </c>
    </row>
    <row r="10">
      <c r="A10" s="53">
        <f>IF(NOT((COUNTA($B10:$J10)+COUNTA($M10))&gt;0),"",COUNTIF($L$5:$L10,"?*"))</f>
        <v/>
      </c>
      <c r="B10" s="54" t="n"/>
      <c r="C10" s="54" t="n"/>
      <c r="D10" s="55" t="n"/>
      <c r="E10" s="55" t="n"/>
      <c r="F10" s="56" t="n"/>
      <c r="G10" s="57" t="n"/>
      <c r="H10" s="57" t="n"/>
      <c r="I10" s="57" t="n"/>
      <c r="J10" s="57" t="n"/>
      <c r="K10" s="58">
        <f>IF(NOT((COUNTA($B10:$J10)+COUNTA($M10))&gt;0),"",IFERROR(LOOKUP(2,1/(G10:J10&lt;&gt;""),G10:J10),0))</f>
        <v/>
      </c>
      <c r="L10" s="53">
        <f>IF(K10="","",IF(K10&gt;=1,"Completado",IF(K10&gt;0,"En curso","Pendiente")))</f>
        <v/>
      </c>
      <c r="M10" s="54" t="n"/>
      <c r="N10" s="59">
        <f>IF(NOT((COUNTA($B10:$J10)+COUNTA($M10))&gt;0),"",IF((IF(B10="","Macroactividad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","")&amp;IF(ABS(SUM($F$5:$F$1000)-1)&gt;0.0001,"Pesos del puesto suman "&amp;TEXT(SUM($F$5:$F$1000),"0%")&amp;"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 OK","⚠ "&amp;LEFT(IF(B10="","Macroactividad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","")&amp;IF(ABS(SUM($F$5:$F$1000)-1)&gt;0.0001,"Pesos del puesto suman "&amp;TEXT(SUM($F$5:$F$1000),"0%")&amp;"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",""),LEN(IF(B10="","Macroactividad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","")&amp;IF(ABS(SUM($F$5:$F$1000)-1)&gt;0.0001,"Pesos del puesto suman "&amp;TEXT(SUM($F$5:$F$1000),"0%")&amp;"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",""))-3)))</f>
        <v/>
      </c>
    </row>
    <row r="11">
      <c r="A11" s="53">
        <f>IF(NOT((COUNTA($B11:$J11)+COUNTA($M11))&gt;0),"",COUNTIF($L$5:$L11,"?*"))</f>
        <v/>
      </c>
      <c r="B11" s="54" t="n"/>
      <c r="C11" s="54" t="n"/>
      <c r="D11" s="55" t="n"/>
      <c r="E11" s="55" t="n"/>
      <c r="F11" s="56" t="n"/>
      <c r="G11" s="57" t="n"/>
      <c r="H11" s="57" t="n"/>
      <c r="I11" s="57" t="n"/>
      <c r="J11" s="57" t="n"/>
      <c r="K11" s="58">
        <f>IF(NOT((COUNTA($B11:$J11)+COUNTA($M11))&gt;0),"",IFERROR(LOOKUP(2,1/(G11:J11&lt;&gt;""),G11:J11),0))</f>
        <v/>
      </c>
      <c r="L11" s="53">
        <f>IF(K11="","",IF(K11&gt;=1,"Completado",IF(K11&gt;0,"En curso","Pendiente")))</f>
        <v/>
      </c>
      <c r="M11" s="54" t="n"/>
      <c r="N11" s="59">
        <f>IF(NOT((COUNTA($B11:$J11)+COUNTA($M11))&gt;0),"",IF((IF(B11="","Macroactividad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","")&amp;IF(ABS(SUM($F$5:$F$1000)-1)&gt;0.0001,"Pesos del puesto suman "&amp;TEXT(SUM($F$5:$F$1000),"0%")&amp;"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 OK","⚠ "&amp;LEFT(IF(B11="","Macroactividad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","")&amp;IF(ABS(SUM($F$5:$F$1000)-1)&gt;0.0001,"Pesos del puesto suman "&amp;TEXT(SUM($F$5:$F$1000),"0%")&amp;"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",""),LEN(IF(B11="","Macroactividad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","")&amp;IF(ABS(SUM($F$5:$F$1000)-1)&gt;0.0001,"Pesos del puesto suman "&amp;TEXT(SUM($F$5:$F$1000),"0%")&amp;"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",""))-3)))</f>
        <v/>
      </c>
    </row>
    <row r="12">
      <c r="A12" s="53">
        <f>IF(NOT((COUNTA($B12:$J12)+COUNTA($M12))&gt;0),"",COUNTIF($L$5:$L12,"?*"))</f>
        <v/>
      </c>
      <c r="B12" s="54" t="n"/>
      <c r="C12" s="54" t="n"/>
      <c r="D12" s="55" t="n"/>
      <c r="E12" s="55" t="n"/>
      <c r="F12" s="56" t="n"/>
      <c r="G12" s="57" t="n"/>
      <c r="H12" s="57" t="n"/>
      <c r="I12" s="57" t="n"/>
      <c r="J12" s="57" t="n"/>
      <c r="K12" s="58">
        <f>IF(NOT((COUNTA($B12:$J12)+COUNTA($M12))&gt;0),"",IFERROR(LOOKUP(2,1/(G12:J12&lt;&gt;""),G12:J12),0))</f>
        <v/>
      </c>
      <c r="L12" s="53">
        <f>IF(K12="","",IF(K12&gt;=1,"Completado",IF(K12&gt;0,"En curso","Pendiente")))</f>
        <v/>
      </c>
      <c r="M12" s="54" t="n"/>
      <c r="N12" s="59">
        <f>IF(NOT((COUNTA($B12:$J12)+COUNTA($M12))&gt;0),"",IF((IF(B12="","Macroactividad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","")&amp;IF(ABS(SUM($F$5:$F$1000)-1)&gt;0.0001,"Pesos del puesto suman "&amp;TEXT(SUM($F$5:$F$1000),"0%")&amp;"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 OK","⚠ "&amp;LEFT(IF(B12="","Macroactividad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","")&amp;IF(ABS(SUM($F$5:$F$1000)-1)&gt;0.0001,"Pesos del puesto suman "&amp;TEXT(SUM($F$5:$F$1000),"0%")&amp;"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",""),LEN(IF(B12="","Macroactividad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","")&amp;IF(ABS(SUM($F$5:$F$1000)-1)&gt;0.0001,"Pesos del puesto suman "&amp;TEXT(SUM($F$5:$F$1000),"0%")&amp;"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",""))-3)))</f>
        <v/>
      </c>
    </row>
    <row r="13">
      <c r="A13" s="53">
        <f>IF(NOT((COUNTA($B13:$J13)+COUNTA($M13))&gt;0),"",COUNTIF($L$5:$L13,"?*"))</f>
        <v/>
      </c>
      <c r="B13" s="54" t="n"/>
      <c r="C13" s="54" t="n"/>
      <c r="D13" s="55" t="n"/>
      <c r="E13" s="55" t="n"/>
      <c r="F13" s="56" t="n"/>
      <c r="G13" s="57" t="n"/>
      <c r="H13" s="57" t="n"/>
      <c r="I13" s="57" t="n"/>
      <c r="J13" s="57" t="n"/>
      <c r="K13" s="58">
        <f>IF(NOT((COUNTA($B13:$J13)+COUNTA($M13))&gt;0),"",IFERROR(LOOKUP(2,1/(G13:J13&lt;&gt;""),G13:J13),0))</f>
        <v/>
      </c>
      <c r="L13" s="53">
        <f>IF(K13="","",IF(K13&gt;=1,"Completado",IF(K13&gt;0,"En curso","Pendiente")))</f>
        <v/>
      </c>
      <c r="M13" s="54" t="n"/>
      <c r="N13" s="59">
        <f>IF(NOT((COUNTA($B13:$J13)+COUNTA($M13))&gt;0),"",IF((IF(B13="","Macroactividad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","")&amp;IF(ABS(SUM($F$5:$F$1000)-1)&gt;0.0001,"Pesos del puesto suman "&amp;TEXT(SUM($F$5:$F$1000),"0%")&amp;"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 OK","⚠ "&amp;LEFT(IF(B13="","Macroactividad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","")&amp;IF(ABS(SUM($F$5:$F$1000)-1)&gt;0.0001,"Pesos del puesto suman "&amp;TEXT(SUM($F$5:$F$1000),"0%")&amp;"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",""),LEN(IF(B13="","Macroactividad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","")&amp;IF(ABS(SUM($F$5:$F$1000)-1)&gt;0.0001,"Pesos del puesto suman "&amp;TEXT(SUM($F$5:$F$1000),"0%")&amp;"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",""))-3)))</f>
        <v/>
      </c>
    </row>
    <row r="14">
      <c r="A14" s="53">
        <f>IF(NOT((COUNTA($B14:$J14)+COUNTA($M14))&gt;0),"",COUNTIF($L$5:$L14,"?*"))</f>
        <v/>
      </c>
      <c r="B14" s="54" t="n"/>
      <c r="C14" s="54" t="n"/>
      <c r="D14" s="55" t="n"/>
      <c r="E14" s="55" t="n"/>
      <c r="F14" s="56" t="n"/>
      <c r="G14" s="57" t="n"/>
      <c r="H14" s="57" t="n"/>
      <c r="I14" s="57" t="n"/>
      <c r="J14" s="57" t="n"/>
      <c r="K14" s="58">
        <f>IF(NOT((COUNTA($B14:$J14)+COUNTA($M14))&gt;0),"",IFERROR(LOOKUP(2,1/(G14:J14&lt;&gt;""),G14:J14),0))</f>
        <v/>
      </c>
      <c r="L14" s="53">
        <f>IF(K14="","",IF(K14&gt;=1,"Completado",IF(K14&gt;0,"En curso","Pendiente")))</f>
        <v/>
      </c>
      <c r="M14" s="54" t="n"/>
      <c r="N14" s="59">
        <f>IF(NOT((COUNTA($B14:$J14)+COUNTA($M14))&gt;0),"",IF((IF(B14="","Macroactividad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","")&amp;IF(ABS(SUM($F$5:$F$1000)-1)&gt;0.0001,"Pesos del puesto suman "&amp;TEXT(SUM($F$5:$F$1000),"0%")&amp;"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 OK","⚠ "&amp;LEFT(IF(B14="","Macroactividad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","")&amp;IF(ABS(SUM($F$5:$F$1000)-1)&gt;0.0001,"Pesos del puesto suman "&amp;TEXT(SUM($F$5:$F$1000),"0%")&amp;"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",""),LEN(IF(B14="","Macroactividad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","")&amp;IF(ABS(SUM($F$5:$F$1000)-1)&gt;0.0001,"Pesos del puesto suman "&amp;TEXT(SUM($F$5:$F$1000),"0%")&amp;"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",""))-3)))</f>
        <v/>
      </c>
    </row>
    <row r="15">
      <c r="A15" s="53">
        <f>IF(NOT((COUNTA($B15:$J15)+COUNTA($M15))&gt;0),"",COUNTIF($L$5:$L15,"?*"))</f>
        <v/>
      </c>
      <c r="B15" s="54" t="n"/>
      <c r="C15" s="54" t="n"/>
      <c r="D15" s="55" t="n"/>
      <c r="E15" s="55" t="n"/>
      <c r="F15" s="56" t="n"/>
      <c r="G15" s="57" t="n"/>
      <c r="H15" s="57" t="n"/>
      <c r="I15" s="57" t="n"/>
      <c r="J15" s="57" t="n"/>
      <c r="K15" s="58">
        <f>IF(NOT((COUNTA($B15:$J15)+COUNTA($M15))&gt;0),"",IFERROR(LOOKUP(2,1/(G15:J15&lt;&gt;""),G15:J15),0))</f>
        <v/>
      </c>
      <c r="L15" s="53">
        <f>IF(K15="","",IF(K15&gt;=1,"Completado",IF(K15&gt;0,"En curso","Pendiente")))</f>
        <v/>
      </c>
      <c r="M15" s="54" t="n"/>
      <c r="N15" s="59">
        <f>IF(NOT((COUNTA($B15:$J15)+COUNTA($M15))&gt;0),"",IF((IF(B15="","Macroactividad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","")&amp;IF(ABS(SUM($F$5:$F$1000)-1)&gt;0.0001,"Pesos del puesto suman "&amp;TEXT(SUM($F$5:$F$1000),"0%")&amp;"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 OK","⚠ "&amp;LEFT(IF(B15="","Macroactividad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","")&amp;IF(ABS(SUM($F$5:$F$1000)-1)&gt;0.0001,"Pesos del puesto suman "&amp;TEXT(SUM($F$5:$F$1000),"0%")&amp;"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",""),LEN(IF(B15="","Macroactividad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","")&amp;IF(ABS(SUM($F$5:$F$1000)-1)&gt;0.0001,"Pesos del puesto suman "&amp;TEXT(SUM($F$5:$F$1000),"0%")&amp;"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",""))-3)))</f>
        <v/>
      </c>
    </row>
    <row r="16">
      <c r="A16" s="53">
        <f>IF(NOT((COUNTA($B16:$J16)+COUNTA($M16))&gt;0),"",COUNTIF($L$5:$L16,"?*"))</f>
        <v/>
      </c>
      <c r="B16" s="54" t="n"/>
      <c r="C16" s="54" t="n"/>
      <c r="D16" s="55" t="n"/>
      <c r="E16" s="55" t="n"/>
      <c r="F16" s="56" t="n"/>
      <c r="G16" s="57" t="n"/>
      <c r="H16" s="57" t="n"/>
      <c r="I16" s="57" t="n"/>
      <c r="J16" s="57" t="n"/>
      <c r="K16" s="58">
        <f>IF(NOT((COUNTA($B16:$J16)+COUNTA($M16))&gt;0),"",IFERROR(LOOKUP(2,1/(G16:J16&lt;&gt;""),G16:J16),0))</f>
        <v/>
      </c>
      <c r="L16" s="53">
        <f>IF(K16="","",IF(K16&gt;=1,"Completado",IF(K16&gt;0,"En curso","Pendiente")))</f>
        <v/>
      </c>
      <c r="M16" s="54" t="n"/>
      <c r="N16" s="59">
        <f>IF(NOT((COUNTA($B16:$J16)+COUNTA($M16))&gt;0),"",IF((IF(B16="","Macroactividad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","")&amp;IF(ABS(SUM($F$5:$F$1000)-1)&gt;0.0001,"Pesos del puesto suman "&amp;TEXT(SUM($F$5:$F$1000),"0%")&amp;"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 OK","⚠ "&amp;LEFT(IF(B16="","Macroactividad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","")&amp;IF(ABS(SUM($F$5:$F$1000)-1)&gt;0.0001,"Pesos del puesto suman "&amp;TEXT(SUM($F$5:$F$1000),"0%")&amp;"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",""),LEN(IF(B16="","Macroactividad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","")&amp;IF(ABS(SUM($F$5:$F$1000)-1)&gt;0.0001,"Pesos del puesto suman "&amp;TEXT(SUM($F$5:$F$1000),"0%")&amp;"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",""))-3)))</f>
        <v/>
      </c>
    </row>
    <row r="17">
      <c r="A17" s="53">
        <f>IF(NOT((COUNTA($B17:$J17)+COUNTA($M17))&gt;0),"",COUNTIF($L$5:$L17,"?*"))</f>
        <v/>
      </c>
      <c r="B17" s="54" t="n"/>
      <c r="C17" s="54" t="n"/>
      <c r="D17" s="55" t="n"/>
      <c r="E17" s="55" t="n"/>
      <c r="F17" s="56" t="n"/>
      <c r="G17" s="57" t="n"/>
      <c r="H17" s="57" t="n"/>
      <c r="I17" s="57" t="n"/>
      <c r="J17" s="57" t="n"/>
      <c r="K17" s="58">
        <f>IF(NOT((COUNTA($B17:$J17)+COUNTA($M17))&gt;0),"",IFERROR(LOOKUP(2,1/(G17:J17&lt;&gt;""),G17:J17),0))</f>
        <v/>
      </c>
      <c r="L17" s="53">
        <f>IF(K17="","",IF(K17&gt;=1,"Completado",IF(K17&gt;0,"En curso","Pendiente")))</f>
        <v/>
      </c>
      <c r="M17" s="54" t="n"/>
      <c r="N17" s="59">
        <f>IF(NOT((COUNTA($B17:$J17)+COUNTA($M17))&gt;0),"",IF((IF(B17="","Macroactividad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","")&amp;IF(ABS(SUM($F$5:$F$1000)-1)&gt;0.0001,"Pesos del puesto suman "&amp;TEXT(SUM($F$5:$F$1000),"0%")&amp;"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 OK","⚠ "&amp;LEFT(IF(B17="","Macroactividad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","")&amp;IF(ABS(SUM($F$5:$F$1000)-1)&gt;0.0001,"Pesos del puesto suman "&amp;TEXT(SUM($F$5:$F$1000),"0%")&amp;"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",""),LEN(IF(B17="","Macroactividad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","")&amp;IF(ABS(SUM($F$5:$F$1000)-1)&gt;0.0001,"Pesos del puesto suman "&amp;TEXT(SUM($F$5:$F$1000),"0%")&amp;"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",""))-3)))</f>
        <v/>
      </c>
    </row>
    <row r="18">
      <c r="A18" s="53">
        <f>IF(NOT((COUNTA($B18:$J18)+COUNTA($M18))&gt;0),"",COUNTIF($L$5:$L18,"?*"))</f>
        <v/>
      </c>
      <c r="B18" s="54" t="n"/>
      <c r="C18" s="54" t="n"/>
      <c r="D18" s="55" t="n"/>
      <c r="E18" s="55" t="n"/>
      <c r="F18" s="56" t="n"/>
      <c r="G18" s="57" t="n"/>
      <c r="H18" s="57" t="n"/>
      <c r="I18" s="57" t="n"/>
      <c r="J18" s="57" t="n"/>
      <c r="K18" s="58">
        <f>IF(NOT((COUNTA($B18:$J18)+COUNTA($M18))&gt;0),"",IFERROR(LOOKUP(2,1/(G18:J18&lt;&gt;""),G18:J18),0))</f>
        <v/>
      </c>
      <c r="L18" s="53">
        <f>IF(K18="","",IF(K18&gt;=1,"Completado",IF(K18&gt;0,"En curso","Pendiente")))</f>
        <v/>
      </c>
      <c r="M18" s="54" t="n"/>
      <c r="N18" s="59">
        <f>IF(NOT((COUNTA($B18:$J18)+COUNTA($M18))&gt;0),"",IF((IF(B18="","Macroactividad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","")&amp;IF(ABS(SUM($F$5:$F$1000)-1)&gt;0.0001,"Pesos del puesto suman "&amp;TEXT(SUM($F$5:$F$1000),"0%")&amp;"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 OK","⚠ "&amp;LEFT(IF(B18="","Macroactividad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","")&amp;IF(ABS(SUM($F$5:$F$1000)-1)&gt;0.0001,"Pesos del puesto suman "&amp;TEXT(SUM($F$5:$F$1000),"0%")&amp;"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",""),LEN(IF(B18="","Macroactividad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","")&amp;IF(ABS(SUM($F$5:$F$1000)-1)&gt;0.0001,"Pesos del puesto suman "&amp;TEXT(SUM($F$5:$F$1000),"0%")&amp;"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",""))-3)))</f>
        <v/>
      </c>
    </row>
    <row r="19">
      <c r="A19" s="53">
        <f>IF(NOT((COUNTA($B19:$J19)+COUNTA($M19))&gt;0),"",COUNTIF($L$5:$L19,"?*"))</f>
        <v/>
      </c>
      <c r="B19" s="54" t="n"/>
      <c r="C19" s="54" t="n"/>
      <c r="D19" s="55" t="n"/>
      <c r="E19" s="55" t="n"/>
      <c r="F19" s="56" t="n"/>
      <c r="G19" s="57" t="n"/>
      <c r="H19" s="57" t="n"/>
      <c r="I19" s="57" t="n"/>
      <c r="J19" s="57" t="n"/>
      <c r="K19" s="58">
        <f>IF(NOT((COUNTA($B19:$J19)+COUNTA($M19))&gt;0),"",IFERROR(LOOKUP(2,1/(G19:J19&lt;&gt;""),G19:J19),0))</f>
        <v/>
      </c>
      <c r="L19" s="53">
        <f>IF(K19="","",IF(K19&gt;=1,"Completado",IF(K19&gt;0,"En curso","Pendiente")))</f>
        <v/>
      </c>
      <c r="M19" s="54" t="n"/>
      <c r="N19" s="59">
        <f>IF(NOT((COUNTA($B19:$J19)+COUNTA($M19))&gt;0),"",IF((IF(B19="","Macroactividad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","")&amp;IF(ABS(SUM($F$5:$F$1000)-1)&gt;0.0001,"Pesos del puesto suman "&amp;TEXT(SUM($F$5:$F$1000),"0%")&amp;"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 OK","⚠ "&amp;LEFT(IF(B19="","Macroactividad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","")&amp;IF(ABS(SUM($F$5:$F$1000)-1)&gt;0.0001,"Pesos del puesto suman "&amp;TEXT(SUM($F$5:$F$1000),"0%")&amp;"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",""),LEN(IF(B19="","Macroactividad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","")&amp;IF(ABS(SUM($F$5:$F$1000)-1)&gt;0.0001,"Pesos del puesto suman "&amp;TEXT(SUM($F$5:$F$1000),"0%")&amp;"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",""))-3)))</f>
        <v/>
      </c>
    </row>
    <row r="20">
      <c r="A20" s="53">
        <f>IF(NOT((COUNTA($B20:$J20)+COUNTA($M20))&gt;0),"",COUNTIF($L$5:$L20,"?*"))</f>
        <v/>
      </c>
      <c r="B20" s="54" t="n"/>
      <c r="C20" s="54" t="n"/>
      <c r="D20" s="55" t="n"/>
      <c r="E20" s="55" t="n"/>
      <c r="F20" s="56" t="n"/>
      <c r="G20" s="57" t="n"/>
      <c r="H20" s="57" t="n"/>
      <c r="I20" s="57" t="n"/>
      <c r="J20" s="57" t="n"/>
      <c r="K20" s="58">
        <f>IF(NOT((COUNTA($B20:$J20)+COUNTA($M20))&gt;0),"",IFERROR(LOOKUP(2,1/(G20:J20&lt;&gt;""),G20:J20),0))</f>
        <v/>
      </c>
      <c r="L20" s="53">
        <f>IF(K20="","",IF(K20&gt;=1,"Completado",IF(K20&gt;0,"En curso","Pendiente")))</f>
        <v/>
      </c>
      <c r="M20" s="54" t="n"/>
      <c r="N20" s="59">
        <f>IF(NOT((COUNTA($B20:$J20)+COUNTA($M20))&gt;0),"",IF((IF(B20="","Macroactividad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","")&amp;IF(ABS(SUM($F$5:$F$1000)-1)&gt;0.0001,"Pesos del puesto suman "&amp;TEXT(SUM($F$5:$F$1000),"0%")&amp;"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 OK","⚠ "&amp;LEFT(IF(B20="","Macroactividad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","")&amp;IF(ABS(SUM($F$5:$F$1000)-1)&gt;0.0001,"Pesos del puesto suman "&amp;TEXT(SUM($F$5:$F$1000),"0%")&amp;"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",""),LEN(IF(B20="","Macroactividad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","")&amp;IF(ABS(SUM($F$5:$F$1000)-1)&gt;0.0001,"Pesos del puesto suman "&amp;TEXT(SUM($F$5:$F$1000),"0%")&amp;"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",""))-3)))</f>
        <v/>
      </c>
    </row>
    <row r="21">
      <c r="A21" s="53">
        <f>IF(NOT((COUNTA($B21:$J21)+COUNTA($M21))&gt;0),"",COUNTIF($L$5:$L21,"?*"))</f>
        <v/>
      </c>
      <c r="B21" s="54" t="n"/>
      <c r="C21" s="54" t="n"/>
      <c r="D21" s="55" t="n"/>
      <c r="E21" s="55" t="n"/>
      <c r="F21" s="56" t="n"/>
      <c r="G21" s="57" t="n"/>
      <c r="H21" s="57" t="n"/>
      <c r="I21" s="57" t="n"/>
      <c r="J21" s="57" t="n"/>
      <c r="K21" s="58">
        <f>IF(NOT((COUNTA($B21:$J21)+COUNTA($M21))&gt;0),"",IFERROR(LOOKUP(2,1/(G21:J21&lt;&gt;""),G21:J21),0))</f>
        <v/>
      </c>
      <c r="L21" s="53">
        <f>IF(K21="","",IF(K21&gt;=1,"Completado",IF(K21&gt;0,"En curso","Pendiente")))</f>
        <v/>
      </c>
      <c r="M21" s="54" t="n"/>
      <c r="N21" s="59">
        <f>IF(NOT((COUNTA($B21:$J21)+COUNTA($M21))&gt;0),"",IF((IF(B21="","Macroactividad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","")&amp;IF(ABS(SUM($F$5:$F$1000)-1)&gt;0.0001,"Pesos del puesto suman "&amp;TEXT(SUM($F$5:$F$1000),"0%")&amp;"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 OK","⚠ "&amp;LEFT(IF(B21="","Macroactividad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","")&amp;IF(ABS(SUM($F$5:$F$1000)-1)&gt;0.0001,"Pesos del puesto suman "&amp;TEXT(SUM($F$5:$F$1000),"0%")&amp;"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",""),LEN(IF(B21="","Macroactividad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","")&amp;IF(ABS(SUM($F$5:$F$1000)-1)&gt;0.0001,"Pesos del puesto suman "&amp;TEXT(SUM($F$5:$F$1000),"0%")&amp;"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",""))-3)))</f>
        <v/>
      </c>
    </row>
    <row r="22">
      <c r="A22" s="53">
        <f>IF(NOT((COUNTA($B22:$J22)+COUNTA($M22))&gt;0),"",COUNTIF($L$5:$L22,"?*"))</f>
        <v/>
      </c>
      <c r="B22" s="54" t="n"/>
      <c r="C22" s="54" t="n"/>
      <c r="D22" s="55" t="n"/>
      <c r="E22" s="55" t="n"/>
      <c r="F22" s="56" t="n"/>
      <c r="G22" s="57" t="n"/>
      <c r="H22" s="57" t="n"/>
      <c r="I22" s="57" t="n"/>
      <c r="J22" s="57" t="n"/>
      <c r="K22" s="58">
        <f>IF(NOT((COUNTA($B22:$J22)+COUNTA($M22))&gt;0),"",IFERROR(LOOKUP(2,1/(G22:J22&lt;&gt;""),G22:J22),0))</f>
        <v/>
      </c>
      <c r="L22" s="53">
        <f>IF(K22="","",IF(K22&gt;=1,"Completado",IF(K22&gt;0,"En curso","Pendiente")))</f>
        <v/>
      </c>
      <c r="M22" s="54" t="n"/>
      <c r="N22" s="59">
        <f>IF(NOT((COUNTA($B22:$J22)+COUNTA($M22))&gt;0),"",IF((IF(B22="","Macroactividad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","")&amp;IF(ABS(SUM($F$5:$F$1000)-1)&gt;0.0001,"Pesos del puesto suman "&amp;TEXT(SUM($F$5:$F$1000),"0%")&amp;"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 OK","⚠ "&amp;LEFT(IF(B22="","Macroactividad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","")&amp;IF(ABS(SUM($F$5:$F$1000)-1)&gt;0.0001,"Pesos del puesto suman "&amp;TEXT(SUM($F$5:$F$1000),"0%")&amp;"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",""),LEN(IF(B22="","Macroactividad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","")&amp;IF(ABS(SUM($F$5:$F$1000)-1)&gt;0.0001,"Pesos del puesto suman "&amp;TEXT(SUM($F$5:$F$1000),"0%")&amp;"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",""))-3)))</f>
        <v/>
      </c>
    </row>
    <row r="23">
      <c r="A23" s="53">
        <f>IF(NOT((COUNTA($B23:$J23)+COUNTA($M23))&gt;0),"",COUNTIF($L$5:$L23,"?*"))</f>
        <v/>
      </c>
      <c r="B23" s="54" t="n"/>
      <c r="C23" s="54" t="n"/>
      <c r="D23" s="55" t="n"/>
      <c r="E23" s="55" t="n"/>
      <c r="F23" s="56" t="n"/>
      <c r="G23" s="57" t="n"/>
      <c r="H23" s="57" t="n"/>
      <c r="I23" s="57" t="n"/>
      <c r="J23" s="57" t="n"/>
      <c r="K23" s="58">
        <f>IF(NOT((COUNTA($B23:$J23)+COUNTA($M23))&gt;0),"",IFERROR(LOOKUP(2,1/(G23:J23&lt;&gt;""),G23:J23),0))</f>
        <v/>
      </c>
      <c r="L23" s="53">
        <f>IF(K23="","",IF(K23&gt;=1,"Completado",IF(K23&gt;0,"En curso","Pendiente")))</f>
        <v/>
      </c>
      <c r="M23" s="54" t="n"/>
      <c r="N23" s="59">
        <f>IF(NOT((COUNTA($B23:$J23)+COUNTA($M23))&gt;0),"",IF((IF(B23="","Macroactividad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","")&amp;IF(ABS(SUM($F$5:$F$1000)-1)&gt;0.0001,"Pesos del puesto suman "&amp;TEXT(SUM($F$5:$F$1000),"0%")&amp;"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 OK","⚠ "&amp;LEFT(IF(B23="","Macroactividad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","")&amp;IF(ABS(SUM($F$5:$F$1000)-1)&gt;0.0001,"Pesos del puesto suman "&amp;TEXT(SUM($F$5:$F$1000),"0%")&amp;"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",""),LEN(IF(B23="","Macroactividad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","")&amp;IF(ABS(SUM($F$5:$F$1000)-1)&gt;0.0001,"Pesos del puesto suman "&amp;TEXT(SUM($F$5:$F$1000),"0%")&amp;"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",""))-3)))</f>
        <v/>
      </c>
    </row>
    <row r="24">
      <c r="A24" s="53">
        <f>IF(NOT((COUNTA($B24:$J24)+COUNTA($M24))&gt;0),"",COUNTIF($L$5:$L24,"?*"))</f>
        <v/>
      </c>
      <c r="B24" s="54" t="n"/>
      <c r="C24" s="54" t="n"/>
      <c r="D24" s="55" t="n"/>
      <c r="E24" s="55" t="n"/>
      <c r="F24" s="56" t="n"/>
      <c r="G24" s="57" t="n"/>
      <c r="H24" s="57" t="n"/>
      <c r="I24" s="57" t="n"/>
      <c r="J24" s="57" t="n"/>
      <c r="K24" s="58">
        <f>IF(NOT((COUNTA($B24:$J24)+COUNTA($M24))&gt;0),"",IFERROR(LOOKUP(2,1/(G24:J24&lt;&gt;""),G24:J24),0))</f>
        <v/>
      </c>
      <c r="L24" s="53">
        <f>IF(K24="","",IF(K24&gt;=1,"Completado",IF(K24&gt;0,"En curso","Pendiente")))</f>
        <v/>
      </c>
      <c r="M24" s="54" t="n"/>
      <c r="N24" s="59">
        <f>IF(NOT((COUNTA($B24:$J24)+COUNTA($M24))&gt;0),"",IF((IF(B24="","Macroactividad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","")&amp;IF(ABS(SUM($F$5:$F$1000)-1)&gt;0.0001,"Pesos del puesto suman "&amp;TEXT(SUM($F$5:$F$1000),"0%")&amp;"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 OK","⚠ "&amp;LEFT(IF(B24="","Macroactividad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","")&amp;IF(ABS(SUM($F$5:$F$1000)-1)&gt;0.0001,"Pesos del puesto suman "&amp;TEXT(SUM($F$5:$F$1000),"0%")&amp;"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",""),LEN(IF(B24="","Macroactividad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","")&amp;IF(ABS(SUM($F$5:$F$1000)-1)&gt;0.0001,"Pesos del puesto suman "&amp;TEXT(SUM($F$5:$F$1000),"0%")&amp;"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",""))-3)))</f>
        <v/>
      </c>
    </row>
    <row r="25">
      <c r="A25" s="53">
        <f>IF(NOT((COUNTA($B25:$J25)+COUNTA($M25))&gt;0),"",COUNTIF($L$5:$L25,"?*"))</f>
        <v/>
      </c>
      <c r="B25" s="54" t="n"/>
      <c r="C25" s="54" t="n"/>
      <c r="D25" s="55" t="n"/>
      <c r="E25" s="55" t="n"/>
      <c r="F25" s="56" t="n"/>
      <c r="G25" s="57" t="n"/>
      <c r="H25" s="57" t="n"/>
      <c r="I25" s="57" t="n"/>
      <c r="J25" s="57" t="n"/>
      <c r="K25" s="58">
        <f>IF(NOT((COUNTA($B25:$J25)+COUNTA($M25))&gt;0),"",IFERROR(LOOKUP(2,1/(G25:J25&lt;&gt;""),G25:J25),0))</f>
        <v/>
      </c>
      <c r="L25" s="53">
        <f>IF(K25="","",IF(K25&gt;=1,"Completado",IF(K25&gt;0,"En curso","Pendiente")))</f>
        <v/>
      </c>
      <c r="M25" s="54" t="n"/>
      <c r="N25" s="59">
        <f>IF(NOT((COUNTA($B25:$J25)+COUNTA($M25))&gt;0),"",IF((IF(B25="","Macroactividad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","")&amp;IF(ABS(SUM($F$5:$F$1000)-1)&gt;0.0001,"Pesos del puesto suman "&amp;TEXT(SUM($F$5:$F$1000),"0%")&amp;"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 OK","⚠ "&amp;LEFT(IF(B25="","Macroactividad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","")&amp;IF(ABS(SUM($F$5:$F$1000)-1)&gt;0.0001,"Pesos del puesto suman "&amp;TEXT(SUM($F$5:$F$1000),"0%")&amp;"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",""),LEN(IF(B25="","Macroactividad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","")&amp;IF(ABS(SUM($F$5:$F$1000)-1)&gt;0.0001,"Pesos del puesto suman "&amp;TEXT(SUM($F$5:$F$1000),"0%")&amp;"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",""))-3)))</f>
        <v/>
      </c>
    </row>
    <row r="26">
      <c r="A26" s="53">
        <f>IF(NOT((COUNTA($B26:$J26)+COUNTA($M26))&gt;0),"",COUNTIF($L$5:$L26,"?*"))</f>
        <v/>
      </c>
      <c r="B26" s="54" t="n"/>
      <c r="C26" s="54" t="n"/>
      <c r="D26" s="55" t="n"/>
      <c r="E26" s="55" t="n"/>
      <c r="F26" s="56" t="n"/>
      <c r="G26" s="57" t="n"/>
      <c r="H26" s="57" t="n"/>
      <c r="I26" s="57" t="n"/>
      <c r="J26" s="57" t="n"/>
      <c r="K26" s="58">
        <f>IF(NOT((COUNTA($B26:$J26)+COUNTA($M26))&gt;0),"",IFERROR(LOOKUP(2,1/(G26:J26&lt;&gt;""),G26:J26),0))</f>
        <v/>
      </c>
      <c r="L26" s="53">
        <f>IF(K26="","",IF(K26&gt;=1,"Completado",IF(K26&gt;0,"En curso","Pendiente")))</f>
        <v/>
      </c>
      <c r="M26" s="54" t="n"/>
      <c r="N26" s="59">
        <f>IF(NOT((COUNTA($B26:$J26)+COUNTA($M26))&gt;0),"",IF((IF(B26="","Macroactividad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","")&amp;IF(ABS(SUM($F$5:$F$1000)-1)&gt;0.0001,"Pesos del puesto suman "&amp;TEXT(SUM($F$5:$F$1000),"0%")&amp;"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 OK","⚠ "&amp;LEFT(IF(B26="","Macroactividad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","")&amp;IF(ABS(SUM($F$5:$F$1000)-1)&gt;0.0001,"Pesos del puesto suman "&amp;TEXT(SUM($F$5:$F$1000),"0%")&amp;"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",""),LEN(IF(B26="","Macroactividad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","")&amp;IF(ABS(SUM($F$5:$F$1000)-1)&gt;0.0001,"Pesos del puesto suman "&amp;TEXT(SUM($F$5:$F$1000),"0%")&amp;"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",""))-3)))</f>
        <v/>
      </c>
    </row>
    <row r="27">
      <c r="A27" s="53">
        <f>IF(NOT((COUNTA($B27:$J27)+COUNTA($M27))&gt;0),"",COUNTIF($L$5:$L27,"?*"))</f>
        <v/>
      </c>
      <c r="B27" s="54" t="n"/>
      <c r="C27" s="54" t="n"/>
      <c r="D27" s="55" t="n"/>
      <c r="E27" s="55" t="n"/>
      <c r="F27" s="56" t="n"/>
      <c r="G27" s="57" t="n"/>
      <c r="H27" s="57" t="n"/>
      <c r="I27" s="57" t="n"/>
      <c r="J27" s="57" t="n"/>
      <c r="K27" s="58">
        <f>IF(NOT((COUNTA($B27:$J27)+COUNTA($M27))&gt;0),"",IFERROR(LOOKUP(2,1/(G27:J27&lt;&gt;""),G27:J27),0))</f>
        <v/>
      </c>
      <c r="L27" s="53">
        <f>IF(K27="","",IF(K27&gt;=1,"Completado",IF(K27&gt;0,"En curso","Pendiente")))</f>
        <v/>
      </c>
      <c r="M27" s="54" t="n"/>
      <c r="N27" s="59">
        <f>IF(NOT((COUNTA($B27:$J27)+COUNTA($M27))&gt;0),"",IF((IF(B27="","Macroactividad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","")&amp;IF(ABS(SUM($F$5:$F$1000)-1)&gt;0.0001,"Pesos del puesto suman "&amp;TEXT(SUM($F$5:$F$1000),"0%")&amp;"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 OK","⚠ "&amp;LEFT(IF(B27="","Macroactividad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","")&amp;IF(ABS(SUM($F$5:$F$1000)-1)&gt;0.0001,"Pesos del puesto suman "&amp;TEXT(SUM($F$5:$F$1000),"0%")&amp;"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",""),LEN(IF(B27="","Macroactividad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","")&amp;IF(ABS(SUM($F$5:$F$1000)-1)&gt;0.0001,"Pesos del puesto suman "&amp;TEXT(SUM($F$5:$F$1000),"0%")&amp;"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",""))-3)))</f>
        <v/>
      </c>
    </row>
    <row r="28">
      <c r="A28" s="53">
        <f>IF(NOT((COUNTA($B28:$J28)+COUNTA($M28))&gt;0),"",COUNTIF($L$5:$L28,"?*"))</f>
        <v/>
      </c>
      <c r="B28" s="54" t="n"/>
      <c r="C28" s="54" t="n"/>
      <c r="D28" s="55" t="n"/>
      <c r="E28" s="55" t="n"/>
      <c r="F28" s="56" t="n"/>
      <c r="G28" s="57" t="n"/>
      <c r="H28" s="57" t="n"/>
      <c r="I28" s="57" t="n"/>
      <c r="J28" s="57" t="n"/>
      <c r="K28" s="58">
        <f>IF(NOT((COUNTA($B28:$J28)+COUNTA($M28))&gt;0),"",IFERROR(LOOKUP(2,1/(G28:J28&lt;&gt;""),G28:J28),0))</f>
        <v/>
      </c>
      <c r="L28" s="53">
        <f>IF(K28="","",IF(K28&gt;=1,"Completado",IF(K28&gt;0,"En curso","Pendiente")))</f>
        <v/>
      </c>
      <c r="M28" s="54" t="n"/>
      <c r="N28" s="59">
        <f>IF(NOT((COUNTA($B28:$J28)+COUNTA($M28))&gt;0),"",IF((IF(B28="","Macroactividad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","")&amp;IF(ABS(SUM($F$5:$F$1000)-1)&gt;0.0001,"Pesos del puesto suman "&amp;TEXT(SUM($F$5:$F$1000),"0%")&amp;"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 OK","⚠ "&amp;LEFT(IF(B28="","Macroactividad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","")&amp;IF(ABS(SUM($F$5:$F$1000)-1)&gt;0.0001,"Pesos del puesto suman "&amp;TEXT(SUM($F$5:$F$1000),"0%")&amp;"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",""),LEN(IF(B28="","Macroactividad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","")&amp;IF(ABS(SUM($F$5:$F$1000)-1)&gt;0.0001,"Pesos del puesto suman "&amp;TEXT(SUM($F$5:$F$1000),"0%")&amp;"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",""))-3)))</f>
        <v/>
      </c>
    </row>
    <row r="29">
      <c r="A29" s="53">
        <f>IF(NOT((COUNTA($B29:$J29)+COUNTA($M29))&gt;0),"",COUNTIF($L$5:$L29,"?*"))</f>
        <v/>
      </c>
      <c r="B29" s="54" t="n"/>
      <c r="C29" s="54" t="n"/>
      <c r="D29" s="55" t="n"/>
      <c r="E29" s="55" t="n"/>
      <c r="F29" s="56" t="n"/>
      <c r="G29" s="57" t="n"/>
      <c r="H29" s="57" t="n"/>
      <c r="I29" s="57" t="n"/>
      <c r="J29" s="57" t="n"/>
      <c r="K29" s="58">
        <f>IF(NOT((COUNTA($B29:$J29)+COUNTA($M29))&gt;0),"",IFERROR(LOOKUP(2,1/(G29:J29&lt;&gt;""),G29:J29),0))</f>
        <v/>
      </c>
      <c r="L29" s="53">
        <f>IF(K29="","",IF(K29&gt;=1,"Completado",IF(K29&gt;0,"En curso","Pendiente")))</f>
        <v/>
      </c>
      <c r="M29" s="54" t="n"/>
      <c r="N29" s="59">
        <f>IF(NOT((COUNTA($B29:$J29)+COUNTA($M29))&gt;0),"",IF((IF(B29="","Macroactividad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","")&amp;IF(ABS(SUM($F$5:$F$1000)-1)&gt;0.0001,"Pesos del puesto suman "&amp;TEXT(SUM($F$5:$F$1000),"0%")&amp;"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 OK","⚠ "&amp;LEFT(IF(B29="","Macroactividad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","")&amp;IF(ABS(SUM($F$5:$F$1000)-1)&gt;0.0001,"Pesos del puesto suman "&amp;TEXT(SUM($F$5:$F$1000),"0%")&amp;"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",""),LEN(IF(B29="","Macroactividad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","")&amp;IF(ABS(SUM($F$5:$F$1000)-1)&gt;0.0001,"Pesos del puesto suman "&amp;TEXT(SUM($F$5:$F$1000),"0%")&amp;"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",""))-3)))</f>
        <v/>
      </c>
    </row>
    <row r="30">
      <c r="A30" s="53">
        <f>IF(NOT((COUNTA($B30:$J30)+COUNTA($M30))&gt;0),"",COUNTIF($L$5:$L30,"?*"))</f>
        <v/>
      </c>
      <c r="B30" s="54" t="n"/>
      <c r="C30" s="54" t="n"/>
      <c r="D30" s="55" t="n"/>
      <c r="E30" s="55" t="n"/>
      <c r="F30" s="56" t="n"/>
      <c r="G30" s="57" t="n"/>
      <c r="H30" s="57" t="n"/>
      <c r="I30" s="57" t="n"/>
      <c r="J30" s="57" t="n"/>
      <c r="K30" s="58">
        <f>IF(NOT((COUNTA($B30:$J30)+COUNTA($M30))&gt;0),"",IFERROR(LOOKUP(2,1/(G30:J30&lt;&gt;""),G30:J30),0))</f>
        <v/>
      </c>
      <c r="L30" s="53">
        <f>IF(K30="","",IF(K30&gt;=1,"Completado",IF(K30&gt;0,"En curso","Pendiente")))</f>
        <v/>
      </c>
      <c r="M30" s="54" t="n"/>
      <c r="N30" s="59">
        <f>IF(NOT((COUNTA($B30:$J30)+COUNTA($M30))&gt;0),"",IF((IF(B30="","Macroactividad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","")&amp;IF(ABS(SUM($F$5:$F$1000)-1)&gt;0.0001,"Pesos del puesto suman "&amp;TEXT(SUM($F$5:$F$1000),"0%")&amp;"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 OK","⚠ "&amp;LEFT(IF(B30="","Macroactividad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","")&amp;IF(ABS(SUM($F$5:$F$1000)-1)&gt;0.0001,"Pesos del puesto suman "&amp;TEXT(SUM($F$5:$F$1000),"0%")&amp;"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",""),LEN(IF(B30="","Macroactividad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","")&amp;IF(ABS(SUM($F$5:$F$1000)-1)&gt;0.0001,"Pesos del puesto suman "&amp;TEXT(SUM($F$5:$F$1000),"0%")&amp;"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",""))-3)))</f>
        <v/>
      </c>
    </row>
    <row r="31">
      <c r="A31" s="53">
        <f>IF(NOT((COUNTA($B31:$J31)+COUNTA($M31))&gt;0),"",COUNTIF($L$5:$L31,"?*"))</f>
        <v/>
      </c>
      <c r="B31" s="54" t="n"/>
      <c r="C31" s="54" t="n"/>
      <c r="D31" s="55" t="n"/>
      <c r="E31" s="55" t="n"/>
      <c r="F31" s="56" t="n"/>
      <c r="G31" s="57" t="n"/>
      <c r="H31" s="57" t="n"/>
      <c r="I31" s="57" t="n"/>
      <c r="J31" s="57" t="n"/>
      <c r="K31" s="58">
        <f>IF(NOT((COUNTA($B31:$J31)+COUNTA($M31))&gt;0),"",IFERROR(LOOKUP(2,1/(G31:J31&lt;&gt;""),G31:J31),0))</f>
        <v/>
      </c>
      <c r="L31" s="53">
        <f>IF(K31="","",IF(K31&gt;=1,"Completado",IF(K31&gt;0,"En curso","Pendiente")))</f>
        <v/>
      </c>
      <c r="M31" s="54" t="n"/>
      <c r="N31" s="59">
        <f>IF(NOT((COUNTA($B31:$J31)+COUNTA($M31))&gt;0),"",IF((IF(B31="","Macroactividad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","")&amp;IF(ABS(SUM($F$5:$F$1000)-1)&gt;0.0001,"Pesos del puesto suman "&amp;TEXT(SUM($F$5:$F$1000),"0%")&amp;"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 OK","⚠ "&amp;LEFT(IF(B31="","Macroactividad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","")&amp;IF(ABS(SUM($F$5:$F$1000)-1)&gt;0.0001,"Pesos del puesto suman "&amp;TEXT(SUM($F$5:$F$1000),"0%")&amp;"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",""),LEN(IF(B31="","Macroactividad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","")&amp;IF(ABS(SUM($F$5:$F$1000)-1)&gt;0.0001,"Pesos del puesto suman "&amp;TEXT(SUM($F$5:$F$1000),"0%")&amp;"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",""))-3)))</f>
        <v/>
      </c>
    </row>
    <row r="32">
      <c r="A32" s="53">
        <f>IF(NOT((COUNTA($B32:$J32)+COUNTA($M32))&gt;0),"",COUNTIF($L$5:$L32,"?*"))</f>
        <v/>
      </c>
      <c r="B32" s="54" t="n"/>
      <c r="C32" s="54" t="n"/>
      <c r="D32" s="55" t="n"/>
      <c r="E32" s="55" t="n"/>
      <c r="F32" s="56" t="n"/>
      <c r="G32" s="57" t="n"/>
      <c r="H32" s="57" t="n"/>
      <c r="I32" s="57" t="n"/>
      <c r="J32" s="57" t="n"/>
      <c r="K32" s="58">
        <f>IF(NOT((COUNTA($B32:$J32)+COUNTA($M32))&gt;0),"",IFERROR(LOOKUP(2,1/(G32:J32&lt;&gt;""),G32:J32),0))</f>
        <v/>
      </c>
      <c r="L32" s="53">
        <f>IF(K32="","",IF(K32&gt;=1,"Completado",IF(K32&gt;0,"En curso","Pendiente")))</f>
        <v/>
      </c>
      <c r="M32" s="54" t="n"/>
      <c r="N32" s="59">
        <f>IF(NOT((COUNTA($B32:$J32)+COUNTA($M32))&gt;0),"",IF((IF(B32="","Macroactividad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","")&amp;IF(ABS(SUM($F$5:$F$1000)-1)&gt;0.0001,"Pesos del puesto suman "&amp;TEXT(SUM($F$5:$F$1000),"0%")&amp;"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 OK","⚠ "&amp;LEFT(IF(B32="","Macroactividad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","")&amp;IF(ABS(SUM($F$5:$F$1000)-1)&gt;0.0001,"Pesos del puesto suman "&amp;TEXT(SUM($F$5:$F$1000),"0%")&amp;"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",""),LEN(IF(B32="","Macroactividad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","")&amp;IF(ABS(SUM($F$5:$F$1000)-1)&gt;0.0001,"Pesos del puesto suman "&amp;TEXT(SUM($F$5:$F$1000),"0%")&amp;"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",""))-3)))</f>
        <v/>
      </c>
    </row>
    <row r="33">
      <c r="A33" s="53">
        <f>IF(NOT((COUNTA($B33:$J33)+COUNTA($M33))&gt;0),"",COUNTIF($L$5:$L33,"?*"))</f>
        <v/>
      </c>
      <c r="B33" s="54" t="n"/>
      <c r="C33" s="54" t="n"/>
      <c r="D33" s="55" t="n"/>
      <c r="E33" s="55" t="n"/>
      <c r="F33" s="56" t="n"/>
      <c r="G33" s="57" t="n"/>
      <c r="H33" s="57" t="n"/>
      <c r="I33" s="57" t="n"/>
      <c r="J33" s="57" t="n"/>
      <c r="K33" s="58">
        <f>IF(NOT((COUNTA($B33:$J33)+COUNTA($M33))&gt;0),"",IFERROR(LOOKUP(2,1/(G33:J33&lt;&gt;""),G33:J33),0))</f>
        <v/>
      </c>
      <c r="L33" s="53">
        <f>IF(K33="","",IF(K33&gt;=1,"Completado",IF(K33&gt;0,"En curso","Pendiente")))</f>
        <v/>
      </c>
      <c r="M33" s="54" t="n"/>
      <c r="N33" s="59">
        <f>IF(NOT((COUNTA($B33:$J33)+COUNTA($M33))&gt;0),"",IF((IF(B33="","Macroactividad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","")&amp;IF(ABS(SUM($F$5:$F$1000)-1)&gt;0.0001,"Pesos del puesto suman "&amp;TEXT(SUM($F$5:$F$1000),"0%")&amp;"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 OK","⚠ "&amp;LEFT(IF(B33="","Macroactividad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","")&amp;IF(ABS(SUM($F$5:$F$1000)-1)&gt;0.0001,"Pesos del puesto suman "&amp;TEXT(SUM($F$5:$F$1000),"0%")&amp;"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",""),LEN(IF(B33="","Macroactividad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","")&amp;IF(ABS(SUM($F$5:$F$1000)-1)&gt;0.0001,"Pesos del puesto suman "&amp;TEXT(SUM($F$5:$F$1000),"0%")&amp;"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",""))-3)))</f>
        <v/>
      </c>
    </row>
    <row r="34">
      <c r="A34" s="53">
        <f>IF(NOT((COUNTA($B34:$J34)+COUNTA($M34))&gt;0),"",COUNTIF($L$5:$L34,"?*"))</f>
        <v/>
      </c>
      <c r="B34" s="54" t="n"/>
      <c r="C34" s="54" t="n"/>
      <c r="D34" s="55" t="n"/>
      <c r="E34" s="55" t="n"/>
      <c r="F34" s="56" t="n"/>
      <c r="G34" s="57" t="n"/>
      <c r="H34" s="57" t="n"/>
      <c r="I34" s="57" t="n"/>
      <c r="J34" s="57" t="n"/>
      <c r="K34" s="58">
        <f>IF(NOT((COUNTA($B34:$J34)+COUNTA($M34))&gt;0),"",IFERROR(LOOKUP(2,1/(G34:J34&lt;&gt;""),G34:J34),0))</f>
        <v/>
      </c>
      <c r="L34" s="53">
        <f>IF(K34="","",IF(K34&gt;=1,"Completado",IF(K34&gt;0,"En curso","Pendiente")))</f>
        <v/>
      </c>
      <c r="M34" s="54" t="n"/>
      <c r="N34" s="59">
        <f>IF(NOT((COUNTA($B34:$J34)+COUNTA($M34))&gt;0),"",IF((IF(B34="","Macroactividad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","")&amp;IF(ABS(SUM($F$5:$F$1000)-1)&gt;0.0001,"Pesos del puesto suman "&amp;TEXT(SUM($F$5:$F$1000),"0%")&amp;"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 OK","⚠ "&amp;LEFT(IF(B34="","Macroactividad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","")&amp;IF(ABS(SUM($F$5:$F$1000)-1)&gt;0.0001,"Pesos del puesto suman "&amp;TEXT(SUM($F$5:$F$1000),"0%")&amp;"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",""),LEN(IF(B34="","Macroactividad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","")&amp;IF(ABS(SUM($F$5:$F$1000)-1)&gt;0.0001,"Pesos del puesto suman "&amp;TEXT(SUM($F$5:$F$1000),"0%")&amp;"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",""))-3)))</f>
        <v/>
      </c>
    </row>
    <row r="35">
      <c r="A35" s="53">
        <f>IF(NOT((COUNTA($B35:$J35)+COUNTA($M35))&gt;0),"",COUNTIF($L$5:$L35,"?*"))</f>
        <v/>
      </c>
      <c r="B35" s="54" t="n"/>
      <c r="C35" s="54" t="n"/>
      <c r="D35" s="55" t="n"/>
      <c r="E35" s="55" t="n"/>
      <c r="F35" s="56" t="n"/>
      <c r="G35" s="57" t="n"/>
      <c r="H35" s="57" t="n"/>
      <c r="I35" s="57" t="n"/>
      <c r="J35" s="57" t="n"/>
      <c r="K35" s="58">
        <f>IF(NOT((COUNTA($B35:$J35)+COUNTA($M35))&gt;0),"",IFERROR(LOOKUP(2,1/(G35:J35&lt;&gt;""),G35:J35),0))</f>
        <v/>
      </c>
      <c r="L35" s="53">
        <f>IF(K35="","",IF(K35&gt;=1,"Completado",IF(K35&gt;0,"En curso","Pendiente")))</f>
        <v/>
      </c>
      <c r="M35" s="54" t="n"/>
      <c r="N35" s="59">
        <f>IF(NOT((COUNTA($B35:$J35)+COUNTA($M35))&gt;0),"",IF((IF(B35="","Macroactividad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","")&amp;IF(ABS(SUM($F$5:$F$1000)-1)&gt;0.0001,"Pesos del puesto suman "&amp;TEXT(SUM($F$5:$F$1000),"0%")&amp;"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 OK","⚠ "&amp;LEFT(IF(B35="","Macroactividad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","")&amp;IF(ABS(SUM($F$5:$F$1000)-1)&gt;0.0001,"Pesos del puesto suman "&amp;TEXT(SUM($F$5:$F$1000),"0%")&amp;"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",""),LEN(IF(B35="","Macroactividad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","")&amp;IF(ABS(SUM($F$5:$F$1000)-1)&gt;0.0001,"Pesos del puesto suman "&amp;TEXT(SUM($F$5:$F$1000),"0%")&amp;"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",""))-3)))</f>
        <v/>
      </c>
    </row>
    <row r="36">
      <c r="A36" s="53">
        <f>IF(NOT((COUNTA($B36:$J36)+COUNTA($M36))&gt;0),"",COUNTIF($L$5:$L36,"?*"))</f>
        <v/>
      </c>
      <c r="B36" s="54" t="n"/>
      <c r="C36" s="54" t="n"/>
      <c r="D36" s="55" t="n"/>
      <c r="E36" s="55" t="n"/>
      <c r="F36" s="56" t="n"/>
      <c r="G36" s="57" t="n"/>
      <c r="H36" s="57" t="n"/>
      <c r="I36" s="57" t="n"/>
      <c r="J36" s="57" t="n"/>
      <c r="K36" s="58">
        <f>IF(NOT((COUNTA($B36:$J36)+COUNTA($M36))&gt;0),"",IFERROR(LOOKUP(2,1/(G36:J36&lt;&gt;""),G36:J36),0))</f>
        <v/>
      </c>
      <c r="L36" s="53">
        <f>IF(K36="","",IF(K36&gt;=1,"Completado",IF(K36&gt;0,"En curso","Pendiente")))</f>
        <v/>
      </c>
      <c r="M36" s="54" t="n"/>
      <c r="N36" s="59">
        <f>IF(NOT((COUNTA($B36:$J36)+COUNTA($M36))&gt;0),"",IF((IF(B36="","Macroactividad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","")&amp;IF(ABS(SUM($F$5:$F$1000)-1)&gt;0.0001,"Pesos del puesto suman "&amp;TEXT(SUM($F$5:$F$1000),"0%")&amp;"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 OK","⚠ "&amp;LEFT(IF(B36="","Macroactividad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","")&amp;IF(ABS(SUM($F$5:$F$1000)-1)&gt;0.0001,"Pesos del puesto suman "&amp;TEXT(SUM($F$5:$F$1000),"0%")&amp;"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",""),LEN(IF(B36="","Macroactividad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","")&amp;IF(ABS(SUM($F$5:$F$1000)-1)&gt;0.0001,"Pesos del puesto suman "&amp;TEXT(SUM($F$5:$F$1000),"0%")&amp;"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",""))-3)))</f>
        <v/>
      </c>
    </row>
    <row r="37">
      <c r="A37" s="53">
        <f>IF(NOT((COUNTA($B37:$J37)+COUNTA($M37))&gt;0),"",COUNTIF($L$5:$L37,"?*"))</f>
        <v/>
      </c>
      <c r="B37" s="54" t="n"/>
      <c r="C37" s="54" t="n"/>
      <c r="D37" s="55" t="n"/>
      <c r="E37" s="55" t="n"/>
      <c r="F37" s="56" t="n"/>
      <c r="G37" s="57" t="n"/>
      <c r="H37" s="57" t="n"/>
      <c r="I37" s="57" t="n"/>
      <c r="J37" s="57" t="n"/>
      <c r="K37" s="58">
        <f>IF(NOT((COUNTA($B37:$J37)+COUNTA($M37))&gt;0),"",IFERROR(LOOKUP(2,1/(G37:J37&lt;&gt;""),G37:J37),0))</f>
        <v/>
      </c>
      <c r="L37" s="53">
        <f>IF(K37="","",IF(K37&gt;=1,"Completado",IF(K37&gt;0,"En curso","Pendiente")))</f>
        <v/>
      </c>
      <c r="M37" s="54" t="n"/>
      <c r="N37" s="59">
        <f>IF(NOT((COUNTA($B37:$J37)+COUNTA($M37))&gt;0),"",IF((IF(B37="","Macroactividad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","")&amp;IF(ABS(SUM($F$5:$F$1000)-1)&gt;0.0001,"Pesos del puesto suman "&amp;TEXT(SUM($F$5:$F$1000),"0%")&amp;"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 OK","⚠ "&amp;LEFT(IF(B37="","Macroactividad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","")&amp;IF(ABS(SUM($F$5:$F$1000)-1)&gt;0.0001,"Pesos del puesto suman "&amp;TEXT(SUM($F$5:$F$1000),"0%")&amp;"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",""),LEN(IF(B37="","Macroactividad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","")&amp;IF(ABS(SUM($F$5:$F$1000)-1)&gt;0.0001,"Pesos del puesto suman "&amp;TEXT(SUM($F$5:$F$1000),"0%")&amp;"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",""))-3)))</f>
        <v/>
      </c>
    </row>
    <row r="38">
      <c r="A38" s="53">
        <f>IF(NOT((COUNTA($B38:$J38)+COUNTA($M38))&gt;0),"",COUNTIF($L$5:$L38,"?*"))</f>
        <v/>
      </c>
      <c r="B38" s="54" t="n"/>
      <c r="C38" s="54" t="n"/>
      <c r="D38" s="55" t="n"/>
      <c r="E38" s="55" t="n"/>
      <c r="F38" s="56" t="n"/>
      <c r="G38" s="57" t="n"/>
      <c r="H38" s="57" t="n"/>
      <c r="I38" s="57" t="n"/>
      <c r="J38" s="57" t="n"/>
      <c r="K38" s="58">
        <f>IF(NOT((COUNTA($B38:$J38)+COUNTA($M38))&gt;0),"",IFERROR(LOOKUP(2,1/(G38:J38&lt;&gt;""),G38:J38),0))</f>
        <v/>
      </c>
      <c r="L38" s="53">
        <f>IF(K38="","",IF(K38&gt;=1,"Completado",IF(K38&gt;0,"En curso","Pendiente")))</f>
        <v/>
      </c>
      <c r="M38" s="54" t="n"/>
      <c r="N38" s="59">
        <f>IF(NOT((COUNTA($B38:$J38)+COUNTA($M38))&gt;0),"",IF((IF(B38="","Macroactividad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","")&amp;IF(ABS(SUM($F$5:$F$1000)-1)&gt;0.0001,"Pesos del puesto suman "&amp;TEXT(SUM($F$5:$F$1000),"0%")&amp;"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 OK","⚠ "&amp;LEFT(IF(B38="","Macroactividad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","")&amp;IF(ABS(SUM($F$5:$F$1000)-1)&gt;0.0001,"Pesos del puesto suman "&amp;TEXT(SUM($F$5:$F$1000),"0%")&amp;"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",""),LEN(IF(B38="","Macroactividad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","")&amp;IF(ABS(SUM($F$5:$F$1000)-1)&gt;0.0001,"Pesos del puesto suman "&amp;TEXT(SUM($F$5:$F$1000),"0%")&amp;"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",""))-3)))</f>
        <v/>
      </c>
    </row>
    <row r="39">
      <c r="A39" s="53">
        <f>IF(NOT((COUNTA($B39:$J39)+COUNTA($M39))&gt;0),"",COUNTIF($L$5:$L39,"?*"))</f>
        <v/>
      </c>
      <c r="B39" s="54" t="n"/>
      <c r="C39" s="54" t="n"/>
      <c r="D39" s="55" t="n"/>
      <c r="E39" s="55" t="n"/>
      <c r="F39" s="56" t="n"/>
      <c r="G39" s="57" t="n"/>
      <c r="H39" s="57" t="n"/>
      <c r="I39" s="57" t="n"/>
      <c r="J39" s="57" t="n"/>
      <c r="K39" s="58">
        <f>IF(NOT((COUNTA($B39:$J39)+COUNTA($M39))&gt;0),"",IFERROR(LOOKUP(2,1/(G39:J39&lt;&gt;""),G39:J39),0))</f>
        <v/>
      </c>
      <c r="L39" s="53">
        <f>IF(K39="","",IF(K39&gt;=1,"Completado",IF(K39&gt;0,"En curso","Pendiente")))</f>
        <v/>
      </c>
      <c r="M39" s="54" t="n"/>
      <c r="N39" s="59">
        <f>IF(NOT((COUNTA($B39:$J39)+COUNTA($M39))&gt;0),"",IF((IF(B39="","Macroactividad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","")&amp;IF(ABS(SUM($F$5:$F$1000)-1)&gt;0.0001,"Pesos del puesto suman "&amp;TEXT(SUM($F$5:$F$1000),"0%")&amp;"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 OK","⚠ "&amp;LEFT(IF(B39="","Macroactividad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","")&amp;IF(ABS(SUM($F$5:$F$1000)-1)&gt;0.0001,"Pesos del puesto suman "&amp;TEXT(SUM($F$5:$F$1000),"0%")&amp;"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",""),LEN(IF(B39="","Macroactividad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","")&amp;IF(ABS(SUM($F$5:$F$1000)-1)&gt;0.0001,"Pesos del puesto suman "&amp;TEXT(SUM($F$5:$F$1000),"0%")&amp;"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",""))-3)))</f>
        <v/>
      </c>
    </row>
    <row r="40">
      <c r="A40" s="53">
        <f>IF(NOT((COUNTA($B40:$J40)+COUNTA($M40))&gt;0),"",COUNTIF($L$5:$L40,"?*"))</f>
        <v/>
      </c>
      <c r="B40" s="54" t="n"/>
      <c r="C40" s="54" t="n"/>
      <c r="D40" s="55" t="n"/>
      <c r="E40" s="55" t="n"/>
      <c r="F40" s="56" t="n"/>
      <c r="G40" s="57" t="n"/>
      <c r="H40" s="57" t="n"/>
      <c r="I40" s="57" t="n"/>
      <c r="J40" s="57" t="n"/>
      <c r="K40" s="58">
        <f>IF(NOT((COUNTA($B40:$J40)+COUNTA($M40))&gt;0),"",IFERROR(LOOKUP(2,1/(G40:J40&lt;&gt;""),G40:J40),0))</f>
        <v/>
      </c>
      <c r="L40" s="53">
        <f>IF(K40="","",IF(K40&gt;=1,"Completado",IF(K40&gt;0,"En curso","Pendiente")))</f>
        <v/>
      </c>
      <c r="M40" s="54" t="n"/>
      <c r="N40" s="59">
        <f>IF(NOT((COUNTA($B40:$J40)+COUNTA($M40))&gt;0),"",IF((IF(B40="","Macroactividad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","")&amp;IF(ABS(SUM($F$5:$F$1000)-1)&gt;0.0001,"Pesos del puesto suman "&amp;TEXT(SUM($F$5:$F$1000),"0%")&amp;"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 OK","⚠ "&amp;LEFT(IF(B40="","Macroactividad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","")&amp;IF(ABS(SUM($F$5:$F$1000)-1)&gt;0.0001,"Pesos del puesto suman "&amp;TEXT(SUM($F$5:$F$1000),"0%")&amp;"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",""),LEN(IF(B40="","Macroactividad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","")&amp;IF(ABS(SUM($F$5:$F$1000)-1)&gt;0.0001,"Pesos del puesto suman "&amp;TEXT(SUM($F$5:$F$1000),"0%")&amp;"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",""))-3)))</f>
        <v/>
      </c>
    </row>
    <row r="41">
      <c r="A41" s="53">
        <f>IF(NOT((COUNTA($B41:$J41)+COUNTA($M41))&gt;0),"",COUNTIF($L$5:$L41,"?*"))</f>
        <v/>
      </c>
      <c r="B41" s="54" t="n"/>
      <c r="C41" s="54" t="n"/>
      <c r="D41" s="55" t="n"/>
      <c r="E41" s="55" t="n"/>
      <c r="F41" s="56" t="n"/>
      <c r="G41" s="57" t="n"/>
      <c r="H41" s="57" t="n"/>
      <c r="I41" s="57" t="n"/>
      <c r="J41" s="57" t="n"/>
      <c r="K41" s="58">
        <f>IF(NOT((COUNTA($B41:$J41)+COUNTA($M41))&gt;0),"",IFERROR(LOOKUP(2,1/(G41:J41&lt;&gt;""),G41:J41),0))</f>
        <v/>
      </c>
      <c r="L41" s="53">
        <f>IF(K41="","",IF(K41&gt;=1,"Completado",IF(K41&gt;0,"En curso","Pendiente")))</f>
        <v/>
      </c>
      <c r="M41" s="54" t="n"/>
      <c r="N41" s="59">
        <f>IF(NOT((COUNTA($B41:$J41)+COUNTA($M41))&gt;0),"",IF((IF(B41="","Macroactividad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","")&amp;IF(ABS(SUM($F$5:$F$1000)-1)&gt;0.0001,"Pesos del puesto suman "&amp;TEXT(SUM($F$5:$F$1000),"0%")&amp;"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 OK","⚠ "&amp;LEFT(IF(B41="","Macroactividad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","")&amp;IF(ABS(SUM($F$5:$F$1000)-1)&gt;0.0001,"Pesos del puesto suman "&amp;TEXT(SUM($F$5:$F$1000),"0%")&amp;"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",""),LEN(IF(B41="","Macroactividad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","")&amp;IF(ABS(SUM($F$5:$F$1000)-1)&gt;0.0001,"Pesos del puesto suman "&amp;TEXT(SUM($F$5:$F$1000),"0%")&amp;"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",""))-3)))</f>
        <v/>
      </c>
    </row>
    <row r="42">
      <c r="A42" s="53">
        <f>IF(NOT((COUNTA($B42:$J42)+COUNTA($M42))&gt;0),"",COUNTIF($L$5:$L42,"?*"))</f>
        <v/>
      </c>
      <c r="B42" s="54" t="n"/>
      <c r="C42" s="54" t="n"/>
      <c r="D42" s="55" t="n"/>
      <c r="E42" s="55" t="n"/>
      <c r="F42" s="56" t="n"/>
      <c r="G42" s="57" t="n"/>
      <c r="H42" s="57" t="n"/>
      <c r="I42" s="57" t="n"/>
      <c r="J42" s="57" t="n"/>
      <c r="K42" s="58">
        <f>IF(NOT((COUNTA($B42:$J42)+COUNTA($M42))&gt;0),"",IFERROR(LOOKUP(2,1/(G42:J42&lt;&gt;""),G42:J42),0))</f>
        <v/>
      </c>
      <c r="L42" s="53">
        <f>IF(K42="","",IF(K42&gt;=1,"Completado",IF(K42&gt;0,"En curso","Pendiente")))</f>
        <v/>
      </c>
      <c r="M42" s="54" t="n"/>
      <c r="N42" s="59">
        <f>IF(NOT((COUNTA($B42:$J42)+COUNTA($M42))&gt;0),"",IF((IF(B42="","Macroactividad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","")&amp;IF(ABS(SUM($F$5:$F$1000)-1)&gt;0.0001,"Pesos del puesto suman "&amp;TEXT(SUM($F$5:$F$1000),"0%")&amp;"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 OK","⚠ "&amp;LEFT(IF(B42="","Macroactividad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","")&amp;IF(ABS(SUM($F$5:$F$1000)-1)&gt;0.0001,"Pesos del puesto suman "&amp;TEXT(SUM($F$5:$F$1000),"0%")&amp;"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",""),LEN(IF(B42="","Macroactividad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","")&amp;IF(ABS(SUM($F$5:$F$1000)-1)&gt;0.0001,"Pesos del puesto suman "&amp;TEXT(SUM($F$5:$F$1000),"0%")&amp;"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",""))-3)))</f>
        <v/>
      </c>
    </row>
    <row r="43">
      <c r="A43" s="53">
        <f>IF(NOT((COUNTA($B43:$J43)+COUNTA($M43))&gt;0),"",COUNTIF($L$5:$L43,"?*"))</f>
        <v/>
      </c>
      <c r="B43" s="54" t="n"/>
      <c r="C43" s="54" t="n"/>
      <c r="D43" s="55" t="n"/>
      <c r="E43" s="55" t="n"/>
      <c r="F43" s="56" t="n"/>
      <c r="G43" s="57" t="n"/>
      <c r="H43" s="57" t="n"/>
      <c r="I43" s="57" t="n"/>
      <c r="J43" s="57" t="n"/>
      <c r="K43" s="58">
        <f>IF(NOT((COUNTA($B43:$J43)+COUNTA($M43))&gt;0),"",IFERROR(LOOKUP(2,1/(G43:J43&lt;&gt;""),G43:J43),0))</f>
        <v/>
      </c>
      <c r="L43" s="53">
        <f>IF(K43="","",IF(K43&gt;=1,"Completado",IF(K43&gt;0,"En curso","Pendiente")))</f>
        <v/>
      </c>
      <c r="M43" s="54" t="n"/>
      <c r="N43" s="59">
        <f>IF(NOT((COUNTA($B43:$J43)+COUNTA($M43))&gt;0),"",IF((IF(B43="","Macroactividad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","")&amp;IF(ABS(SUM($F$5:$F$1000)-1)&gt;0.0001,"Pesos del puesto suman "&amp;TEXT(SUM($F$5:$F$1000),"0%")&amp;"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 OK","⚠ "&amp;LEFT(IF(B43="","Macroactividad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","")&amp;IF(ABS(SUM($F$5:$F$1000)-1)&gt;0.0001,"Pesos del puesto suman "&amp;TEXT(SUM($F$5:$F$1000),"0%")&amp;"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",""),LEN(IF(B43="","Macroactividad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","")&amp;IF(ABS(SUM($F$5:$F$1000)-1)&gt;0.0001,"Pesos del puesto suman "&amp;TEXT(SUM($F$5:$F$1000),"0%")&amp;"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",""))-3)))</f>
        <v/>
      </c>
    </row>
    <row r="44">
      <c r="A44" s="53">
        <f>IF(NOT((COUNTA($B44:$J44)+COUNTA($M44))&gt;0),"",COUNTIF($L$5:$L44,"?*"))</f>
        <v/>
      </c>
      <c r="B44" s="54" t="n"/>
      <c r="C44" s="54" t="n"/>
      <c r="D44" s="55" t="n"/>
      <c r="E44" s="55" t="n"/>
      <c r="F44" s="56" t="n"/>
      <c r="G44" s="57" t="n"/>
      <c r="H44" s="57" t="n"/>
      <c r="I44" s="57" t="n"/>
      <c r="J44" s="57" t="n"/>
      <c r="K44" s="58">
        <f>IF(NOT((COUNTA($B44:$J44)+COUNTA($M44))&gt;0),"",IFERROR(LOOKUP(2,1/(G44:J44&lt;&gt;""),G44:J44),0))</f>
        <v/>
      </c>
      <c r="L44" s="53">
        <f>IF(K44="","",IF(K44&gt;=1,"Completado",IF(K44&gt;0,"En curso","Pendiente")))</f>
        <v/>
      </c>
      <c r="M44" s="54" t="n"/>
      <c r="N44" s="59">
        <f>IF(NOT((COUNTA($B44:$J44)+COUNTA($M44))&gt;0),"",IF((IF(B44="","Macroactividad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","")&amp;IF(ABS(SUM($F$5:$F$1000)-1)&gt;0.0001,"Pesos del puesto suman "&amp;TEXT(SUM($F$5:$F$1000),"0%")&amp;"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 OK","⚠ "&amp;LEFT(IF(B44="","Macroactividad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","")&amp;IF(ABS(SUM($F$5:$F$1000)-1)&gt;0.0001,"Pesos del puesto suman "&amp;TEXT(SUM($F$5:$F$1000),"0%")&amp;"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",""),LEN(IF(B44="","Macroactividad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","")&amp;IF(ABS(SUM($F$5:$F$1000)-1)&gt;0.0001,"Pesos del puesto suman "&amp;TEXT(SUM($F$5:$F$1000),"0%")&amp;"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",""))-3)))</f>
        <v/>
      </c>
    </row>
    <row r="45">
      <c r="A45" s="53">
        <f>IF(NOT((COUNTA($B45:$J45)+COUNTA($M45))&gt;0),"",COUNTIF($L$5:$L45,"?*"))</f>
        <v/>
      </c>
      <c r="B45" s="54" t="n"/>
      <c r="C45" s="54" t="n"/>
      <c r="D45" s="55" t="n"/>
      <c r="E45" s="55" t="n"/>
      <c r="F45" s="56" t="n"/>
      <c r="G45" s="57" t="n"/>
      <c r="H45" s="57" t="n"/>
      <c r="I45" s="57" t="n"/>
      <c r="J45" s="57" t="n"/>
      <c r="K45" s="58">
        <f>IF(NOT((COUNTA($B45:$J45)+COUNTA($M45))&gt;0),"",IFERROR(LOOKUP(2,1/(G45:J45&lt;&gt;""),G45:J45),0))</f>
        <v/>
      </c>
      <c r="L45" s="53">
        <f>IF(K45="","",IF(K45&gt;=1,"Completado",IF(K45&gt;0,"En curso","Pendiente")))</f>
        <v/>
      </c>
      <c r="M45" s="54" t="n"/>
      <c r="N45" s="59">
        <f>IF(NOT((COUNTA($B45:$J45)+COUNTA($M45))&gt;0),"",IF((IF(B45="","Macroactividad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","")&amp;IF(ABS(SUM($F$5:$F$1000)-1)&gt;0.0001,"Pesos del puesto suman "&amp;TEXT(SUM($F$5:$F$1000),"0%")&amp;"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 OK","⚠ "&amp;LEFT(IF(B45="","Macroactividad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","")&amp;IF(ABS(SUM($F$5:$F$1000)-1)&gt;0.0001,"Pesos del puesto suman "&amp;TEXT(SUM($F$5:$F$1000),"0%")&amp;"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",""),LEN(IF(B45="","Macroactividad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","")&amp;IF(ABS(SUM($F$5:$F$1000)-1)&gt;0.0001,"Pesos del puesto suman "&amp;TEXT(SUM($F$5:$F$1000),"0%")&amp;"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",""))-3)))</f>
        <v/>
      </c>
    </row>
    <row r="46">
      <c r="A46" s="53">
        <f>IF(NOT((COUNTA($B46:$J46)+COUNTA($M46))&gt;0),"",COUNTIF($L$5:$L46,"?*"))</f>
        <v/>
      </c>
      <c r="B46" s="54" t="n"/>
      <c r="C46" s="54" t="n"/>
      <c r="D46" s="55" t="n"/>
      <c r="E46" s="55" t="n"/>
      <c r="F46" s="56" t="n"/>
      <c r="G46" s="57" t="n"/>
      <c r="H46" s="57" t="n"/>
      <c r="I46" s="57" t="n"/>
      <c r="J46" s="57" t="n"/>
      <c r="K46" s="58">
        <f>IF(NOT((COUNTA($B46:$J46)+COUNTA($M46))&gt;0),"",IFERROR(LOOKUP(2,1/(G46:J46&lt;&gt;""),G46:J46),0))</f>
        <v/>
      </c>
      <c r="L46" s="53">
        <f>IF(K46="","",IF(K46&gt;=1,"Completado",IF(K46&gt;0,"En curso","Pendiente")))</f>
        <v/>
      </c>
      <c r="M46" s="54" t="n"/>
      <c r="N46" s="59">
        <f>IF(NOT((COUNTA($B46:$J46)+COUNTA($M46))&gt;0),"",IF((IF(B46="","Macroactividad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","")&amp;IF(ABS(SUM($F$5:$F$1000)-1)&gt;0.0001,"Pesos del puesto suman "&amp;TEXT(SUM($F$5:$F$1000),"0%")&amp;"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 OK","⚠ "&amp;LEFT(IF(B46="","Macroactividad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","")&amp;IF(ABS(SUM($F$5:$F$1000)-1)&gt;0.0001,"Pesos del puesto suman "&amp;TEXT(SUM($F$5:$F$1000),"0%")&amp;"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",""),LEN(IF(B46="","Macroactividad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","")&amp;IF(ABS(SUM($F$5:$F$1000)-1)&gt;0.0001,"Pesos del puesto suman "&amp;TEXT(SUM($F$5:$F$1000),"0%")&amp;"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",""))-3)))</f>
        <v/>
      </c>
    </row>
    <row r="47">
      <c r="A47" s="53">
        <f>IF(NOT((COUNTA($B47:$J47)+COUNTA($M47))&gt;0),"",COUNTIF($L$5:$L47,"?*"))</f>
        <v/>
      </c>
      <c r="B47" s="54" t="n"/>
      <c r="C47" s="54" t="n"/>
      <c r="D47" s="55" t="n"/>
      <c r="E47" s="55" t="n"/>
      <c r="F47" s="56" t="n"/>
      <c r="G47" s="57" t="n"/>
      <c r="H47" s="57" t="n"/>
      <c r="I47" s="57" t="n"/>
      <c r="J47" s="57" t="n"/>
      <c r="K47" s="58">
        <f>IF(NOT((COUNTA($B47:$J47)+COUNTA($M47))&gt;0),"",IFERROR(LOOKUP(2,1/(G47:J47&lt;&gt;""),G47:J47),0))</f>
        <v/>
      </c>
      <c r="L47" s="53">
        <f>IF(K47="","",IF(K47&gt;=1,"Completado",IF(K47&gt;0,"En curso","Pendiente")))</f>
        <v/>
      </c>
      <c r="M47" s="54" t="n"/>
      <c r="N47" s="59">
        <f>IF(NOT((COUNTA($B47:$J47)+COUNTA($M47))&gt;0),"",IF((IF(B47="","Macroactividad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","")&amp;IF(ABS(SUM($F$5:$F$1000)-1)&gt;0.0001,"Pesos del puesto suman "&amp;TEXT(SUM($F$5:$F$1000),"0%")&amp;"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 OK","⚠ "&amp;LEFT(IF(B47="","Macroactividad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","")&amp;IF(ABS(SUM($F$5:$F$1000)-1)&gt;0.0001,"Pesos del puesto suman "&amp;TEXT(SUM($F$5:$F$1000),"0%")&amp;"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",""),LEN(IF(B47="","Macroactividad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","")&amp;IF(ABS(SUM($F$5:$F$1000)-1)&gt;0.0001,"Pesos del puesto suman "&amp;TEXT(SUM($F$5:$F$1000),"0%")&amp;"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",""))-3)))</f>
        <v/>
      </c>
    </row>
    <row r="48">
      <c r="A48" s="53">
        <f>IF(NOT((COUNTA($B48:$J48)+COUNTA($M48))&gt;0),"",COUNTIF($L$5:$L48,"?*"))</f>
        <v/>
      </c>
      <c r="B48" s="54" t="n"/>
      <c r="C48" s="54" t="n"/>
      <c r="D48" s="55" t="n"/>
      <c r="E48" s="55" t="n"/>
      <c r="F48" s="56" t="n"/>
      <c r="G48" s="57" t="n"/>
      <c r="H48" s="57" t="n"/>
      <c r="I48" s="57" t="n"/>
      <c r="J48" s="57" t="n"/>
      <c r="K48" s="58">
        <f>IF(NOT((COUNTA($B48:$J48)+COUNTA($M48))&gt;0),"",IFERROR(LOOKUP(2,1/(G48:J48&lt;&gt;""),G48:J48),0))</f>
        <v/>
      </c>
      <c r="L48" s="53">
        <f>IF(K48="","",IF(K48&gt;=1,"Completado",IF(K48&gt;0,"En curso","Pendiente")))</f>
        <v/>
      </c>
      <c r="M48" s="54" t="n"/>
      <c r="N48" s="59">
        <f>IF(NOT((COUNTA($B48:$J48)+COUNTA($M48))&gt;0),"",IF((IF(B48="","Macroactividad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","")&amp;IF(ABS(SUM($F$5:$F$1000)-1)&gt;0.0001,"Pesos del puesto suman "&amp;TEXT(SUM($F$5:$F$1000),"0%")&amp;"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 OK","⚠ "&amp;LEFT(IF(B48="","Macroactividad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","")&amp;IF(ABS(SUM($F$5:$F$1000)-1)&gt;0.0001,"Pesos del puesto suman "&amp;TEXT(SUM($F$5:$F$1000),"0%")&amp;"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",""),LEN(IF(B48="","Macroactividad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","")&amp;IF(ABS(SUM($F$5:$F$1000)-1)&gt;0.0001,"Pesos del puesto suman "&amp;TEXT(SUM($F$5:$F$1000),"0%")&amp;"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",""))-3)))</f>
        <v/>
      </c>
    </row>
    <row r="49">
      <c r="A49" s="53">
        <f>IF(NOT((COUNTA($B49:$J49)+COUNTA($M49))&gt;0),"",COUNTIF($L$5:$L49,"?*"))</f>
        <v/>
      </c>
      <c r="B49" s="54" t="n"/>
      <c r="C49" s="54" t="n"/>
      <c r="D49" s="55" t="n"/>
      <c r="E49" s="55" t="n"/>
      <c r="F49" s="56" t="n"/>
      <c r="G49" s="57" t="n"/>
      <c r="H49" s="57" t="n"/>
      <c r="I49" s="57" t="n"/>
      <c r="J49" s="57" t="n"/>
      <c r="K49" s="58">
        <f>IF(NOT((COUNTA($B49:$J49)+COUNTA($M49))&gt;0),"",IFERROR(LOOKUP(2,1/(G49:J49&lt;&gt;""),G49:J49),0))</f>
        <v/>
      </c>
      <c r="L49" s="53">
        <f>IF(K49="","",IF(K49&gt;=1,"Completado",IF(K49&gt;0,"En curso","Pendiente")))</f>
        <v/>
      </c>
      <c r="M49" s="54" t="n"/>
      <c r="N49" s="59">
        <f>IF(NOT((COUNTA($B49:$J49)+COUNTA($M49))&gt;0),"",IF((IF(B49="","Macroactividad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","")&amp;IF(ABS(SUM($F$5:$F$1000)-1)&gt;0.0001,"Pesos del puesto suman "&amp;TEXT(SUM($F$5:$F$1000),"0%")&amp;"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 OK","⚠ "&amp;LEFT(IF(B49="","Macroactividad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","")&amp;IF(ABS(SUM($F$5:$F$1000)-1)&gt;0.0001,"Pesos del puesto suman "&amp;TEXT(SUM($F$5:$F$1000),"0%")&amp;"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",""),LEN(IF(B49="","Macroactividad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","")&amp;IF(ABS(SUM($F$5:$F$1000)-1)&gt;0.0001,"Pesos del puesto suman "&amp;TEXT(SUM($F$5:$F$1000),"0%")&amp;"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",""))-3)))</f>
        <v/>
      </c>
    </row>
    <row r="50">
      <c r="A50" s="53">
        <f>IF(NOT((COUNTA($B50:$J50)+COUNTA($M50))&gt;0),"",COUNTIF($L$5:$L50,"?*"))</f>
        <v/>
      </c>
      <c r="B50" s="54" t="n"/>
      <c r="C50" s="54" t="n"/>
      <c r="D50" s="55" t="n"/>
      <c r="E50" s="55" t="n"/>
      <c r="F50" s="56" t="n"/>
      <c r="G50" s="57" t="n"/>
      <c r="H50" s="57" t="n"/>
      <c r="I50" s="57" t="n"/>
      <c r="J50" s="57" t="n"/>
      <c r="K50" s="58">
        <f>IF(NOT((COUNTA($B50:$J50)+COUNTA($M50))&gt;0),"",IFERROR(LOOKUP(2,1/(G50:J50&lt;&gt;""),G50:J50),0))</f>
        <v/>
      </c>
      <c r="L50" s="53">
        <f>IF(K50="","",IF(K50&gt;=1,"Completado",IF(K50&gt;0,"En curso","Pendiente")))</f>
        <v/>
      </c>
      <c r="M50" s="54" t="n"/>
      <c r="N50" s="59">
        <f>IF(NOT((COUNTA($B50:$J50)+COUNTA($M50))&gt;0),"",IF((IF(B50="","Macroactividad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","")&amp;IF(ABS(SUM($F$5:$F$1000)-1)&gt;0.0001,"Pesos del puesto suman "&amp;TEXT(SUM($F$5:$F$1000),"0%")&amp;"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 OK","⚠ "&amp;LEFT(IF(B50="","Macroactividad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","")&amp;IF(ABS(SUM($F$5:$F$1000)-1)&gt;0.0001,"Pesos del puesto suman "&amp;TEXT(SUM($F$5:$F$1000),"0%")&amp;"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",""),LEN(IF(B50="","Macroactividad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","")&amp;IF(ABS(SUM($F$5:$F$1000)-1)&gt;0.0001,"Pesos del puesto suman "&amp;TEXT(SUM($F$5:$F$1000),"0%")&amp;"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",""))-3)))</f>
        <v/>
      </c>
    </row>
    <row r="51">
      <c r="A51" s="53">
        <f>IF(NOT((COUNTA($B51:$J51)+COUNTA($M51))&gt;0),"",COUNTIF($L$5:$L51,"?*"))</f>
        <v/>
      </c>
      <c r="B51" s="54" t="n"/>
      <c r="C51" s="54" t="n"/>
      <c r="D51" s="55" t="n"/>
      <c r="E51" s="55" t="n"/>
      <c r="F51" s="56" t="n"/>
      <c r="G51" s="57" t="n"/>
      <c r="H51" s="57" t="n"/>
      <c r="I51" s="57" t="n"/>
      <c r="J51" s="57" t="n"/>
      <c r="K51" s="58">
        <f>IF(NOT((COUNTA($B51:$J51)+COUNTA($M51))&gt;0),"",IFERROR(LOOKUP(2,1/(G51:J51&lt;&gt;""),G51:J51),0))</f>
        <v/>
      </c>
      <c r="L51" s="53">
        <f>IF(K51="","",IF(K51&gt;=1,"Completado",IF(K51&gt;0,"En curso","Pendiente")))</f>
        <v/>
      </c>
      <c r="M51" s="54" t="n"/>
      <c r="N51" s="59">
        <f>IF(NOT((COUNTA($B51:$J51)+COUNTA($M51))&gt;0),"",IF((IF(B51="","Macroactividad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","")&amp;IF(ABS(SUM($F$5:$F$1000)-1)&gt;0.0001,"Pesos del puesto suman "&amp;TEXT(SUM($F$5:$F$1000),"0%")&amp;"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 OK","⚠ "&amp;LEFT(IF(B51="","Macroactividad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","")&amp;IF(ABS(SUM($F$5:$F$1000)-1)&gt;0.0001,"Pesos del puesto suman "&amp;TEXT(SUM($F$5:$F$1000),"0%")&amp;"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",""),LEN(IF(B51="","Macroactividad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","")&amp;IF(ABS(SUM($F$5:$F$1000)-1)&gt;0.0001,"Pesos del puesto suman "&amp;TEXT(SUM($F$5:$F$1000),"0%")&amp;"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",""))-3)))</f>
        <v/>
      </c>
    </row>
    <row r="52">
      <c r="A52" s="53">
        <f>IF(NOT((COUNTA($B52:$J52)+COUNTA($M52))&gt;0),"",COUNTIF($L$5:$L52,"?*"))</f>
        <v/>
      </c>
      <c r="B52" s="54" t="n"/>
      <c r="C52" s="54" t="n"/>
      <c r="D52" s="55" t="n"/>
      <c r="E52" s="55" t="n"/>
      <c r="F52" s="56" t="n"/>
      <c r="G52" s="57" t="n"/>
      <c r="H52" s="57" t="n"/>
      <c r="I52" s="57" t="n"/>
      <c r="J52" s="57" t="n"/>
      <c r="K52" s="58">
        <f>IF(NOT((COUNTA($B52:$J52)+COUNTA($M52))&gt;0),"",IFERROR(LOOKUP(2,1/(G52:J52&lt;&gt;""),G52:J52),0))</f>
        <v/>
      </c>
      <c r="L52" s="53">
        <f>IF(K52="","",IF(K52&gt;=1,"Completado",IF(K52&gt;0,"En curso","Pendiente")))</f>
        <v/>
      </c>
      <c r="M52" s="54" t="n"/>
      <c r="N52" s="59">
        <f>IF(NOT((COUNTA($B52:$J52)+COUNTA($M52))&gt;0),"",IF((IF(B52="","Macroactividad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","")&amp;IF(ABS(SUM($F$5:$F$1000)-1)&gt;0.0001,"Pesos del puesto suman "&amp;TEXT(SUM($F$5:$F$1000),"0%")&amp;"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 OK","⚠ "&amp;LEFT(IF(B52="","Macroactividad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","")&amp;IF(ABS(SUM($F$5:$F$1000)-1)&gt;0.0001,"Pesos del puesto suman "&amp;TEXT(SUM($F$5:$F$1000),"0%")&amp;"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",""),LEN(IF(B52="","Macroactividad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","")&amp;IF(ABS(SUM($F$5:$F$1000)-1)&gt;0.0001,"Pesos del puesto suman "&amp;TEXT(SUM($F$5:$F$1000),"0%")&amp;"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",""))-3)))</f>
        <v/>
      </c>
    </row>
    <row r="53">
      <c r="A53" s="53">
        <f>IF(NOT((COUNTA($B53:$J53)+COUNTA($M53))&gt;0),"",COUNTIF($L$5:$L53,"?*"))</f>
        <v/>
      </c>
      <c r="B53" s="54" t="n"/>
      <c r="C53" s="54" t="n"/>
      <c r="D53" s="55" t="n"/>
      <c r="E53" s="55" t="n"/>
      <c r="F53" s="56" t="n"/>
      <c r="G53" s="57" t="n"/>
      <c r="H53" s="57" t="n"/>
      <c r="I53" s="57" t="n"/>
      <c r="J53" s="57" t="n"/>
      <c r="K53" s="58">
        <f>IF(NOT((COUNTA($B53:$J53)+COUNTA($M53))&gt;0),"",IFERROR(LOOKUP(2,1/(G53:J53&lt;&gt;""),G53:J53),0))</f>
        <v/>
      </c>
      <c r="L53" s="53">
        <f>IF(K53="","",IF(K53&gt;=1,"Completado",IF(K53&gt;0,"En curso","Pendiente")))</f>
        <v/>
      </c>
      <c r="M53" s="54" t="n"/>
      <c r="N53" s="59">
        <f>IF(NOT((COUNTA($B53:$J53)+COUNTA($M53))&gt;0),"",IF((IF(B53="","Macroactividad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","")&amp;IF(ABS(SUM($F$5:$F$1000)-1)&gt;0.0001,"Pesos del puesto suman "&amp;TEXT(SUM($F$5:$F$1000),"0%")&amp;"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 OK","⚠ "&amp;LEFT(IF(B53="","Macroactividad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","")&amp;IF(ABS(SUM($F$5:$F$1000)-1)&gt;0.0001,"Pesos del puesto suman "&amp;TEXT(SUM($F$5:$F$1000),"0%")&amp;"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",""),LEN(IF(B53="","Macroactividad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","")&amp;IF(ABS(SUM($F$5:$F$1000)-1)&gt;0.0001,"Pesos del puesto suman "&amp;TEXT(SUM($F$5:$F$1000),"0%")&amp;"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",""))-3)))</f>
        <v/>
      </c>
    </row>
    <row r="54">
      <c r="A54" s="53">
        <f>IF(NOT((COUNTA($B54:$J54)+COUNTA($M54))&gt;0),"",COUNTIF($L$5:$L54,"?*"))</f>
        <v/>
      </c>
      <c r="B54" s="54" t="n"/>
      <c r="C54" s="54" t="n"/>
      <c r="D54" s="55" t="n"/>
      <c r="E54" s="55" t="n"/>
      <c r="F54" s="56" t="n"/>
      <c r="G54" s="57" t="n"/>
      <c r="H54" s="57" t="n"/>
      <c r="I54" s="57" t="n"/>
      <c r="J54" s="57" t="n"/>
      <c r="K54" s="58">
        <f>IF(NOT((COUNTA($B54:$J54)+COUNTA($M54))&gt;0),"",IFERROR(LOOKUP(2,1/(G54:J54&lt;&gt;""),G54:J54),0))</f>
        <v/>
      </c>
      <c r="L54" s="53">
        <f>IF(K54="","",IF(K54&gt;=1,"Completado",IF(K54&gt;0,"En curso","Pendiente")))</f>
        <v/>
      </c>
      <c r="M54" s="54" t="n"/>
      <c r="N54" s="59">
        <f>IF(NOT((COUNTA($B54:$J54)+COUNTA($M54))&gt;0),"",IF((IF(B54="","Macroactividad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","")&amp;IF(ABS(SUM($F$5:$F$1000)-1)&gt;0.0001,"Pesos del puesto suman "&amp;TEXT(SUM($F$5:$F$1000),"0%")&amp;"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 OK","⚠ "&amp;LEFT(IF(B54="","Macroactividad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","")&amp;IF(ABS(SUM($F$5:$F$1000)-1)&gt;0.0001,"Pesos del puesto suman "&amp;TEXT(SUM($F$5:$F$1000),"0%")&amp;"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",""),LEN(IF(B54="","Macroactividad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","")&amp;IF(ABS(SUM($F$5:$F$1000)-1)&gt;0.0001,"Pesos del puesto suman "&amp;TEXT(SUM($F$5:$F$1000),"0%")&amp;"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",""))-3)))</f>
        <v/>
      </c>
    </row>
    <row r="55">
      <c r="A55" s="53">
        <f>IF(NOT((COUNTA($B55:$J55)+COUNTA($M55))&gt;0),"",COUNTIF($L$5:$L55,"?*"))</f>
        <v/>
      </c>
      <c r="B55" s="54" t="n"/>
      <c r="C55" s="54" t="n"/>
      <c r="D55" s="55" t="n"/>
      <c r="E55" s="55" t="n"/>
      <c r="F55" s="56" t="n"/>
      <c r="G55" s="57" t="n"/>
      <c r="H55" s="57" t="n"/>
      <c r="I55" s="57" t="n"/>
      <c r="J55" s="57" t="n"/>
      <c r="K55" s="58">
        <f>IF(NOT((COUNTA($B55:$J55)+COUNTA($M55))&gt;0),"",IFERROR(LOOKUP(2,1/(G55:J55&lt;&gt;""),G55:J55),0))</f>
        <v/>
      </c>
      <c r="L55" s="53">
        <f>IF(K55="","",IF(K55&gt;=1,"Completado",IF(K55&gt;0,"En curso","Pendiente")))</f>
        <v/>
      </c>
      <c r="M55" s="54" t="n"/>
      <c r="N55" s="59">
        <f>IF(NOT((COUNTA($B55:$J55)+COUNTA($M55))&gt;0),"",IF((IF(B55="","Macroactividad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","")&amp;IF(ABS(SUM($F$5:$F$1000)-1)&gt;0.0001,"Pesos del puesto suman "&amp;TEXT(SUM($F$5:$F$1000),"0%")&amp;"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 OK","⚠ "&amp;LEFT(IF(B55="","Macroactividad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","")&amp;IF(ABS(SUM($F$5:$F$1000)-1)&gt;0.0001,"Pesos del puesto suman "&amp;TEXT(SUM($F$5:$F$1000),"0%")&amp;"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",""),LEN(IF(B55="","Macroactividad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","")&amp;IF(ABS(SUM($F$5:$F$1000)-1)&gt;0.0001,"Pesos del puesto suman "&amp;TEXT(SUM($F$5:$F$1000),"0%")&amp;"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",""))-3)))</f>
        <v/>
      </c>
    </row>
    <row r="56">
      <c r="A56" s="53">
        <f>IF(NOT((COUNTA($B56:$J56)+COUNTA($M56))&gt;0),"",COUNTIF($L$5:$L56,"?*"))</f>
        <v/>
      </c>
      <c r="B56" s="54" t="n"/>
      <c r="C56" s="54" t="n"/>
      <c r="D56" s="55" t="n"/>
      <c r="E56" s="55" t="n"/>
      <c r="F56" s="56" t="n"/>
      <c r="G56" s="57" t="n"/>
      <c r="H56" s="57" t="n"/>
      <c r="I56" s="57" t="n"/>
      <c r="J56" s="57" t="n"/>
      <c r="K56" s="58">
        <f>IF(NOT((COUNTA($B56:$J56)+COUNTA($M56))&gt;0),"",IFERROR(LOOKUP(2,1/(G56:J56&lt;&gt;""),G56:J56),0))</f>
        <v/>
      </c>
      <c r="L56" s="53">
        <f>IF(K56="","",IF(K56&gt;=1,"Completado",IF(K56&gt;0,"En curso","Pendiente")))</f>
        <v/>
      </c>
      <c r="M56" s="54" t="n"/>
      <c r="N56" s="59">
        <f>IF(NOT((COUNTA($B56:$J56)+COUNTA($M56))&gt;0),"",IF((IF(B56="","Macroactividad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","")&amp;IF(ABS(SUM($F$5:$F$1000)-1)&gt;0.0001,"Pesos del puesto suman "&amp;TEXT(SUM($F$5:$F$1000),"0%")&amp;"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 OK","⚠ "&amp;LEFT(IF(B56="","Macroactividad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","")&amp;IF(ABS(SUM($F$5:$F$1000)-1)&gt;0.0001,"Pesos del puesto suman "&amp;TEXT(SUM($F$5:$F$1000),"0%")&amp;"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",""),LEN(IF(B56="","Macroactividad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","")&amp;IF(ABS(SUM($F$5:$F$1000)-1)&gt;0.0001,"Pesos del puesto suman "&amp;TEXT(SUM($F$5:$F$1000),"0%")&amp;"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",""))-3)))</f>
        <v/>
      </c>
    </row>
    <row r="57">
      <c r="A57" s="53">
        <f>IF(NOT((COUNTA($B57:$J57)+COUNTA($M57))&gt;0),"",COUNTIF($L$5:$L57,"?*"))</f>
        <v/>
      </c>
      <c r="B57" s="54" t="n"/>
      <c r="C57" s="54" t="n"/>
      <c r="D57" s="55" t="n"/>
      <c r="E57" s="55" t="n"/>
      <c r="F57" s="56" t="n"/>
      <c r="G57" s="57" t="n"/>
      <c r="H57" s="57" t="n"/>
      <c r="I57" s="57" t="n"/>
      <c r="J57" s="57" t="n"/>
      <c r="K57" s="58">
        <f>IF(NOT((COUNTA($B57:$J57)+COUNTA($M57))&gt;0),"",IFERROR(LOOKUP(2,1/(G57:J57&lt;&gt;""),G57:J57),0))</f>
        <v/>
      </c>
      <c r="L57" s="53">
        <f>IF(K57="","",IF(K57&gt;=1,"Completado",IF(K57&gt;0,"En curso","Pendiente")))</f>
        <v/>
      </c>
      <c r="M57" s="54" t="n"/>
      <c r="N57" s="59">
        <f>IF(NOT((COUNTA($B57:$J57)+COUNTA($M57))&gt;0),"",IF((IF(B57="","Macroactividad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","")&amp;IF(ABS(SUM($F$5:$F$1000)-1)&gt;0.0001,"Pesos del puesto suman "&amp;TEXT(SUM($F$5:$F$1000),"0%")&amp;"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 OK","⚠ "&amp;LEFT(IF(B57="","Macroactividad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","")&amp;IF(ABS(SUM($F$5:$F$1000)-1)&gt;0.0001,"Pesos del puesto suman "&amp;TEXT(SUM($F$5:$F$1000),"0%")&amp;"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",""),LEN(IF(B57="","Macroactividad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","")&amp;IF(ABS(SUM($F$5:$F$1000)-1)&gt;0.0001,"Pesos del puesto suman "&amp;TEXT(SUM($F$5:$F$1000),"0%")&amp;"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",""))-3)))</f>
        <v/>
      </c>
    </row>
    <row r="58">
      <c r="A58" s="53">
        <f>IF(NOT((COUNTA($B58:$J58)+COUNTA($M58))&gt;0),"",COUNTIF($L$5:$L58,"?*"))</f>
        <v/>
      </c>
      <c r="B58" s="54" t="n"/>
      <c r="C58" s="54" t="n"/>
      <c r="D58" s="55" t="n"/>
      <c r="E58" s="55" t="n"/>
      <c r="F58" s="56" t="n"/>
      <c r="G58" s="57" t="n"/>
      <c r="H58" s="57" t="n"/>
      <c r="I58" s="57" t="n"/>
      <c r="J58" s="57" t="n"/>
      <c r="K58" s="58">
        <f>IF(NOT((COUNTA($B58:$J58)+COUNTA($M58))&gt;0),"",IFERROR(LOOKUP(2,1/(G58:J58&lt;&gt;""),G58:J58),0))</f>
        <v/>
      </c>
      <c r="L58" s="53">
        <f>IF(K58="","",IF(K58&gt;=1,"Completado",IF(K58&gt;0,"En curso","Pendiente")))</f>
        <v/>
      </c>
      <c r="M58" s="54" t="n"/>
      <c r="N58" s="59">
        <f>IF(NOT((COUNTA($B58:$J58)+COUNTA($M58))&gt;0),"",IF((IF(B58="","Macroactividad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","")&amp;IF(ABS(SUM($F$5:$F$1000)-1)&gt;0.0001,"Pesos del puesto suman "&amp;TEXT(SUM($F$5:$F$1000),"0%")&amp;"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 OK","⚠ "&amp;LEFT(IF(B58="","Macroactividad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","")&amp;IF(ABS(SUM($F$5:$F$1000)-1)&gt;0.0001,"Pesos del puesto suman "&amp;TEXT(SUM($F$5:$F$1000),"0%")&amp;"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",""),LEN(IF(B58="","Macroactividad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","")&amp;IF(ABS(SUM($F$5:$F$1000)-1)&gt;0.0001,"Pesos del puesto suman "&amp;TEXT(SUM($F$5:$F$1000),"0%")&amp;"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",""))-3)))</f>
        <v/>
      </c>
    </row>
    <row r="59">
      <c r="A59" s="53">
        <f>IF(NOT((COUNTA($B59:$J59)+COUNTA($M59))&gt;0),"",COUNTIF($L$5:$L59,"?*"))</f>
        <v/>
      </c>
      <c r="B59" s="54" t="n"/>
      <c r="C59" s="54" t="n"/>
      <c r="D59" s="55" t="n"/>
      <c r="E59" s="55" t="n"/>
      <c r="F59" s="56" t="n"/>
      <c r="G59" s="57" t="n"/>
      <c r="H59" s="57" t="n"/>
      <c r="I59" s="57" t="n"/>
      <c r="J59" s="57" t="n"/>
      <c r="K59" s="58">
        <f>IF(NOT((COUNTA($B59:$J59)+COUNTA($M59))&gt;0),"",IFERROR(LOOKUP(2,1/(G59:J59&lt;&gt;""),G59:J59),0))</f>
        <v/>
      </c>
      <c r="L59" s="53">
        <f>IF(K59="","",IF(K59&gt;=1,"Completado",IF(K59&gt;0,"En curso","Pendiente")))</f>
        <v/>
      </c>
      <c r="M59" s="54" t="n"/>
      <c r="N59" s="59">
        <f>IF(NOT((COUNTA($B59:$J59)+COUNTA($M59))&gt;0),"",IF((IF(B59="","Macroactividad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","")&amp;IF(ABS(SUM($F$5:$F$1000)-1)&gt;0.0001,"Pesos del puesto suman "&amp;TEXT(SUM($F$5:$F$1000),"0%")&amp;"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 OK","⚠ "&amp;LEFT(IF(B59="","Macroactividad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","")&amp;IF(ABS(SUM($F$5:$F$1000)-1)&gt;0.0001,"Pesos del puesto suman "&amp;TEXT(SUM($F$5:$F$1000),"0%")&amp;"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",""),LEN(IF(B59="","Macroactividad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","")&amp;IF(ABS(SUM($F$5:$F$1000)-1)&gt;0.0001,"Pesos del puesto suman "&amp;TEXT(SUM($F$5:$F$1000),"0%")&amp;"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",""))-3)))</f>
        <v/>
      </c>
    </row>
    <row r="60">
      <c r="A60" s="53">
        <f>IF(NOT((COUNTA($B60:$J60)+COUNTA($M60))&gt;0),"",COUNTIF($L$5:$L60,"?*"))</f>
        <v/>
      </c>
      <c r="B60" s="54" t="n"/>
      <c r="C60" s="54" t="n"/>
      <c r="D60" s="55" t="n"/>
      <c r="E60" s="55" t="n"/>
      <c r="F60" s="56" t="n"/>
      <c r="G60" s="57" t="n"/>
      <c r="H60" s="57" t="n"/>
      <c r="I60" s="57" t="n"/>
      <c r="J60" s="57" t="n"/>
      <c r="K60" s="58">
        <f>IF(NOT((COUNTA($B60:$J60)+COUNTA($M60))&gt;0),"",IFERROR(LOOKUP(2,1/(G60:J60&lt;&gt;""),G60:J60),0))</f>
        <v/>
      </c>
      <c r="L60" s="53">
        <f>IF(K60="","",IF(K60&gt;=1,"Completado",IF(K60&gt;0,"En curso","Pendiente")))</f>
        <v/>
      </c>
      <c r="M60" s="54" t="n"/>
      <c r="N60" s="59">
        <f>IF(NOT((COUNTA($B60:$J60)+COUNTA($M60))&gt;0),"",IF((IF(B60="","Macroactividad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","")&amp;IF(ABS(SUM($F$5:$F$1000)-1)&gt;0.0001,"Pesos del puesto suman "&amp;TEXT(SUM($F$5:$F$1000),"0%")&amp;"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 OK","⚠ "&amp;LEFT(IF(B60="","Macroactividad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","")&amp;IF(ABS(SUM($F$5:$F$1000)-1)&gt;0.0001,"Pesos del puesto suman "&amp;TEXT(SUM($F$5:$F$1000),"0%")&amp;"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",""),LEN(IF(B60="","Macroactividad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","")&amp;IF(ABS(SUM($F$5:$F$1000)-1)&gt;0.0001,"Pesos del puesto suman "&amp;TEXT(SUM($F$5:$F$1000),"0%")&amp;"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",""))-3)))</f>
        <v/>
      </c>
    </row>
    <row r="61">
      <c r="A61" s="53">
        <f>IF(NOT((COUNTA($B61:$J61)+COUNTA($M61))&gt;0),"",COUNTIF($L$5:$L61,"?*"))</f>
        <v/>
      </c>
      <c r="B61" s="54" t="n"/>
      <c r="C61" s="54" t="n"/>
      <c r="D61" s="55" t="n"/>
      <c r="E61" s="55" t="n"/>
      <c r="F61" s="56" t="n"/>
      <c r="G61" s="57" t="n"/>
      <c r="H61" s="57" t="n"/>
      <c r="I61" s="57" t="n"/>
      <c r="J61" s="57" t="n"/>
      <c r="K61" s="58">
        <f>IF(NOT((COUNTA($B61:$J61)+COUNTA($M61))&gt;0),"",IFERROR(LOOKUP(2,1/(G61:J61&lt;&gt;""),G61:J61),0))</f>
        <v/>
      </c>
      <c r="L61" s="53">
        <f>IF(K61="","",IF(K61&gt;=1,"Completado",IF(K61&gt;0,"En curso","Pendiente")))</f>
        <v/>
      </c>
      <c r="M61" s="54" t="n"/>
      <c r="N61" s="59">
        <f>IF(NOT((COUNTA($B61:$J61)+COUNTA($M61))&gt;0),"",IF((IF(B61="","Macroactividad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","")&amp;IF(ABS(SUM($F$5:$F$1000)-1)&gt;0.0001,"Pesos del puesto suman "&amp;TEXT(SUM($F$5:$F$1000),"0%")&amp;"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 OK","⚠ "&amp;LEFT(IF(B61="","Macroactividad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","")&amp;IF(ABS(SUM($F$5:$F$1000)-1)&gt;0.0001,"Pesos del puesto suman "&amp;TEXT(SUM($F$5:$F$1000),"0%")&amp;"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",""),LEN(IF(B61="","Macroactividad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","")&amp;IF(ABS(SUM($F$5:$F$1000)-1)&gt;0.0001,"Pesos del puesto suman "&amp;TEXT(SUM($F$5:$F$1000),"0%")&amp;"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",""))-3)))</f>
        <v/>
      </c>
    </row>
    <row r="62">
      <c r="A62" s="53">
        <f>IF(NOT((COUNTA($B62:$J62)+COUNTA($M62))&gt;0),"",COUNTIF($L$5:$L62,"?*"))</f>
        <v/>
      </c>
      <c r="B62" s="54" t="n"/>
      <c r="C62" s="54" t="n"/>
      <c r="D62" s="55" t="n"/>
      <c r="E62" s="55" t="n"/>
      <c r="F62" s="56" t="n"/>
      <c r="G62" s="57" t="n"/>
      <c r="H62" s="57" t="n"/>
      <c r="I62" s="57" t="n"/>
      <c r="J62" s="57" t="n"/>
      <c r="K62" s="58">
        <f>IF(NOT((COUNTA($B62:$J62)+COUNTA($M62))&gt;0),"",IFERROR(LOOKUP(2,1/(G62:J62&lt;&gt;""),G62:J62),0))</f>
        <v/>
      </c>
      <c r="L62" s="53">
        <f>IF(K62="","",IF(K62&gt;=1,"Completado",IF(K62&gt;0,"En curso","Pendiente")))</f>
        <v/>
      </c>
      <c r="M62" s="54" t="n"/>
      <c r="N62" s="59">
        <f>IF(NOT((COUNTA($B62:$J62)+COUNTA($M62))&gt;0),"",IF((IF(B62="","Macroactividad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","")&amp;IF(ABS(SUM($F$5:$F$1000)-1)&gt;0.0001,"Pesos del puesto suman "&amp;TEXT(SUM($F$5:$F$1000),"0%")&amp;"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 OK","⚠ "&amp;LEFT(IF(B62="","Macroactividad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","")&amp;IF(ABS(SUM($F$5:$F$1000)-1)&gt;0.0001,"Pesos del puesto suman "&amp;TEXT(SUM($F$5:$F$1000),"0%")&amp;"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",""),LEN(IF(B62="","Macroactividad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","")&amp;IF(ABS(SUM($F$5:$F$1000)-1)&gt;0.0001,"Pesos del puesto suman "&amp;TEXT(SUM($F$5:$F$1000),"0%")&amp;"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",""))-3)))</f>
        <v/>
      </c>
    </row>
    <row r="63">
      <c r="A63" s="53">
        <f>IF(NOT((COUNTA($B63:$J63)+COUNTA($M63))&gt;0),"",COUNTIF($L$5:$L63,"?*"))</f>
        <v/>
      </c>
      <c r="B63" s="54" t="n"/>
      <c r="C63" s="54" t="n"/>
      <c r="D63" s="55" t="n"/>
      <c r="E63" s="55" t="n"/>
      <c r="F63" s="56" t="n"/>
      <c r="G63" s="57" t="n"/>
      <c r="H63" s="57" t="n"/>
      <c r="I63" s="57" t="n"/>
      <c r="J63" s="57" t="n"/>
      <c r="K63" s="58">
        <f>IF(NOT((COUNTA($B63:$J63)+COUNTA($M63))&gt;0),"",IFERROR(LOOKUP(2,1/(G63:J63&lt;&gt;""),G63:J63),0))</f>
        <v/>
      </c>
      <c r="L63" s="53">
        <f>IF(K63="","",IF(K63&gt;=1,"Completado",IF(K63&gt;0,"En curso","Pendiente")))</f>
        <v/>
      </c>
      <c r="M63" s="54" t="n"/>
      <c r="N63" s="59">
        <f>IF(NOT((COUNTA($B63:$J63)+COUNTA($M63))&gt;0),"",IF((IF(B63="","Macroactividad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","")&amp;IF(ABS(SUM($F$5:$F$1000)-1)&gt;0.0001,"Pesos del puesto suman "&amp;TEXT(SUM($F$5:$F$1000),"0%")&amp;"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 OK","⚠ "&amp;LEFT(IF(B63="","Macroactividad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","")&amp;IF(ABS(SUM($F$5:$F$1000)-1)&gt;0.0001,"Pesos del puesto suman "&amp;TEXT(SUM($F$5:$F$1000),"0%")&amp;"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",""),LEN(IF(B63="","Macroactividad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","")&amp;IF(ABS(SUM($F$5:$F$1000)-1)&gt;0.0001,"Pesos del puesto suman "&amp;TEXT(SUM($F$5:$F$1000),"0%")&amp;"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",""))-3)))</f>
        <v/>
      </c>
    </row>
    <row r="64">
      <c r="A64" s="53">
        <f>IF(NOT((COUNTA($B64:$J64)+COUNTA($M64))&gt;0),"",COUNTIF($L$5:$L64,"?*"))</f>
        <v/>
      </c>
      <c r="B64" s="54" t="n"/>
      <c r="C64" s="54" t="n"/>
      <c r="D64" s="55" t="n"/>
      <c r="E64" s="55" t="n"/>
      <c r="F64" s="56" t="n"/>
      <c r="G64" s="57" t="n"/>
      <c r="H64" s="57" t="n"/>
      <c r="I64" s="57" t="n"/>
      <c r="J64" s="57" t="n"/>
      <c r="K64" s="58">
        <f>IF(NOT((COUNTA($B64:$J64)+COUNTA($M64))&gt;0),"",IFERROR(LOOKUP(2,1/(G64:J64&lt;&gt;""),G64:J64),0))</f>
        <v/>
      </c>
      <c r="L64" s="53">
        <f>IF(K64="","",IF(K64&gt;=1,"Completado",IF(K64&gt;0,"En curso","Pendiente")))</f>
        <v/>
      </c>
      <c r="M64" s="54" t="n"/>
      <c r="N64" s="59">
        <f>IF(NOT((COUNTA($B64:$J64)+COUNTA($M64))&gt;0),"",IF((IF(B64="","Macroactividad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","")&amp;IF(ABS(SUM($F$5:$F$1000)-1)&gt;0.0001,"Pesos del puesto suman "&amp;TEXT(SUM($F$5:$F$1000),"0%")&amp;"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 OK","⚠ "&amp;LEFT(IF(B64="","Macroactividad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","")&amp;IF(ABS(SUM($F$5:$F$1000)-1)&gt;0.0001,"Pesos del puesto suman "&amp;TEXT(SUM($F$5:$F$1000),"0%")&amp;"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",""),LEN(IF(B64="","Macroactividad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","")&amp;IF(ABS(SUM($F$5:$F$1000)-1)&gt;0.0001,"Pesos del puesto suman "&amp;TEXT(SUM($F$5:$F$1000),"0%")&amp;"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",""))-3)))</f>
        <v/>
      </c>
    </row>
    <row r="65">
      <c r="A65" s="53">
        <f>IF(NOT((COUNTA($B65:$J65)+COUNTA($M65))&gt;0),"",COUNTIF($L$5:$L65,"?*"))</f>
        <v/>
      </c>
      <c r="B65" s="54" t="n"/>
      <c r="C65" s="54" t="n"/>
      <c r="D65" s="55" t="n"/>
      <c r="E65" s="55" t="n"/>
      <c r="F65" s="56" t="n"/>
      <c r="G65" s="57" t="n"/>
      <c r="H65" s="57" t="n"/>
      <c r="I65" s="57" t="n"/>
      <c r="J65" s="57" t="n"/>
      <c r="K65" s="58">
        <f>IF(NOT((COUNTA($B65:$J65)+COUNTA($M65))&gt;0),"",IFERROR(LOOKUP(2,1/(G65:J65&lt;&gt;""),G65:J65),0))</f>
        <v/>
      </c>
      <c r="L65" s="53">
        <f>IF(K65="","",IF(K65&gt;=1,"Completado",IF(K65&gt;0,"En curso","Pendiente")))</f>
        <v/>
      </c>
      <c r="M65" s="54" t="n"/>
      <c r="N65" s="59">
        <f>IF(NOT((COUNTA($B65:$J65)+COUNTA($M65))&gt;0),"",IF((IF(B65="","Macroactividad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","")&amp;IF(ABS(SUM($F$5:$F$1000)-1)&gt;0.0001,"Pesos del puesto suman "&amp;TEXT(SUM($F$5:$F$1000),"0%")&amp;"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 OK","⚠ "&amp;LEFT(IF(B65="","Macroactividad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","")&amp;IF(ABS(SUM($F$5:$F$1000)-1)&gt;0.0001,"Pesos del puesto suman "&amp;TEXT(SUM($F$5:$F$1000),"0%")&amp;"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",""),LEN(IF(B65="","Macroactividad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","")&amp;IF(ABS(SUM($F$5:$F$1000)-1)&gt;0.0001,"Pesos del puesto suman "&amp;TEXT(SUM($F$5:$F$1000),"0%")&amp;"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",""))-3)))</f>
        <v/>
      </c>
    </row>
    <row r="66">
      <c r="A66" s="53">
        <f>IF(NOT((COUNTA($B66:$J66)+COUNTA($M66))&gt;0),"",COUNTIF($L$5:$L66,"?*"))</f>
        <v/>
      </c>
      <c r="B66" s="54" t="n"/>
      <c r="C66" s="54" t="n"/>
      <c r="D66" s="55" t="n"/>
      <c r="E66" s="55" t="n"/>
      <c r="F66" s="56" t="n"/>
      <c r="G66" s="57" t="n"/>
      <c r="H66" s="57" t="n"/>
      <c r="I66" s="57" t="n"/>
      <c r="J66" s="57" t="n"/>
      <c r="K66" s="58">
        <f>IF(NOT((COUNTA($B66:$J66)+COUNTA($M66))&gt;0),"",IFERROR(LOOKUP(2,1/(G66:J66&lt;&gt;""),G66:J66),0))</f>
        <v/>
      </c>
      <c r="L66" s="53">
        <f>IF(K66="","",IF(K66&gt;=1,"Completado",IF(K66&gt;0,"En curso","Pendiente")))</f>
        <v/>
      </c>
      <c r="M66" s="54" t="n"/>
      <c r="N66" s="59">
        <f>IF(NOT((COUNTA($B66:$J66)+COUNTA($M66))&gt;0),"",IF((IF(B66="","Macroactividad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","")&amp;IF(ABS(SUM($F$5:$F$1000)-1)&gt;0.0001,"Pesos del puesto suman "&amp;TEXT(SUM($F$5:$F$1000),"0%")&amp;"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 OK","⚠ "&amp;LEFT(IF(B66="","Macroactividad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","")&amp;IF(ABS(SUM($F$5:$F$1000)-1)&gt;0.0001,"Pesos del puesto suman "&amp;TEXT(SUM($F$5:$F$1000),"0%")&amp;"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",""),LEN(IF(B66="","Macroactividad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","")&amp;IF(ABS(SUM($F$5:$F$1000)-1)&gt;0.0001,"Pesos del puesto suman "&amp;TEXT(SUM($F$5:$F$1000),"0%")&amp;"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",""))-3)))</f>
        <v/>
      </c>
    </row>
    <row r="67">
      <c r="A67" s="53">
        <f>IF(NOT((COUNTA($B67:$J67)+COUNTA($M67))&gt;0),"",COUNTIF($L$5:$L67,"?*"))</f>
        <v/>
      </c>
      <c r="B67" s="54" t="n"/>
      <c r="C67" s="54" t="n"/>
      <c r="D67" s="55" t="n"/>
      <c r="E67" s="55" t="n"/>
      <c r="F67" s="56" t="n"/>
      <c r="G67" s="57" t="n"/>
      <c r="H67" s="57" t="n"/>
      <c r="I67" s="57" t="n"/>
      <c r="J67" s="57" t="n"/>
      <c r="K67" s="58">
        <f>IF(NOT((COUNTA($B67:$J67)+COUNTA($M67))&gt;0),"",IFERROR(LOOKUP(2,1/(G67:J67&lt;&gt;""),G67:J67),0))</f>
        <v/>
      </c>
      <c r="L67" s="53">
        <f>IF(K67="","",IF(K67&gt;=1,"Completado",IF(K67&gt;0,"En curso","Pendiente")))</f>
        <v/>
      </c>
      <c r="M67" s="54" t="n"/>
      <c r="N67" s="59">
        <f>IF(NOT((COUNTA($B67:$J67)+COUNTA($M67))&gt;0),"",IF((IF(B67="","Macroactividad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","")&amp;IF(ABS(SUM($F$5:$F$1000)-1)&gt;0.0001,"Pesos del puesto suman "&amp;TEXT(SUM($F$5:$F$1000),"0%")&amp;"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 OK","⚠ "&amp;LEFT(IF(B67="","Macroactividad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","")&amp;IF(ABS(SUM($F$5:$F$1000)-1)&gt;0.0001,"Pesos del puesto suman "&amp;TEXT(SUM($F$5:$F$1000),"0%")&amp;"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",""),LEN(IF(B67="","Macroactividad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","")&amp;IF(ABS(SUM($F$5:$F$1000)-1)&gt;0.0001,"Pesos del puesto suman "&amp;TEXT(SUM($F$5:$F$1000),"0%")&amp;"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",""))-3)))</f>
        <v/>
      </c>
    </row>
    <row r="68">
      <c r="A68" s="53">
        <f>IF(NOT((COUNTA($B68:$J68)+COUNTA($M68))&gt;0),"",COUNTIF($L$5:$L68,"?*"))</f>
        <v/>
      </c>
      <c r="B68" s="54" t="n"/>
      <c r="C68" s="54" t="n"/>
      <c r="D68" s="55" t="n"/>
      <c r="E68" s="55" t="n"/>
      <c r="F68" s="56" t="n"/>
      <c r="G68" s="57" t="n"/>
      <c r="H68" s="57" t="n"/>
      <c r="I68" s="57" t="n"/>
      <c r="J68" s="57" t="n"/>
      <c r="K68" s="58">
        <f>IF(NOT((COUNTA($B68:$J68)+COUNTA($M68))&gt;0),"",IFERROR(LOOKUP(2,1/(G68:J68&lt;&gt;""),G68:J68),0))</f>
        <v/>
      </c>
      <c r="L68" s="53">
        <f>IF(K68="","",IF(K68&gt;=1,"Completado",IF(K68&gt;0,"En curso","Pendiente")))</f>
        <v/>
      </c>
      <c r="M68" s="54" t="n"/>
      <c r="N68" s="59">
        <f>IF(NOT((COUNTA($B68:$J68)+COUNTA($M68))&gt;0),"",IF((IF(B68="","Macroactividad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","")&amp;IF(ABS(SUM($F$5:$F$1000)-1)&gt;0.0001,"Pesos del puesto suman "&amp;TEXT(SUM($F$5:$F$1000),"0%")&amp;"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 OK","⚠ "&amp;LEFT(IF(B68="","Macroactividad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","")&amp;IF(ABS(SUM($F$5:$F$1000)-1)&gt;0.0001,"Pesos del puesto suman "&amp;TEXT(SUM($F$5:$F$1000),"0%")&amp;"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",""),LEN(IF(B68="","Macroactividad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","")&amp;IF(ABS(SUM($F$5:$F$1000)-1)&gt;0.0001,"Pesos del puesto suman "&amp;TEXT(SUM($F$5:$F$1000),"0%")&amp;"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",""))-3)))</f>
        <v/>
      </c>
    </row>
    <row r="69">
      <c r="A69" s="53">
        <f>IF(NOT((COUNTA($B69:$J69)+COUNTA($M69))&gt;0),"",COUNTIF($L$5:$L69,"?*"))</f>
        <v/>
      </c>
      <c r="B69" s="54" t="n"/>
      <c r="C69" s="54" t="n"/>
      <c r="D69" s="55" t="n"/>
      <c r="E69" s="55" t="n"/>
      <c r="F69" s="56" t="n"/>
      <c r="G69" s="57" t="n"/>
      <c r="H69" s="57" t="n"/>
      <c r="I69" s="57" t="n"/>
      <c r="J69" s="57" t="n"/>
      <c r="K69" s="58">
        <f>IF(NOT((COUNTA($B69:$J69)+COUNTA($M69))&gt;0),"",IFERROR(LOOKUP(2,1/(G69:J69&lt;&gt;""),G69:J69),0))</f>
        <v/>
      </c>
      <c r="L69" s="53">
        <f>IF(K69="","",IF(K69&gt;=1,"Completado",IF(K69&gt;0,"En curso","Pendiente")))</f>
        <v/>
      </c>
      <c r="M69" s="54" t="n"/>
      <c r="N69" s="59">
        <f>IF(NOT((COUNTA($B69:$J69)+COUNTA($M69))&gt;0),"",IF((IF(B69="","Macroactividad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","")&amp;IF(ABS(SUM($F$5:$F$1000)-1)&gt;0.0001,"Pesos del puesto suman "&amp;TEXT(SUM($F$5:$F$1000),"0%")&amp;"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 OK","⚠ "&amp;LEFT(IF(B69="","Macroactividad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","")&amp;IF(ABS(SUM($F$5:$F$1000)-1)&gt;0.0001,"Pesos del puesto suman "&amp;TEXT(SUM($F$5:$F$1000),"0%")&amp;"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",""),LEN(IF(B69="","Macroactividad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","")&amp;IF(ABS(SUM($F$5:$F$1000)-1)&gt;0.0001,"Pesos del puesto suman "&amp;TEXT(SUM($F$5:$F$1000),"0%")&amp;"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",""))-3)))</f>
        <v/>
      </c>
    </row>
    <row r="70">
      <c r="A70" s="53">
        <f>IF(NOT((COUNTA($B70:$J70)+COUNTA($M70))&gt;0),"",COUNTIF($L$5:$L70,"?*"))</f>
        <v/>
      </c>
      <c r="B70" s="54" t="n"/>
      <c r="C70" s="54" t="n"/>
      <c r="D70" s="55" t="n"/>
      <c r="E70" s="55" t="n"/>
      <c r="F70" s="56" t="n"/>
      <c r="G70" s="57" t="n"/>
      <c r="H70" s="57" t="n"/>
      <c r="I70" s="57" t="n"/>
      <c r="J70" s="57" t="n"/>
      <c r="K70" s="58">
        <f>IF(NOT((COUNTA($B70:$J70)+COUNTA($M70))&gt;0),"",IFERROR(LOOKUP(2,1/(G70:J70&lt;&gt;""),G70:J70),0))</f>
        <v/>
      </c>
      <c r="L70" s="53">
        <f>IF(K70="","",IF(K70&gt;=1,"Completado",IF(K70&gt;0,"En curso","Pendiente")))</f>
        <v/>
      </c>
      <c r="M70" s="54" t="n"/>
      <c r="N70" s="59">
        <f>IF(NOT((COUNTA($B70:$J70)+COUNTA($M70))&gt;0),"",IF((IF(B70="","Macroactividad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","")&amp;IF(ABS(SUM($F$5:$F$1000)-1)&gt;0.0001,"Pesos del puesto suman "&amp;TEXT(SUM($F$5:$F$1000),"0%")&amp;"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 OK","⚠ "&amp;LEFT(IF(B70="","Macroactividad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","")&amp;IF(ABS(SUM($F$5:$F$1000)-1)&gt;0.0001,"Pesos del puesto suman "&amp;TEXT(SUM($F$5:$F$1000),"0%")&amp;"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",""),LEN(IF(B70="","Macroactividad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","")&amp;IF(ABS(SUM($F$5:$F$1000)-1)&gt;0.0001,"Pesos del puesto suman "&amp;TEXT(SUM($F$5:$F$1000),"0%")&amp;"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",""))-3)))</f>
        <v/>
      </c>
    </row>
    <row r="71">
      <c r="A71" s="53">
        <f>IF(NOT((COUNTA($B71:$J71)+COUNTA($M71))&gt;0),"",COUNTIF($L$5:$L71,"?*"))</f>
        <v/>
      </c>
      <c r="B71" s="54" t="n"/>
      <c r="C71" s="54" t="n"/>
      <c r="D71" s="55" t="n"/>
      <c r="E71" s="55" t="n"/>
      <c r="F71" s="56" t="n"/>
      <c r="G71" s="57" t="n"/>
      <c r="H71" s="57" t="n"/>
      <c r="I71" s="57" t="n"/>
      <c r="J71" s="57" t="n"/>
      <c r="K71" s="58">
        <f>IF(NOT((COUNTA($B71:$J71)+COUNTA($M71))&gt;0),"",IFERROR(LOOKUP(2,1/(G71:J71&lt;&gt;""),G71:J71),0))</f>
        <v/>
      </c>
      <c r="L71" s="53">
        <f>IF(K71="","",IF(K71&gt;=1,"Completado",IF(K71&gt;0,"En curso","Pendiente")))</f>
        <v/>
      </c>
      <c r="M71" s="54" t="n"/>
      <c r="N71" s="59">
        <f>IF(NOT((COUNTA($B71:$J71)+COUNTA($M71))&gt;0),"",IF((IF(B71="","Macroactividad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","")&amp;IF(ABS(SUM($F$5:$F$1000)-1)&gt;0.0001,"Pesos del puesto suman "&amp;TEXT(SUM($F$5:$F$1000),"0%")&amp;"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 OK","⚠ "&amp;LEFT(IF(B71="","Macroactividad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","")&amp;IF(ABS(SUM($F$5:$F$1000)-1)&gt;0.0001,"Pesos del puesto suman "&amp;TEXT(SUM($F$5:$F$1000),"0%")&amp;"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",""),LEN(IF(B71="","Macroactividad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","")&amp;IF(ABS(SUM($F$5:$F$1000)-1)&gt;0.0001,"Pesos del puesto suman "&amp;TEXT(SUM($F$5:$F$1000),"0%")&amp;"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",""))-3)))</f>
        <v/>
      </c>
    </row>
    <row r="72">
      <c r="A72" s="53">
        <f>IF(NOT((COUNTA($B72:$J72)+COUNTA($M72))&gt;0),"",COUNTIF($L$5:$L72,"?*"))</f>
        <v/>
      </c>
      <c r="B72" s="54" t="n"/>
      <c r="C72" s="54" t="n"/>
      <c r="D72" s="55" t="n"/>
      <c r="E72" s="55" t="n"/>
      <c r="F72" s="56" t="n"/>
      <c r="G72" s="57" t="n"/>
      <c r="H72" s="57" t="n"/>
      <c r="I72" s="57" t="n"/>
      <c r="J72" s="57" t="n"/>
      <c r="K72" s="58">
        <f>IF(NOT((COUNTA($B72:$J72)+COUNTA($M72))&gt;0),"",IFERROR(LOOKUP(2,1/(G72:J72&lt;&gt;""),G72:J72),0))</f>
        <v/>
      </c>
      <c r="L72" s="53">
        <f>IF(K72="","",IF(K72&gt;=1,"Completado",IF(K72&gt;0,"En curso","Pendiente")))</f>
        <v/>
      </c>
      <c r="M72" s="54" t="n"/>
      <c r="N72" s="59">
        <f>IF(NOT((COUNTA($B72:$J72)+COUNTA($M72))&gt;0),"",IF((IF(B72="","Macroactividad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","")&amp;IF(ABS(SUM($F$5:$F$1000)-1)&gt;0.0001,"Pesos del puesto suman "&amp;TEXT(SUM($F$5:$F$1000),"0%")&amp;"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 OK","⚠ "&amp;LEFT(IF(B72="","Macroactividad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","")&amp;IF(ABS(SUM($F$5:$F$1000)-1)&gt;0.0001,"Pesos del puesto suman "&amp;TEXT(SUM($F$5:$F$1000),"0%")&amp;"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",""),LEN(IF(B72="","Macroactividad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","")&amp;IF(ABS(SUM($F$5:$F$1000)-1)&gt;0.0001,"Pesos del puesto suman "&amp;TEXT(SUM($F$5:$F$1000),"0%")&amp;"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",""))-3)))</f>
        <v/>
      </c>
    </row>
    <row r="73">
      <c r="A73" s="53">
        <f>IF(NOT((COUNTA($B73:$J73)+COUNTA($M73))&gt;0),"",COUNTIF($L$5:$L73,"?*"))</f>
        <v/>
      </c>
      <c r="B73" s="54" t="n"/>
      <c r="C73" s="54" t="n"/>
      <c r="D73" s="55" t="n"/>
      <c r="E73" s="55" t="n"/>
      <c r="F73" s="56" t="n"/>
      <c r="G73" s="57" t="n"/>
      <c r="H73" s="57" t="n"/>
      <c r="I73" s="57" t="n"/>
      <c r="J73" s="57" t="n"/>
      <c r="K73" s="58">
        <f>IF(NOT((COUNTA($B73:$J73)+COUNTA($M73))&gt;0),"",IFERROR(LOOKUP(2,1/(G73:J73&lt;&gt;""),G73:J73),0))</f>
        <v/>
      </c>
      <c r="L73" s="53">
        <f>IF(K73="","",IF(K73&gt;=1,"Completado",IF(K73&gt;0,"En curso","Pendiente")))</f>
        <v/>
      </c>
      <c r="M73" s="54" t="n"/>
      <c r="N73" s="59">
        <f>IF(NOT((COUNTA($B73:$J73)+COUNTA($M73))&gt;0),"",IF((IF(B73="","Macroactividad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","")&amp;IF(ABS(SUM($F$5:$F$1000)-1)&gt;0.0001,"Pesos del puesto suman "&amp;TEXT(SUM($F$5:$F$1000),"0%")&amp;"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 OK","⚠ "&amp;LEFT(IF(B73="","Macroactividad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","")&amp;IF(ABS(SUM($F$5:$F$1000)-1)&gt;0.0001,"Pesos del puesto suman "&amp;TEXT(SUM($F$5:$F$1000),"0%")&amp;"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",""),LEN(IF(B73="","Macroactividad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","")&amp;IF(ABS(SUM($F$5:$F$1000)-1)&gt;0.0001,"Pesos del puesto suman "&amp;TEXT(SUM($F$5:$F$1000),"0%")&amp;"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",""))-3)))</f>
        <v/>
      </c>
    </row>
    <row r="74">
      <c r="A74" s="53">
        <f>IF(NOT((COUNTA($B74:$J74)+COUNTA($M74))&gt;0),"",COUNTIF($L$5:$L74,"?*"))</f>
        <v/>
      </c>
      <c r="B74" s="54" t="n"/>
      <c r="C74" s="54" t="n"/>
      <c r="D74" s="55" t="n"/>
      <c r="E74" s="55" t="n"/>
      <c r="F74" s="56" t="n"/>
      <c r="G74" s="57" t="n"/>
      <c r="H74" s="57" t="n"/>
      <c r="I74" s="57" t="n"/>
      <c r="J74" s="57" t="n"/>
      <c r="K74" s="58">
        <f>IF(NOT((COUNTA($B74:$J74)+COUNTA($M74))&gt;0),"",IFERROR(LOOKUP(2,1/(G74:J74&lt;&gt;""),G74:J74),0))</f>
        <v/>
      </c>
      <c r="L74" s="53">
        <f>IF(K74="","",IF(K74&gt;=1,"Completado",IF(K74&gt;0,"En curso","Pendiente")))</f>
        <v/>
      </c>
      <c r="M74" s="54" t="n"/>
      <c r="N74" s="59">
        <f>IF(NOT((COUNTA($B74:$J74)+COUNTA($M74))&gt;0),"",IF((IF(B74="","Macroactividad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","")&amp;IF(ABS(SUM($F$5:$F$1000)-1)&gt;0.0001,"Pesos del puesto suman "&amp;TEXT(SUM($F$5:$F$1000),"0%")&amp;"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 OK","⚠ "&amp;LEFT(IF(B74="","Macroactividad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","")&amp;IF(ABS(SUM($F$5:$F$1000)-1)&gt;0.0001,"Pesos del puesto suman "&amp;TEXT(SUM($F$5:$F$1000),"0%")&amp;"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",""),LEN(IF(B74="","Macroactividad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","")&amp;IF(ABS(SUM($F$5:$F$1000)-1)&gt;0.0001,"Pesos del puesto suman "&amp;TEXT(SUM($F$5:$F$1000),"0%")&amp;"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",""))-3)))</f>
        <v/>
      </c>
    </row>
    <row r="75">
      <c r="A75" s="53">
        <f>IF(NOT((COUNTA($B75:$J75)+COUNTA($M75))&gt;0),"",COUNTIF($L$5:$L75,"?*"))</f>
        <v/>
      </c>
      <c r="B75" s="54" t="n"/>
      <c r="C75" s="54" t="n"/>
      <c r="D75" s="55" t="n"/>
      <c r="E75" s="55" t="n"/>
      <c r="F75" s="56" t="n"/>
      <c r="G75" s="57" t="n"/>
      <c r="H75" s="57" t="n"/>
      <c r="I75" s="57" t="n"/>
      <c r="J75" s="57" t="n"/>
      <c r="K75" s="58">
        <f>IF(NOT((COUNTA($B75:$J75)+COUNTA($M75))&gt;0),"",IFERROR(LOOKUP(2,1/(G75:J75&lt;&gt;""),G75:J75),0))</f>
        <v/>
      </c>
      <c r="L75" s="53">
        <f>IF(K75="","",IF(K75&gt;=1,"Completado",IF(K75&gt;0,"En curso","Pendiente")))</f>
        <v/>
      </c>
      <c r="M75" s="54" t="n"/>
      <c r="N75" s="59">
        <f>IF(NOT((COUNTA($B75:$J75)+COUNTA($M75))&gt;0),"",IF((IF(B75="","Macroactividad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","")&amp;IF(ABS(SUM($F$5:$F$1000)-1)&gt;0.0001,"Pesos del puesto suman "&amp;TEXT(SUM($F$5:$F$1000),"0%")&amp;"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 OK","⚠ "&amp;LEFT(IF(B75="","Macroactividad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","")&amp;IF(ABS(SUM($F$5:$F$1000)-1)&gt;0.0001,"Pesos del puesto suman "&amp;TEXT(SUM($F$5:$F$1000),"0%")&amp;"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",""),LEN(IF(B75="","Macroactividad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","")&amp;IF(ABS(SUM($F$5:$F$1000)-1)&gt;0.0001,"Pesos del puesto suman "&amp;TEXT(SUM($F$5:$F$1000),"0%")&amp;"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",""))-3)))</f>
        <v/>
      </c>
    </row>
    <row r="76">
      <c r="A76" s="53">
        <f>IF(NOT((COUNTA($B76:$J76)+COUNTA($M76))&gt;0),"",COUNTIF($L$5:$L76,"?*"))</f>
        <v/>
      </c>
      <c r="B76" s="54" t="n"/>
      <c r="C76" s="54" t="n"/>
      <c r="D76" s="55" t="n"/>
      <c r="E76" s="55" t="n"/>
      <c r="F76" s="56" t="n"/>
      <c r="G76" s="57" t="n"/>
      <c r="H76" s="57" t="n"/>
      <c r="I76" s="57" t="n"/>
      <c r="J76" s="57" t="n"/>
      <c r="K76" s="58">
        <f>IF(NOT((COUNTA($B76:$J76)+COUNTA($M76))&gt;0),"",IFERROR(LOOKUP(2,1/(G76:J76&lt;&gt;""),G76:J76),0))</f>
        <v/>
      </c>
      <c r="L76" s="53">
        <f>IF(K76="","",IF(K76&gt;=1,"Completado",IF(K76&gt;0,"En curso","Pendiente")))</f>
        <v/>
      </c>
      <c r="M76" s="54" t="n"/>
      <c r="N76" s="59">
        <f>IF(NOT((COUNTA($B76:$J76)+COUNTA($M76))&gt;0),"",IF((IF(B76="","Macroactividad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","")&amp;IF(ABS(SUM($F$5:$F$1000)-1)&gt;0.0001,"Pesos del puesto suman "&amp;TEXT(SUM($F$5:$F$1000),"0%")&amp;"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 OK","⚠ "&amp;LEFT(IF(B76="","Macroactividad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","")&amp;IF(ABS(SUM($F$5:$F$1000)-1)&gt;0.0001,"Pesos del puesto suman "&amp;TEXT(SUM($F$5:$F$1000),"0%")&amp;"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",""),LEN(IF(B76="","Macroactividad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","")&amp;IF(ABS(SUM($F$5:$F$1000)-1)&gt;0.0001,"Pesos del puesto suman "&amp;TEXT(SUM($F$5:$F$1000),"0%")&amp;"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",""))-3)))</f>
        <v/>
      </c>
    </row>
    <row r="77">
      <c r="A77" s="53">
        <f>IF(NOT((COUNTA($B77:$J77)+COUNTA($M77))&gt;0),"",COUNTIF($L$5:$L77,"?*"))</f>
        <v/>
      </c>
      <c r="B77" s="54" t="n"/>
      <c r="C77" s="54" t="n"/>
      <c r="D77" s="55" t="n"/>
      <c r="E77" s="55" t="n"/>
      <c r="F77" s="56" t="n"/>
      <c r="G77" s="57" t="n"/>
      <c r="H77" s="57" t="n"/>
      <c r="I77" s="57" t="n"/>
      <c r="J77" s="57" t="n"/>
      <c r="K77" s="58">
        <f>IF(NOT((COUNTA($B77:$J77)+COUNTA($M77))&gt;0),"",IFERROR(LOOKUP(2,1/(G77:J77&lt;&gt;""),G77:J77),0))</f>
        <v/>
      </c>
      <c r="L77" s="53">
        <f>IF(K77="","",IF(K77&gt;=1,"Completado",IF(K77&gt;0,"En curso","Pendiente")))</f>
        <v/>
      </c>
      <c r="M77" s="54" t="n"/>
      <c r="N77" s="59">
        <f>IF(NOT((COUNTA($B77:$J77)+COUNTA($M77))&gt;0),"",IF((IF(B77="","Macroactividad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","")&amp;IF(ABS(SUM($F$5:$F$1000)-1)&gt;0.0001,"Pesos del puesto suman "&amp;TEXT(SUM($F$5:$F$1000),"0%")&amp;"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 OK","⚠ "&amp;LEFT(IF(B77="","Macroactividad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","")&amp;IF(ABS(SUM($F$5:$F$1000)-1)&gt;0.0001,"Pesos del puesto suman "&amp;TEXT(SUM($F$5:$F$1000),"0%")&amp;"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",""),LEN(IF(B77="","Macroactividad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","")&amp;IF(ABS(SUM($F$5:$F$1000)-1)&gt;0.0001,"Pesos del puesto suman "&amp;TEXT(SUM($F$5:$F$1000),"0%")&amp;"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",""))-3)))</f>
        <v/>
      </c>
    </row>
    <row r="78">
      <c r="A78" s="53">
        <f>IF(NOT((COUNTA($B78:$J78)+COUNTA($M78))&gt;0),"",COUNTIF($L$5:$L78,"?*"))</f>
        <v/>
      </c>
      <c r="B78" s="54" t="n"/>
      <c r="C78" s="54" t="n"/>
      <c r="D78" s="55" t="n"/>
      <c r="E78" s="55" t="n"/>
      <c r="F78" s="56" t="n"/>
      <c r="G78" s="57" t="n"/>
      <c r="H78" s="57" t="n"/>
      <c r="I78" s="57" t="n"/>
      <c r="J78" s="57" t="n"/>
      <c r="K78" s="58">
        <f>IF(NOT((COUNTA($B78:$J78)+COUNTA($M78))&gt;0),"",IFERROR(LOOKUP(2,1/(G78:J78&lt;&gt;""),G78:J78),0))</f>
        <v/>
      </c>
      <c r="L78" s="53">
        <f>IF(K78="","",IF(K78&gt;=1,"Completado",IF(K78&gt;0,"En curso","Pendiente")))</f>
        <v/>
      </c>
      <c r="M78" s="54" t="n"/>
      <c r="N78" s="59">
        <f>IF(NOT((COUNTA($B78:$J78)+COUNTA($M78))&gt;0),"",IF((IF(B78="","Macroactividad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","")&amp;IF(ABS(SUM($F$5:$F$1000)-1)&gt;0.0001,"Pesos del puesto suman "&amp;TEXT(SUM($F$5:$F$1000),"0%")&amp;"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 OK","⚠ "&amp;LEFT(IF(B78="","Macroactividad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","")&amp;IF(ABS(SUM($F$5:$F$1000)-1)&gt;0.0001,"Pesos del puesto suman "&amp;TEXT(SUM($F$5:$F$1000),"0%")&amp;"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",""),LEN(IF(B78="","Macroactividad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","")&amp;IF(ABS(SUM($F$5:$F$1000)-1)&gt;0.0001,"Pesos del puesto suman "&amp;TEXT(SUM($F$5:$F$1000),"0%")&amp;"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",""))-3)))</f>
        <v/>
      </c>
    </row>
    <row r="79">
      <c r="A79" s="53">
        <f>IF(NOT((COUNTA($B79:$J79)+COUNTA($M79))&gt;0),"",COUNTIF($L$5:$L79,"?*"))</f>
        <v/>
      </c>
      <c r="B79" s="54" t="n"/>
      <c r="C79" s="54" t="n"/>
      <c r="D79" s="55" t="n"/>
      <c r="E79" s="55" t="n"/>
      <c r="F79" s="56" t="n"/>
      <c r="G79" s="57" t="n"/>
      <c r="H79" s="57" t="n"/>
      <c r="I79" s="57" t="n"/>
      <c r="J79" s="57" t="n"/>
      <c r="K79" s="58">
        <f>IF(NOT((COUNTA($B79:$J79)+COUNTA($M79))&gt;0),"",IFERROR(LOOKUP(2,1/(G79:J79&lt;&gt;""),G79:J79),0))</f>
        <v/>
      </c>
      <c r="L79" s="53">
        <f>IF(K79="","",IF(K79&gt;=1,"Completado",IF(K79&gt;0,"En curso","Pendiente")))</f>
        <v/>
      </c>
      <c r="M79" s="54" t="n"/>
      <c r="N79" s="59">
        <f>IF(NOT((COUNTA($B79:$J79)+COUNTA($M79))&gt;0),"",IF((IF(B79="","Macroactividad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","")&amp;IF(ABS(SUM($F$5:$F$1000)-1)&gt;0.0001,"Pesos del puesto suman "&amp;TEXT(SUM($F$5:$F$1000),"0%")&amp;"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 OK","⚠ "&amp;LEFT(IF(B79="","Macroactividad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","")&amp;IF(ABS(SUM($F$5:$F$1000)-1)&gt;0.0001,"Pesos del puesto suman "&amp;TEXT(SUM($F$5:$F$1000),"0%")&amp;"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",""),LEN(IF(B79="","Macroactividad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","")&amp;IF(ABS(SUM($F$5:$F$1000)-1)&gt;0.0001,"Pesos del puesto suman "&amp;TEXT(SUM($F$5:$F$1000),"0%")&amp;"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",""))-3)))</f>
        <v/>
      </c>
    </row>
    <row r="80">
      <c r="A80" s="53">
        <f>IF(NOT((COUNTA($B80:$J80)+COUNTA($M80))&gt;0),"",COUNTIF($L$5:$L80,"?*"))</f>
        <v/>
      </c>
      <c r="B80" s="54" t="n"/>
      <c r="C80" s="54" t="n"/>
      <c r="D80" s="55" t="n"/>
      <c r="E80" s="55" t="n"/>
      <c r="F80" s="56" t="n"/>
      <c r="G80" s="57" t="n"/>
      <c r="H80" s="57" t="n"/>
      <c r="I80" s="57" t="n"/>
      <c r="J80" s="57" t="n"/>
      <c r="K80" s="58">
        <f>IF(NOT((COUNTA($B80:$J80)+COUNTA($M80))&gt;0),"",IFERROR(LOOKUP(2,1/(G80:J80&lt;&gt;""),G80:J80),0))</f>
        <v/>
      </c>
      <c r="L80" s="53">
        <f>IF(K80="","",IF(K80&gt;=1,"Completado",IF(K80&gt;0,"En curso","Pendiente")))</f>
        <v/>
      </c>
      <c r="M80" s="54" t="n"/>
      <c r="N80" s="59">
        <f>IF(NOT((COUNTA($B80:$J80)+COUNTA($M80))&gt;0),"",IF((IF(B80="","Macroactividad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","")&amp;IF(ABS(SUM($F$5:$F$1000)-1)&gt;0.0001,"Pesos del puesto suman "&amp;TEXT(SUM($F$5:$F$1000),"0%")&amp;"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 OK","⚠ "&amp;LEFT(IF(B80="","Macroactividad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","")&amp;IF(ABS(SUM($F$5:$F$1000)-1)&gt;0.0001,"Pesos del puesto suman "&amp;TEXT(SUM($F$5:$F$1000),"0%")&amp;"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",""),LEN(IF(B80="","Macroactividad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","")&amp;IF(ABS(SUM($F$5:$F$1000)-1)&gt;0.0001,"Pesos del puesto suman "&amp;TEXT(SUM($F$5:$F$1000),"0%")&amp;"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",""))-3)))</f>
        <v/>
      </c>
    </row>
    <row r="81">
      <c r="A81" s="53">
        <f>IF(NOT((COUNTA($B81:$J81)+COUNTA($M81))&gt;0),"",COUNTIF($L$5:$L81,"?*"))</f>
        <v/>
      </c>
      <c r="B81" s="54" t="n"/>
      <c r="C81" s="54" t="n"/>
      <c r="D81" s="55" t="n"/>
      <c r="E81" s="55" t="n"/>
      <c r="F81" s="56" t="n"/>
      <c r="G81" s="57" t="n"/>
      <c r="H81" s="57" t="n"/>
      <c r="I81" s="57" t="n"/>
      <c r="J81" s="57" t="n"/>
      <c r="K81" s="58">
        <f>IF(NOT((COUNTA($B81:$J81)+COUNTA($M81))&gt;0),"",IFERROR(LOOKUP(2,1/(G81:J81&lt;&gt;""),G81:J81),0))</f>
        <v/>
      </c>
      <c r="L81" s="53">
        <f>IF(K81="","",IF(K81&gt;=1,"Completado",IF(K81&gt;0,"En curso","Pendiente")))</f>
        <v/>
      </c>
      <c r="M81" s="54" t="n"/>
      <c r="N81" s="59">
        <f>IF(NOT((COUNTA($B81:$J81)+COUNTA($M81))&gt;0),"",IF((IF(B81="","Macroactividad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","")&amp;IF(ABS(SUM($F$5:$F$1000)-1)&gt;0.0001,"Pesos del puesto suman "&amp;TEXT(SUM($F$5:$F$1000),"0%")&amp;"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 OK","⚠ "&amp;LEFT(IF(B81="","Macroactividad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","")&amp;IF(ABS(SUM($F$5:$F$1000)-1)&gt;0.0001,"Pesos del puesto suman "&amp;TEXT(SUM($F$5:$F$1000),"0%")&amp;"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",""),LEN(IF(B81="","Macroactividad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","")&amp;IF(ABS(SUM($F$5:$F$1000)-1)&gt;0.0001,"Pesos del puesto suman "&amp;TEXT(SUM($F$5:$F$1000),"0%")&amp;"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",""))-3)))</f>
        <v/>
      </c>
    </row>
    <row r="82">
      <c r="A82" s="53">
        <f>IF(NOT((COUNTA($B82:$J82)+COUNTA($M82))&gt;0),"",COUNTIF($L$5:$L82,"?*"))</f>
        <v/>
      </c>
      <c r="B82" s="54" t="n"/>
      <c r="C82" s="54" t="n"/>
      <c r="D82" s="55" t="n"/>
      <c r="E82" s="55" t="n"/>
      <c r="F82" s="56" t="n"/>
      <c r="G82" s="57" t="n"/>
      <c r="H82" s="57" t="n"/>
      <c r="I82" s="57" t="n"/>
      <c r="J82" s="57" t="n"/>
      <c r="K82" s="58">
        <f>IF(NOT((COUNTA($B82:$J82)+COUNTA($M82))&gt;0),"",IFERROR(LOOKUP(2,1/(G82:J82&lt;&gt;""),G82:J82),0))</f>
        <v/>
      </c>
      <c r="L82" s="53">
        <f>IF(K82="","",IF(K82&gt;=1,"Completado",IF(K82&gt;0,"En curso","Pendiente")))</f>
        <v/>
      </c>
      <c r="M82" s="54" t="n"/>
      <c r="N82" s="59">
        <f>IF(NOT((COUNTA($B82:$J82)+COUNTA($M82))&gt;0),"",IF((IF(B82="","Macroactividad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","")&amp;IF(ABS(SUM($F$5:$F$1000)-1)&gt;0.0001,"Pesos del puesto suman "&amp;TEXT(SUM($F$5:$F$1000),"0%")&amp;"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 OK","⚠ "&amp;LEFT(IF(B82="","Macroactividad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","")&amp;IF(ABS(SUM($F$5:$F$1000)-1)&gt;0.0001,"Pesos del puesto suman "&amp;TEXT(SUM($F$5:$F$1000),"0%")&amp;"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",""),LEN(IF(B82="","Macroactividad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","")&amp;IF(ABS(SUM($F$5:$F$1000)-1)&gt;0.0001,"Pesos del puesto suman "&amp;TEXT(SUM($F$5:$F$1000),"0%")&amp;"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",""))-3)))</f>
        <v/>
      </c>
    </row>
    <row r="83">
      <c r="A83" s="53">
        <f>IF(NOT((COUNTA($B83:$J83)+COUNTA($M83))&gt;0),"",COUNTIF($L$5:$L83,"?*"))</f>
        <v/>
      </c>
      <c r="B83" s="54" t="n"/>
      <c r="C83" s="54" t="n"/>
      <c r="D83" s="55" t="n"/>
      <c r="E83" s="55" t="n"/>
      <c r="F83" s="56" t="n"/>
      <c r="G83" s="57" t="n"/>
      <c r="H83" s="57" t="n"/>
      <c r="I83" s="57" t="n"/>
      <c r="J83" s="57" t="n"/>
      <c r="K83" s="58">
        <f>IF(NOT((COUNTA($B83:$J83)+COUNTA($M83))&gt;0),"",IFERROR(LOOKUP(2,1/(G83:J83&lt;&gt;""),G83:J83),0))</f>
        <v/>
      </c>
      <c r="L83" s="53">
        <f>IF(K83="","",IF(K83&gt;=1,"Completado",IF(K83&gt;0,"En curso","Pendiente")))</f>
        <v/>
      </c>
      <c r="M83" s="54" t="n"/>
      <c r="N83" s="59">
        <f>IF(NOT((COUNTA($B83:$J83)+COUNTA($M83))&gt;0),"",IF((IF(B83="","Macroactividad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","")&amp;IF(ABS(SUM($F$5:$F$1000)-1)&gt;0.0001,"Pesos del puesto suman "&amp;TEXT(SUM($F$5:$F$1000),"0%")&amp;"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 OK","⚠ "&amp;LEFT(IF(B83="","Macroactividad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","")&amp;IF(ABS(SUM($F$5:$F$1000)-1)&gt;0.0001,"Pesos del puesto suman "&amp;TEXT(SUM($F$5:$F$1000),"0%")&amp;"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",""),LEN(IF(B83="","Macroactividad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","")&amp;IF(ABS(SUM($F$5:$F$1000)-1)&gt;0.0001,"Pesos del puesto suman "&amp;TEXT(SUM($F$5:$F$1000),"0%")&amp;"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",""))-3)))</f>
        <v/>
      </c>
    </row>
    <row r="84">
      <c r="A84" s="53">
        <f>IF(NOT((COUNTA($B84:$J84)+COUNTA($M84))&gt;0),"",COUNTIF($L$5:$L84,"?*"))</f>
        <v/>
      </c>
      <c r="B84" s="54" t="n"/>
      <c r="C84" s="54" t="n"/>
      <c r="D84" s="55" t="n"/>
      <c r="E84" s="55" t="n"/>
      <c r="F84" s="56" t="n"/>
      <c r="G84" s="57" t="n"/>
      <c r="H84" s="57" t="n"/>
      <c r="I84" s="57" t="n"/>
      <c r="J84" s="57" t="n"/>
      <c r="K84" s="58">
        <f>IF(NOT((COUNTA($B84:$J84)+COUNTA($M84))&gt;0),"",IFERROR(LOOKUP(2,1/(G84:J84&lt;&gt;""),G84:J84),0))</f>
        <v/>
      </c>
      <c r="L84" s="53">
        <f>IF(K84="","",IF(K84&gt;=1,"Completado",IF(K84&gt;0,"En curso","Pendiente")))</f>
        <v/>
      </c>
      <c r="M84" s="54" t="n"/>
      <c r="N84" s="59">
        <f>IF(NOT((COUNTA($B84:$J84)+COUNTA($M84))&gt;0),"",IF((IF(B84="","Macroactividad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","")&amp;IF(ABS(SUM($F$5:$F$1000)-1)&gt;0.0001,"Pesos del puesto suman "&amp;TEXT(SUM($F$5:$F$1000),"0%")&amp;"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 OK","⚠ "&amp;LEFT(IF(B84="","Macroactividad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","")&amp;IF(ABS(SUM($F$5:$F$1000)-1)&gt;0.0001,"Pesos del puesto suman "&amp;TEXT(SUM($F$5:$F$1000),"0%")&amp;"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",""),LEN(IF(B84="","Macroactividad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","")&amp;IF(ABS(SUM($F$5:$F$1000)-1)&gt;0.0001,"Pesos del puesto suman "&amp;TEXT(SUM($F$5:$F$1000),"0%")&amp;"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",""))-3)))</f>
        <v/>
      </c>
    </row>
    <row r="85">
      <c r="A85" s="53">
        <f>IF(NOT((COUNTA($B85:$J85)+COUNTA($M85))&gt;0),"",COUNTIF($L$5:$L85,"?*"))</f>
        <v/>
      </c>
      <c r="B85" s="54" t="n"/>
      <c r="C85" s="54" t="n"/>
      <c r="D85" s="55" t="n"/>
      <c r="E85" s="55" t="n"/>
      <c r="F85" s="56" t="n"/>
      <c r="G85" s="57" t="n"/>
      <c r="H85" s="57" t="n"/>
      <c r="I85" s="57" t="n"/>
      <c r="J85" s="57" t="n"/>
      <c r="K85" s="58">
        <f>IF(NOT((COUNTA($B85:$J85)+COUNTA($M85))&gt;0),"",IFERROR(LOOKUP(2,1/(G85:J85&lt;&gt;""),G85:J85),0))</f>
        <v/>
      </c>
      <c r="L85" s="53">
        <f>IF(K85="","",IF(K85&gt;=1,"Completado",IF(K85&gt;0,"En curso","Pendiente")))</f>
        <v/>
      </c>
      <c r="M85" s="54" t="n"/>
      <c r="N85" s="59">
        <f>IF(NOT((COUNTA($B85:$J85)+COUNTA($M85))&gt;0),"",IF((IF(B85="","Macroactividad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","")&amp;IF(ABS(SUM($F$5:$F$1000)-1)&gt;0.0001,"Pesos del puesto suman "&amp;TEXT(SUM($F$5:$F$1000),"0%")&amp;"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 OK","⚠ "&amp;LEFT(IF(B85="","Macroactividad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","")&amp;IF(ABS(SUM($F$5:$F$1000)-1)&gt;0.0001,"Pesos del puesto suman "&amp;TEXT(SUM($F$5:$F$1000),"0%")&amp;"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",""),LEN(IF(B85="","Macroactividad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","")&amp;IF(ABS(SUM($F$5:$F$1000)-1)&gt;0.0001,"Pesos del puesto suman "&amp;TEXT(SUM($F$5:$F$1000),"0%")&amp;"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",""))-3)))</f>
        <v/>
      </c>
    </row>
    <row r="86">
      <c r="A86" s="53">
        <f>IF(NOT((COUNTA($B86:$J86)+COUNTA($M86))&gt;0),"",COUNTIF($L$5:$L86,"?*"))</f>
        <v/>
      </c>
      <c r="B86" s="54" t="n"/>
      <c r="C86" s="54" t="n"/>
      <c r="D86" s="55" t="n"/>
      <c r="E86" s="55" t="n"/>
      <c r="F86" s="56" t="n"/>
      <c r="G86" s="57" t="n"/>
      <c r="H86" s="57" t="n"/>
      <c r="I86" s="57" t="n"/>
      <c r="J86" s="57" t="n"/>
      <c r="K86" s="58">
        <f>IF(NOT((COUNTA($B86:$J86)+COUNTA($M86))&gt;0),"",IFERROR(LOOKUP(2,1/(G86:J86&lt;&gt;""),G86:J86),0))</f>
        <v/>
      </c>
      <c r="L86" s="53">
        <f>IF(K86="","",IF(K86&gt;=1,"Completado",IF(K86&gt;0,"En curso","Pendiente")))</f>
        <v/>
      </c>
      <c r="M86" s="54" t="n"/>
      <c r="N86" s="59">
        <f>IF(NOT((COUNTA($B86:$J86)+COUNTA($M86))&gt;0),"",IF((IF(B86="","Macroactividad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","")&amp;IF(ABS(SUM($F$5:$F$1000)-1)&gt;0.0001,"Pesos del puesto suman "&amp;TEXT(SUM($F$5:$F$1000),"0%")&amp;"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 OK","⚠ "&amp;LEFT(IF(B86="","Macroactividad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","")&amp;IF(ABS(SUM($F$5:$F$1000)-1)&gt;0.0001,"Pesos del puesto suman "&amp;TEXT(SUM($F$5:$F$1000),"0%")&amp;"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",""),LEN(IF(B86="","Macroactividad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","")&amp;IF(ABS(SUM($F$5:$F$1000)-1)&gt;0.0001,"Pesos del puesto suman "&amp;TEXT(SUM($F$5:$F$1000),"0%")&amp;"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",""))-3)))</f>
        <v/>
      </c>
    </row>
    <row r="87">
      <c r="A87" s="53">
        <f>IF(NOT((COUNTA($B87:$J87)+COUNTA($M87))&gt;0),"",COUNTIF($L$5:$L87,"?*"))</f>
        <v/>
      </c>
      <c r="B87" s="54" t="n"/>
      <c r="C87" s="54" t="n"/>
      <c r="D87" s="55" t="n"/>
      <c r="E87" s="55" t="n"/>
      <c r="F87" s="56" t="n"/>
      <c r="G87" s="57" t="n"/>
      <c r="H87" s="57" t="n"/>
      <c r="I87" s="57" t="n"/>
      <c r="J87" s="57" t="n"/>
      <c r="K87" s="58">
        <f>IF(NOT((COUNTA($B87:$J87)+COUNTA($M87))&gt;0),"",IFERROR(LOOKUP(2,1/(G87:J87&lt;&gt;""),G87:J87),0))</f>
        <v/>
      </c>
      <c r="L87" s="53">
        <f>IF(K87="","",IF(K87&gt;=1,"Completado",IF(K87&gt;0,"En curso","Pendiente")))</f>
        <v/>
      </c>
      <c r="M87" s="54" t="n"/>
      <c r="N87" s="59">
        <f>IF(NOT((COUNTA($B87:$J87)+COUNTA($M87))&gt;0),"",IF((IF(B87="","Macroactividad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","")&amp;IF(ABS(SUM($F$5:$F$1000)-1)&gt;0.0001,"Pesos del puesto suman "&amp;TEXT(SUM($F$5:$F$1000),"0%")&amp;"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 OK","⚠ "&amp;LEFT(IF(B87="","Macroactividad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","")&amp;IF(ABS(SUM($F$5:$F$1000)-1)&gt;0.0001,"Pesos del puesto suman "&amp;TEXT(SUM($F$5:$F$1000),"0%")&amp;"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",""),LEN(IF(B87="","Macroactividad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","")&amp;IF(ABS(SUM($F$5:$F$1000)-1)&gt;0.0001,"Pesos del puesto suman "&amp;TEXT(SUM($F$5:$F$1000),"0%")&amp;"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",""))-3)))</f>
        <v/>
      </c>
    </row>
    <row r="88">
      <c r="A88" s="53">
        <f>IF(NOT((COUNTA($B88:$J88)+COUNTA($M88))&gt;0),"",COUNTIF($L$5:$L88,"?*"))</f>
        <v/>
      </c>
      <c r="B88" s="54" t="n"/>
      <c r="C88" s="54" t="n"/>
      <c r="D88" s="55" t="n"/>
      <c r="E88" s="55" t="n"/>
      <c r="F88" s="56" t="n"/>
      <c r="G88" s="57" t="n"/>
      <c r="H88" s="57" t="n"/>
      <c r="I88" s="57" t="n"/>
      <c r="J88" s="57" t="n"/>
      <c r="K88" s="58">
        <f>IF(NOT((COUNTA($B88:$J88)+COUNTA($M88))&gt;0),"",IFERROR(LOOKUP(2,1/(G88:J88&lt;&gt;""),G88:J88),0))</f>
        <v/>
      </c>
      <c r="L88" s="53">
        <f>IF(K88="","",IF(K88&gt;=1,"Completado",IF(K88&gt;0,"En curso","Pendiente")))</f>
        <v/>
      </c>
      <c r="M88" s="54" t="n"/>
      <c r="N88" s="59">
        <f>IF(NOT((COUNTA($B88:$J88)+COUNTA($M88))&gt;0),"",IF((IF(B88="","Macroactividad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","")&amp;IF(ABS(SUM($F$5:$F$1000)-1)&gt;0.0001,"Pesos del puesto suman "&amp;TEXT(SUM($F$5:$F$1000),"0%")&amp;"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 OK","⚠ "&amp;LEFT(IF(B88="","Macroactividad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","")&amp;IF(ABS(SUM($F$5:$F$1000)-1)&gt;0.0001,"Pesos del puesto suman "&amp;TEXT(SUM($F$5:$F$1000),"0%")&amp;"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",""),LEN(IF(B88="","Macroactividad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","")&amp;IF(ABS(SUM($F$5:$F$1000)-1)&gt;0.0001,"Pesos del puesto suman "&amp;TEXT(SUM($F$5:$F$1000),"0%")&amp;"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",""))-3)))</f>
        <v/>
      </c>
    </row>
    <row r="89">
      <c r="A89" s="53">
        <f>IF(NOT((COUNTA($B89:$J89)+COUNTA($M89))&gt;0),"",COUNTIF($L$5:$L89,"?*"))</f>
        <v/>
      </c>
      <c r="B89" s="54" t="n"/>
      <c r="C89" s="54" t="n"/>
      <c r="D89" s="55" t="n"/>
      <c r="E89" s="55" t="n"/>
      <c r="F89" s="56" t="n"/>
      <c r="G89" s="57" t="n"/>
      <c r="H89" s="57" t="n"/>
      <c r="I89" s="57" t="n"/>
      <c r="J89" s="57" t="n"/>
      <c r="K89" s="58">
        <f>IF(NOT((COUNTA($B89:$J89)+COUNTA($M89))&gt;0),"",IFERROR(LOOKUP(2,1/(G89:J89&lt;&gt;""),G89:J89),0))</f>
        <v/>
      </c>
      <c r="L89" s="53">
        <f>IF(K89="","",IF(K89&gt;=1,"Completado",IF(K89&gt;0,"En curso","Pendiente")))</f>
        <v/>
      </c>
      <c r="M89" s="54" t="n"/>
      <c r="N89" s="59">
        <f>IF(NOT((COUNTA($B89:$J89)+COUNTA($M89))&gt;0),"",IF((IF(B89="","Macroactividad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","")&amp;IF(ABS(SUM($F$5:$F$1000)-1)&gt;0.0001,"Pesos del puesto suman "&amp;TEXT(SUM($F$5:$F$1000),"0%")&amp;"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 OK","⚠ "&amp;LEFT(IF(B89="","Macroactividad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","")&amp;IF(ABS(SUM($F$5:$F$1000)-1)&gt;0.0001,"Pesos del puesto suman "&amp;TEXT(SUM($F$5:$F$1000),"0%")&amp;"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",""),LEN(IF(B89="","Macroactividad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","")&amp;IF(ABS(SUM($F$5:$F$1000)-1)&gt;0.0001,"Pesos del puesto suman "&amp;TEXT(SUM($F$5:$F$1000),"0%")&amp;"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",""))-3)))</f>
        <v/>
      </c>
    </row>
    <row r="90">
      <c r="A90" s="53">
        <f>IF(NOT((COUNTA($B90:$J90)+COUNTA($M90))&gt;0),"",COUNTIF($L$5:$L90,"?*"))</f>
        <v/>
      </c>
      <c r="B90" s="54" t="n"/>
      <c r="C90" s="54" t="n"/>
      <c r="D90" s="55" t="n"/>
      <c r="E90" s="55" t="n"/>
      <c r="F90" s="56" t="n"/>
      <c r="G90" s="57" t="n"/>
      <c r="H90" s="57" t="n"/>
      <c r="I90" s="57" t="n"/>
      <c r="J90" s="57" t="n"/>
      <c r="K90" s="58">
        <f>IF(NOT((COUNTA($B90:$J90)+COUNTA($M90))&gt;0),"",IFERROR(LOOKUP(2,1/(G90:J90&lt;&gt;""),G90:J90),0))</f>
        <v/>
      </c>
      <c r="L90" s="53">
        <f>IF(K90="","",IF(K90&gt;=1,"Completado",IF(K90&gt;0,"En curso","Pendiente")))</f>
        <v/>
      </c>
      <c r="M90" s="54" t="n"/>
      <c r="N90" s="59">
        <f>IF(NOT((COUNTA($B90:$J90)+COUNTA($M90))&gt;0),"",IF((IF(B90="","Macroactividad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","")&amp;IF(ABS(SUM($F$5:$F$1000)-1)&gt;0.0001,"Pesos del puesto suman "&amp;TEXT(SUM($F$5:$F$1000),"0%")&amp;"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 OK","⚠ "&amp;LEFT(IF(B90="","Macroactividad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","")&amp;IF(ABS(SUM($F$5:$F$1000)-1)&gt;0.0001,"Pesos del puesto suman "&amp;TEXT(SUM($F$5:$F$1000),"0%")&amp;"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",""),LEN(IF(B90="","Macroactividad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","")&amp;IF(ABS(SUM($F$5:$F$1000)-1)&gt;0.0001,"Pesos del puesto suman "&amp;TEXT(SUM($F$5:$F$1000),"0%")&amp;"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",""))-3)))</f>
        <v/>
      </c>
    </row>
    <row r="91">
      <c r="A91" s="53">
        <f>IF(NOT((COUNTA($B91:$J91)+COUNTA($M91))&gt;0),"",COUNTIF($L$5:$L91,"?*"))</f>
        <v/>
      </c>
      <c r="B91" s="54" t="n"/>
      <c r="C91" s="54" t="n"/>
      <c r="D91" s="55" t="n"/>
      <c r="E91" s="55" t="n"/>
      <c r="F91" s="56" t="n"/>
      <c r="G91" s="57" t="n"/>
      <c r="H91" s="57" t="n"/>
      <c r="I91" s="57" t="n"/>
      <c r="J91" s="57" t="n"/>
      <c r="K91" s="58">
        <f>IF(NOT((COUNTA($B91:$J91)+COUNTA($M91))&gt;0),"",IFERROR(LOOKUP(2,1/(G91:J91&lt;&gt;""),G91:J91),0))</f>
        <v/>
      </c>
      <c r="L91" s="53">
        <f>IF(K91="","",IF(K91&gt;=1,"Completado",IF(K91&gt;0,"En curso","Pendiente")))</f>
        <v/>
      </c>
      <c r="M91" s="54" t="n"/>
      <c r="N91" s="59">
        <f>IF(NOT((COUNTA($B91:$J91)+COUNTA($M91))&gt;0),"",IF((IF(B91="","Macroactividad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","")&amp;IF(ABS(SUM($F$5:$F$1000)-1)&gt;0.0001,"Pesos del puesto suman "&amp;TEXT(SUM($F$5:$F$1000),"0%")&amp;"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 OK","⚠ "&amp;LEFT(IF(B91="","Macroactividad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","")&amp;IF(ABS(SUM($F$5:$F$1000)-1)&gt;0.0001,"Pesos del puesto suman "&amp;TEXT(SUM($F$5:$F$1000),"0%")&amp;"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",""),LEN(IF(B91="","Macroactividad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","")&amp;IF(ABS(SUM($F$5:$F$1000)-1)&gt;0.0001,"Pesos del puesto suman "&amp;TEXT(SUM($F$5:$F$1000),"0%")&amp;"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",""))-3)))</f>
        <v/>
      </c>
    </row>
    <row r="92">
      <c r="A92" s="53">
        <f>IF(NOT((COUNTA($B92:$J92)+COUNTA($M92))&gt;0),"",COUNTIF($L$5:$L92,"?*"))</f>
        <v/>
      </c>
      <c r="B92" s="54" t="n"/>
      <c r="C92" s="54" t="n"/>
      <c r="D92" s="55" t="n"/>
      <c r="E92" s="55" t="n"/>
      <c r="F92" s="56" t="n"/>
      <c r="G92" s="57" t="n"/>
      <c r="H92" s="57" t="n"/>
      <c r="I92" s="57" t="n"/>
      <c r="J92" s="57" t="n"/>
      <c r="K92" s="58">
        <f>IF(NOT((COUNTA($B92:$J92)+COUNTA($M92))&gt;0),"",IFERROR(LOOKUP(2,1/(G92:J92&lt;&gt;""),G92:J92),0))</f>
        <v/>
      </c>
      <c r="L92" s="53">
        <f>IF(K92="","",IF(K92&gt;=1,"Completado",IF(K92&gt;0,"En curso","Pendiente")))</f>
        <v/>
      </c>
      <c r="M92" s="54" t="n"/>
      <c r="N92" s="59">
        <f>IF(NOT((COUNTA($B92:$J92)+COUNTA($M92))&gt;0),"",IF((IF(B92="","Macroactividad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","")&amp;IF(ABS(SUM($F$5:$F$1000)-1)&gt;0.0001,"Pesos del puesto suman "&amp;TEXT(SUM($F$5:$F$1000),"0%")&amp;"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 OK","⚠ "&amp;LEFT(IF(B92="","Macroactividad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","")&amp;IF(ABS(SUM($F$5:$F$1000)-1)&gt;0.0001,"Pesos del puesto suman "&amp;TEXT(SUM($F$5:$F$1000),"0%")&amp;"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",""),LEN(IF(B92="","Macroactividad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","")&amp;IF(ABS(SUM($F$5:$F$1000)-1)&gt;0.0001,"Pesos del puesto suman "&amp;TEXT(SUM($F$5:$F$1000),"0%")&amp;"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",""))-3)))</f>
        <v/>
      </c>
    </row>
    <row r="93">
      <c r="A93" s="53">
        <f>IF(NOT((COUNTA($B93:$J93)+COUNTA($M93))&gt;0),"",COUNTIF($L$5:$L93,"?*"))</f>
        <v/>
      </c>
      <c r="B93" s="54" t="n"/>
      <c r="C93" s="54" t="n"/>
      <c r="D93" s="55" t="n"/>
      <c r="E93" s="55" t="n"/>
      <c r="F93" s="56" t="n"/>
      <c r="G93" s="57" t="n"/>
      <c r="H93" s="57" t="n"/>
      <c r="I93" s="57" t="n"/>
      <c r="J93" s="57" t="n"/>
      <c r="K93" s="58">
        <f>IF(NOT((COUNTA($B93:$J93)+COUNTA($M93))&gt;0),"",IFERROR(LOOKUP(2,1/(G93:J93&lt;&gt;""),G93:J93),0))</f>
        <v/>
      </c>
      <c r="L93" s="53">
        <f>IF(K93="","",IF(K93&gt;=1,"Completado",IF(K93&gt;0,"En curso","Pendiente")))</f>
        <v/>
      </c>
      <c r="M93" s="54" t="n"/>
      <c r="N93" s="59">
        <f>IF(NOT((COUNTA($B93:$J93)+COUNTA($M93))&gt;0),"",IF((IF(B93="","Macroactividad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","")&amp;IF(ABS(SUM($F$5:$F$1000)-1)&gt;0.0001,"Pesos del puesto suman "&amp;TEXT(SUM($F$5:$F$1000),"0%")&amp;"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 OK","⚠ "&amp;LEFT(IF(B93="","Macroactividad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","")&amp;IF(ABS(SUM($F$5:$F$1000)-1)&gt;0.0001,"Pesos del puesto suman "&amp;TEXT(SUM($F$5:$F$1000),"0%")&amp;"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",""),LEN(IF(B93="","Macroactividad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","")&amp;IF(ABS(SUM($F$5:$F$1000)-1)&gt;0.0001,"Pesos del puesto suman "&amp;TEXT(SUM($F$5:$F$1000),"0%")&amp;"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",""))-3)))</f>
        <v/>
      </c>
    </row>
    <row r="94">
      <c r="A94" s="53">
        <f>IF(NOT((COUNTA($B94:$J94)+COUNTA($M94))&gt;0),"",COUNTIF($L$5:$L94,"?*"))</f>
        <v/>
      </c>
      <c r="B94" s="54" t="n"/>
      <c r="C94" s="54" t="n"/>
      <c r="D94" s="55" t="n"/>
      <c r="E94" s="55" t="n"/>
      <c r="F94" s="56" t="n"/>
      <c r="G94" s="57" t="n"/>
      <c r="H94" s="57" t="n"/>
      <c r="I94" s="57" t="n"/>
      <c r="J94" s="57" t="n"/>
      <c r="K94" s="58">
        <f>IF(NOT((COUNTA($B94:$J94)+COUNTA($M94))&gt;0),"",IFERROR(LOOKUP(2,1/(G94:J94&lt;&gt;""),G94:J94),0))</f>
        <v/>
      </c>
      <c r="L94" s="53">
        <f>IF(K94="","",IF(K94&gt;=1,"Completado",IF(K94&gt;0,"En curso","Pendiente")))</f>
        <v/>
      </c>
      <c r="M94" s="54" t="n"/>
      <c r="N94" s="59">
        <f>IF(NOT((COUNTA($B94:$J94)+COUNTA($M94))&gt;0),"",IF((IF(B94="","Macroactividad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","")&amp;IF(ABS(SUM($F$5:$F$1000)-1)&gt;0.0001,"Pesos del puesto suman "&amp;TEXT(SUM($F$5:$F$1000),"0%")&amp;"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 OK","⚠ "&amp;LEFT(IF(B94="","Macroactividad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","")&amp;IF(ABS(SUM($F$5:$F$1000)-1)&gt;0.0001,"Pesos del puesto suman "&amp;TEXT(SUM($F$5:$F$1000),"0%")&amp;"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",""),LEN(IF(B94="","Macroactividad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","")&amp;IF(ABS(SUM($F$5:$F$1000)-1)&gt;0.0001,"Pesos del puesto suman "&amp;TEXT(SUM($F$5:$F$1000),"0%")&amp;"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",""))-3)))</f>
        <v/>
      </c>
    </row>
    <row r="95">
      <c r="A95" s="53">
        <f>IF(NOT((COUNTA($B95:$J95)+COUNTA($M95))&gt;0),"",COUNTIF($L$5:$L95,"?*"))</f>
        <v/>
      </c>
      <c r="B95" s="54" t="n"/>
      <c r="C95" s="54" t="n"/>
      <c r="D95" s="55" t="n"/>
      <c r="E95" s="55" t="n"/>
      <c r="F95" s="56" t="n"/>
      <c r="G95" s="57" t="n"/>
      <c r="H95" s="57" t="n"/>
      <c r="I95" s="57" t="n"/>
      <c r="J95" s="57" t="n"/>
      <c r="K95" s="58">
        <f>IF(NOT((COUNTA($B95:$J95)+COUNTA($M95))&gt;0),"",IFERROR(LOOKUP(2,1/(G95:J95&lt;&gt;""),G95:J95),0))</f>
        <v/>
      </c>
      <c r="L95" s="53">
        <f>IF(K95="","",IF(K95&gt;=1,"Completado",IF(K95&gt;0,"En curso","Pendiente")))</f>
        <v/>
      </c>
      <c r="M95" s="54" t="n"/>
      <c r="N95" s="59">
        <f>IF(NOT((COUNTA($B95:$J95)+COUNTA($M95))&gt;0),"",IF((IF(B95="","Macroactividad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","")&amp;IF(ABS(SUM($F$5:$F$1000)-1)&gt;0.0001,"Pesos del puesto suman "&amp;TEXT(SUM($F$5:$F$1000),"0%")&amp;"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 OK","⚠ "&amp;LEFT(IF(B95="","Macroactividad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","")&amp;IF(ABS(SUM($F$5:$F$1000)-1)&gt;0.0001,"Pesos del puesto suman "&amp;TEXT(SUM($F$5:$F$1000),"0%")&amp;"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",""),LEN(IF(B95="","Macroactividad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","")&amp;IF(ABS(SUM($F$5:$F$1000)-1)&gt;0.0001,"Pesos del puesto suman "&amp;TEXT(SUM($F$5:$F$1000),"0%")&amp;"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",""))-3)))</f>
        <v/>
      </c>
    </row>
    <row r="96">
      <c r="A96" s="53">
        <f>IF(NOT((COUNTA($B96:$J96)+COUNTA($M96))&gt;0),"",COUNTIF($L$5:$L96,"?*"))</f>
        <v/>
      </c>
      <c r="B96" s="54" t="n"/>
      <c r="C96" s="54" t="n"/>
      <c r="D96" s="55" t="n"/>
      <c r="E96" s="55" t="n"/>
      <c r="F96" s="56" t="n"/>
      <c r="G96" s="57" t="n"/>
      <c r="H96" s="57" t="n"/>
      <c r="I96" s="57" t="n"/>
      <c r="J96" s="57" t="n"/>
      <c r="K96" s="58">
        <f>IF(NOT((COUNTA($B96:$J96)+COUNTA($M96))&gt;0),"",IFERROR(LOOKUP(2,1/(G96:J96&lt;&gt;""),G96:J96),0))</f>
        <v/>
      </c>
      <c r="L96" s="53">
        <f>IF(K96="","",IF(K96&gt;=1,"Completado",IF(K96&gt;0,"En curso","Pendiente")))</f>
        <v/>
      </c>
      <c r="M96" s="54" t="n"/>
      <c r="N96" s="59">
        <f>IF(NOT((COUNTA($B96:$J96)+COUNTA($M96))&gt;0),"",IF((IF(B96="","Macroactividad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","")&amp;IF(ABS(SUM($F$5:$F$1000)-1)&gt;0.0001,"Pesos del puesto suman "&amp;TEXT(SUM($F$5:$F$1000),"0%")&amp;"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 OK","⚠ "&amp;LEFT(IF(B96="","Macroactividad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","")&amp;IF(ABS(SUM($F$5:$F$1000)-1)&gt;0.0001,"Pesos del puesto suman "&amp;TEXT(SUM($F$5:$F$1000),"0%")&amp;"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",""),LEN(IF(B96="","Macroactividad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","")&amp;IF(ABS(SUM($F$5:$F$1000)-1)&gt;0.0001,"Pesos del puesto suman "&amp;TEXT(SUM($F$5:$F$1000),"0%")&amp;"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",""))-3)))</f>
        <v/>
      </c>
    </row>
    <row r="97">
      <c r="A97" s="53">
        <f>IF(NOT((COUNTA($B97:$J97)+COUNTA($M97))&gt;0),"",COUNTIF($L$5:$L97,"?*"))</f>
        <v/>
      </c>
      <c r="B97" s="54" t="n"/>
      <c r="C97" s="54" t="n"/>
      <c r="D97" s="55" t="n"/>
      <c r="E97" s="55" t="n"/>
      <c r="F97" s="56" t="n"/>
      <c r="G97" s="57" t="n"/>
      <c r="H97" s="57" t="n"/>
      <c r="I97" s="57" t="n"/>
      <c r="J97" s="57" t="n"/>
      <c r="K97" s="58">
        <f>IF(NOT((COUNTA($B97:$J97)+COUNTA($M97))&gt;0),"",IFERROR(LOOKUP(2,1/(G97:J97&lt;&gt;""),G97:J97),0))</f>
        <v/>
      </c>
      <c r="L97" s="53">
        <f>IF(K97="","",IF(K97&gt;=1,"Completado",IF(K97&gt;0,"En curso","Pendiente")))</f>
        <v/>
      </c>
      <c r="M97" s="54" t="n"/>
      <c r="N97" s="59">
        <f>IF(NOT((COUNTA($B97:$J97)+COUNTA($M97))&gt;0),"",IF((IF(B97="","Macroactividad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","")&amp;IF(ABS(SUM($F$5:$F$1000)-1)&gt;0.0001,"Pesos del puesto suman "&amp;TEXT(SUM($F$5:$F$1000),"0%")&amp;"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 OK","⚠ "&amp;LEFT(IF(B97="","Macroactividad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","")&amp;IF(ABS(SUM($F$5:$F$1000)-1)&gt;0.0001,"Pesos del puesto suman "&amp;TEXT(SUM($F$5:$F$1000),"0%")&amp;"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",""),LEN(IF(B97="","Macroactividad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","")&amp;IF(ABS(SUM($F$5:$F$1000)-1)&gt;0.0001,"Pesos del puesto suman "&amp;TEXT(SUM($F$5:$F$1000),"0%")&amp;"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",""))-3)))</f>
        <v/>
      </c>
    </row>
    <row r="98">
      <c r="A98" s="53">
        <f>IF(NOT((COUNTA($B98:$J98)+COUNTA($M98))&gt;0),"",COUNTIF($L$5:$L98,"?*"))</f>
        <v/>
      </c>
      <c r="B98" s="54" t="n"/>
      <c r="C98" s="54" t="n"/>
      <c r="D98" s="55" t="n"/>
      <c r="E98" s="55" t="n"/>
      <c r="F98" s="56" t="n"/>
      <c r="G98" s="57" t="n"/>
      <c r="H98" s="57" t="n"/>
      <c r="I98" s="57" t="n"/>
      <c r="J98" s="57" t="n"/>
      <c r="K98" s="58">
        <f>IF(NOT((COUNTA($B98:$J98)+COUNTA($M98))&gt;0),"",IFERROR(LOOKUP(2,1/(G98:J98&lt;&gt;""),G98:J98),0))</f>
        <v/>
      </c>
      <c r="L98" s="53">
        <f>IF(K98="","",IF(K98&gt;=1,"Completado",IF(K98&gt;0,"En curso","Pendiente")))</f>
        <v/>
      </c>
      <c r="M98" s="54" t="n"/>
      <c r="N98" s="59">
        <f>IF(NOT((COUNTA($B98:$J98)+COUNTA($M98))&gt;0),"",IF((IF(B98="","Macroactividad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","")&amp;IF(ABS(SUM($F$5:$F$1000)-1)&gt;0.0001,"Pesos del puesto suman "&amp;TEXT(SUM($F$5:$F$1000),"0%")&amp;"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 OK","⚠ "&amp;LEFT(IF(B98="","Macroactividad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","")&amp;IF(ABS(SUM($F$5:$F$1000)-1)&gt;0.0001,"Pesos del puesto suman "&amp;TEXT(SUM($F$5:$F$1000),"0%")&amp;"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",""),LEN(IF(B98="","Macroactividad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","")&amp;IF(ABS(SUM($F$5:$F$1000)-1)&gt;0.0001,"Pesos del puesto suman "&amp;TEXT(SUM($F$5:$F$1000),"0%")&amp;"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",""))-3)))</f>
        <v/>
      </c>
    </row>
    <row r="99">
      <c r="A99" s="53">
        <f>IF(NOT((COUNTA($B99:$J99)+COUNTA($M99))&gt;0),"",COUNTIF($L$5:$L99,"?*"))</f>
        <v/>
      </c>
      <c r="B99" s="54" t="n"/>
      <c r="C99" s="54" t="n"/>
      <c r="D99" s="55" t="n"/>
      <c r="E99" s="55" t="n"/>
      <c r="F99" s="56" t="n"/>
      <c r="G99" s="57" t="n"/>
      <c r="H99" s="57" t="n"/>
      <c r="I99" s="57" t="n"/>
      <c r="J99" s="57" t="n"/>
      <c r="K99" s="58">
        <f>IF(NOT((COUNTA($B99:$J99)+COUNTA($M99))&gt;0),"",IFERROR(LOOKUP(2,1/(G99:J99&lt;&gt;""),G99:J99),0))</f>
        <v/>
      </c>
      <c r="L99" s="53">
        <f>IF(K99="","",IF(K99&gt;=1,"Completado",IF(K99&gt;0,"En curso","Pendiente")))</f>
        <v/>
      </c>
      <c r="M99" s="54" t="n"/>
      <c r="N99" s="59">
        <f>IF(NOT((COUNTA($B99:$J99)+COUNTA($M99))&gt;0),"",IF((IF(B99="","Macroactividad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","")&amp;IF(ABS(SUM($F$5:$F$1000)-1)&gt;0.0001,"Pesos del puesto suman "&amp;TEXT(SUM($F$5:$F$1000),"0%")&amp;"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 OK","⚠ "&amp;LEFT(IF(B99="","Macroactividad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","")&amp;IF(ABS(SUM($F$5:$F$1000)-1)&gt;0.0001,"Pesos del puesto suman "&amp;TEXT(SUM($F$5:$F$1000),"0%")&amp;"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",""),LEN(IF(B99="","Macroactividad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","")&amp;IF(ABS(SUM($F$5:$F$1000)-1)&gt;0.0001,"Pesos del puesto suman "&amp;TEXT(SUM($F$5:$F$1000),"0%")&amp;"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",""))-3)))</f>
        <v/>
      </c>
    </row>
    <row r="100">
      <c r="A100" s="53">
        <f>IF(NOT((COUNTA($B100:$J100)+COUNTA($M100))&gt;0),"",COUNTIF($L$5:$L100,"?*"))</f>
        <v/>
      </c>
      <c r="B100" s="54" t="n"/>
      <c r="C100" s="54" t="n"/>
      <c r="D100" s="55" t="n"/>
      <c r="E100" s="55" t="n"/>
      <c r="F100" s="56" t="n"/>
      <c r="G100" s="57" t="n"/>
      <c r="H100" s="57" t="n"/>
      <c r="I100" s="57" t="n"/>
      <c r="J100" s="57" t="n"/>
      <c r="K100" s="58">
        <f>IF(NOT((COUNTA($B100:$J100)+COUNTA($M100))&gt;0),"",IFERROR(LOOKUP(2,1/(G100:J100&lt;&gt;""),G100:J100),0))</f>
        <v/>
      </c>
      <c r="L100" s="53">
        <f>IF(K100="","",IF(K100&gt;=1,"Completado",IF(K100&gt;0,"En curso","Pendiente")))</f>
        <v/>
      </c>
      <c r="M100" s="54" t="n"/>
      <c r="N100" s="59">
        <f>IF(NOT((COUNTA($B100:$J100)+COUNTA($M100))&gt;0),"",IF((IF(B100="","Macroactividad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","")&amp;IF(ABS(SUM($F$5:$F$1000)-1)&gt;0.0001,"Pesos del puesto suman "&amp;TEXT(SUM($F$5:$F$1000),"0%")&amp;"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 OK","⚠ "&amp;LEFT(IF(B100="","Macroactividad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","")&amp;IF(ABS(SUM($F$5:$F$1000)-1)&gt;0.0001,"Pesos del puesto suman "&amp;TEXT(SUM($F$5:$F$1000),"0%")&amp;"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",""),LEN(IF(B100="","Macroactividad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","")&amp;IF(ABS(SUM($F$5:$F$1000)-1)&gt;0.0001,"Pesos del puesto suman "&amp;TEXT(SUM($F$5:$F$1000),"0%")&amp;"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",""))-3)))</f>
        <v/>
      </c>
    </row>
    <row r="101">
      <c r="A101" s="53">
        <f>IF(NOT((COUNTA($B101:$J101)+COUNTA($M101))&gt;0),"",COUNTIF($L$5:$L101,"?*"))</f>
        <v/>
      </c>
      <c r="B101" s="54" t="n"/>
      <c r="C101" s="54" t="n"/>
      <c r="D101" s="55" t="n"/>
      <c r="E101" s="55" t="n"/>
      <c r="F101" s="56" t="n"/>
      <c r="G101" s="57" t="n"/>
      <c r="H101" s="57" t="n"/>
      <c r="I101" s="57" t="n"/>
      <c r="J101" s="57" t="n"/>
      <c r="K101" s="58">
        <f>IF(NOT((COUNTA($B101:$J101)+COUNTA($M101))&gt;0),"",IFERROR(LOOKUP(2,1/(G101:J101&lt;&gt;""),G101:J101),0))</f>
        <v/>
      </c>
      <c r="L101" s="53">
        <f>IF(K101="","",IF(K101&gt;=1,"Completado",IF(K101&gt;0,"En curso","Pendiente")))</f>
        <v/>
      </c>
      <c r="M101" s="54" t="n"/>
      <c r="N101" s="59">
        <f>IF(NOT((COUNTA($B101:$J101)+COUNTA($M101))&gt;0),"",IF((IF(B101="","Macroactividad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","")&amp;IF(ABS(SUM($F$5:$F$1000)-1)&gt;0.0001,"Pesos del puesto suman "&amp;TEXT(SUM($F$5:$F$1000),"0%")&amp;"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 OK","⚠ "&amp;LEFT(IF(B101="","Macroactividad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","")&amp;IF(ABS(SUM($F$5:$F$1000)-1)&gt;0.0001,"Pesos del puesto suman "&amp;TEXT(SUM($F$5:$F$1000),"0%")&amp;"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",""),LEN(IF(B101="","Macroactividad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","")&amp;IF(ABS(SUM($F$5:$F$1000)-1)&gt;0.0001,"Pesos del puesto suman "&amp;TEXT(SUM($F$5:$F$1000),"0%")&amp;"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",""))-3)))</f>
        <v/>
      </c>
    </row>
    <row r="102">
      <c r="A102" s="53">
        <f>IF(NOT((COUNTA($B102:$J102)+COUNTA($M102))&gt;0),"",COUNTIF($L$5:$L102,"?*"))</f>
        <v/>
      </c>
      <c r="B102" s="54" t="n"/>
      <c r="C102" s="54" t="n"/>
      <c r="D102" s="55" t="n"/>
      <c r="E102" s="55" t="n"/>
      <c r="F102" s="56" t="n"/>
      <c r="G102" s="57" t="n"/>
      <c r="H102" s="57" t="n"/>
      <c r="I102" s="57" t="n"/>
      <c r="J102" s="57" t="n"/>
      <c r="K102" s="58">
        <f>IF(NOT((COUNTA($B102:$J102)+COUNTA($M102))&gt;0),"",IFERROR(LOOKUP(2,1/(G102:J102&lt;&gt;""),G102:J102),0))</f>
        <v/>
      </c>
      <c r="L102" s="53">
        <f>IF(K102="","",IF(K102&gt;=1,"Completado",IF(K102&gt;0,"En curso","Pendiente")))</f>
        <v/>
      </c>
      <c r="M102" s="54" t="n"/>
      <c r="N102" s="59">
        <f>IF(NOT((COUNTA($B102:$J102)+COUNTA($M102))&gt;0),"",IF((IF(B102="","Macroactividad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","")&amp;IF(ABS(SUM($F$5:$F$1000)-1)&gt;0.0001,"Pesos del puesto suman "&amp;TEXT(SUM($F$5:$F$1000),"0%")&amp;"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 OK","⚠ "&amp;LEFT(IF(B102="","Macroactividad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","")&amp;IF(ABS(SUM($F$5:$F$1000)-1)&gt;0.0001,"Pesos del puesto suman "&amp;TEXT(SUM($F$5:$F$1000),"0%")&amp;"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",""),LEN(IF(B102="","Macroactividad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","")&amp;IF(ABS(SUM($F$5:$F$1000)-1)&gt;0.0001,"Pesos del puesto suman "&amp;TEXT(SUM($F$5:$F$1000),"0%")&amp;"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",""))-3)))</f>
        <v/>
      </c>
    </row>
    <row r="103">
      <c r="A103" s="53">
        <f>IF(NOT((COUNTA($B103:$J103)+COUNTA($M103))&gt;0),"",COUNTIF($L$5:$L103,"?*"))</f>
        <v/>
      </c>
      <c r="B103" s="54" t="n"/>
      <c r="C103" s="54" t="n"/>
      <c r="D103" s="55" t="n"/>
      <c r="E103" s="55" t="n"/>
      <c r="F103" s="56" t="n"/>
      <c r="G103" s="57" t="n"/>
      <c r="H103" s="57" t="n"/>
      <c r="I103" s="57" t="n"/>
      <c r="J103" s="57" t="n"/>
      <c r="K103" s="58">
        <f>IF(NOT((COUNTA($B103:$J103)+COUNTA($M103))&gt;0),"",IFERROR(LOOKUP(2,1/(G103:J103&lt;&gt;""),G103:J103),0))</f>
        <v/>
      </c>
      <c r="L103" s="53">
        <f>IF(K103="","",IF(K103&gt;=1,"Completado",IF(K103&gt;0,"En curso","Pendiente")))</f>
        <v/>
      </c>
      <c r="M103" s="54" t="n"/>
      <c r="N103" s="59">
        <f>IF(NOT((COUNTA($B103:$J103)+COUNTA($M103))&gt;0),"",IF((IF(B103="","Macroactividad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","")&amp;IF(ABS(SUM($F$5:$F$1000)-1)&gt;0.0001,"Pesos del puesto suman "&amp;TEXT(SUM($F$5:$F$1000),"0%")&amp;"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 OK","⚠ "&amp;LEFT(IF(B103="","Macroactividad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","")&amp;IF(ABS(SUM($F$5:$F$1000)-1)&gt;0.0001,"Pesos del puesto suman "&amp;TEXT(SUM($F$5:$F$1000),"0%")&amp;"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",""),LEN(IF(B103="","Macroactividad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","")&amp;IF(ABS(SUM($F$5:$F$1000)-1)&gt;0.0001,"Pesos del puesto suman "&amp;TEXT(SUM($F$5:$F$1000),"0%")&amp;"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",""))-3)))</f>
        <v/>
      </c>
    </row>
    <row r="104">
      <c r="A104" s="53">
        <f>IF(NOT((COUNTA($B104:$J104)+COUNTA($M104))&gt;0),"",COUNTIF($L$5:$L104,"?*"))</f>
        <v/>
      </c>
      <c r="B104" s="54" t="n"/>
      <c r="C104" s="54" t="n"/>
      <c r="D104" s="55" t="n"/>
      <c r="E104" s="55" t="n"/>
      <c r="F104" s="56" t="n"/>
      <c r="G104" s="57" t="n"/>
      <c r="H104" s="57" t="n"/>
      <c r="I104" s="57" t="n"/>
      <c r="J104" s="57" t="n"/>
      <c r="K104" s="58">
        <f>IF(NOT((COUNTA($B104:$J104)+COUNTA($M104))&gt;0),"",IFERROR(LOOKUP(2,1/(G104:J104&lt;&gt;""),G104:J104),0))</f>
        <v/>
      </c>
      <c r="L104" s="53">
        <f>IF(K104="","",IF(K104&gt;=1,"Completado",IF(K104&gt;0,"En curso","Pendiente")))</f>
        <v/>
      </c>
      <c r="M104" s="54" t="n"/>
      <c r="N104" s="59">
        <f>IF(NOT((COUNTA($B104:$J104)+COUNTA($M104))&gt;0),"",IF((IF(B104="","Macroactividad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","")&amp;IF(ABS(SUM($F$5:$F$1000)-1)&gt;0.0001,"Pesos del puesto suman "&amp;TEXT(SUM($F$5:$F$1000),"0%")&amp;"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 OK","⚠ "&amp;LEFT(IF(B104="","Macroactividad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","")&amp;IF(ABS(SUM($F$5:$F$1000)-1)&gt;0.0001,"Pesos del puesto suman "&amp;TEXT(SUM($F$5:$F$1000),"0%")&amp;"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",""),LEN(IF(B104="","Macroactividad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","")&amp;IF(ABS(SUM($F$5:$F$1000)-1)&gt;0.0001,"Pesos del puesto suman "&amp;TEXT(SUM($F$5:$F$1000),"0%")&amp;"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",""))-3)))</f>
        <v/>
      </c>
    </row>
  </sheetData>
  <sheetProtection selectLockedCells="0" selectUnlockedCells="0" sheet="1" objects="0" insertRows="1" insertHyperlinks="1" autoFilter="0" scenarios="0" formatColumns="0" deleteColumns="1" insertColumns="1" pivotTables="1" deleteRows="1" formatCells="1" formatRows="0" sort="0"/>
  <mergeCells count="3">
    <mergeCell ref="E3:F3"/>
    <mergeCell ref="A2:N2"/>
    <mergeCell ref="A1:N1"/>
  </mergeCells>
  <conditionalFormatting sqref="E3:F3">
    <cfRule type="expression" priority="1" dxfId="1">
      <formula>LEFT($E$3,1)="⚠"</formula>
    </cfRule>
    <cfRule type="expression" priority="2" dxfId="0">
      <formula>LEFT($E$3,1)="✔"</formula>
    </cfRule>
  </conditionalFormatting>
  <conditionalFormatting sqref="L5:L1000">
    <cfRule type="expression" priority="3" dxfId="0">
      <formula>$L5="Completado"</formula>
    </cfRule>
    <cfRule type="expression" priority="4" dxfId="4">
      <formula>$L5="En curso"</formula>
    </cfRule>
    <cfRule type="expression" priority="5" dxfId="5">
      <formula>$L5="Pendiente"</formula>
    </cfRule>
  </conditionalFormatting>
  <conditionalFormatting sqref="K5:K1000">
    <cfRule type="expression" priority="6" dxfId="0">
      <formula>AND(ISNUMBER($K5),$K5&gt;=1)</formula>
    </cfRule>
    <cfRule type="dataBar" priority="7">
      <dataBar showValue="1">
        <cfvo type="num" val="0"/>
        <cfvo type="num" val="1"/>
        <color rgb="005B9BD5"/>
      </dataBar>
    </cfRule>
  </conditionalFormatting>
  <conditionalFormatting sqref="E5:E1000">
    <cfRule type="expression" priority="8" dxfId="6" stopIfTrue="1">
      <formula>AND(ISNUMBER($E5),$E5&lt;FechaRef,N($K5)&lt;1)</formula>
    </cfRule>
    <cfRule type="expression" priority="9" dxfId="7">
      <formula>AND(ISNUMBER($E5),$E5&gt;=FechaRef,$E5-FechaRef&lt;=DiasAlerta,N($K5)&lt;1)</formula>
    </cfRule>
  </conditionalFormatting>
  <conditionalFormatting sqref="B5:F1000">
    <cfRule type="expression" priority="10" dxfId="5">
      <formula>AND((COUNTA($B5:$J5)+COUNTA($M5))&gt;0,B5="")</formula>
    </cfRule>
  </conditionalFormatting>
  <conditionalFormatting sqref="D5:E1000">
    <cfRule type="expression" priority="11" dxfId="6">
      <formula>AND(ISNUMBER($D5),ISNUMBER($E5),$D5&gt;$E5)</formula>
    </cfRule>
  </conditionalFormatting>
  <conditionalFormatting sqref="F5:F1000">
    <cfRule type="expression" priority="12" dxfId="7">
      <formula>AND((COUNTA($B5:$J5)+COUNTA($M5))&gt;0,ABS(SUM($F$5:$F$1000)-1)&gt;0.0001)</formula>
    </cfRule>
  </conditionalFormatting>
  <conditionalFormatting sqref="G5:J1000">
    <cfRule type="expression" priority="13" dxfId="5" stopIfTrue="1">
      <formula>AND(G5&lt;&gt;"",OR(NOT(ISNUMBER(G5)),G5&gt;1,G5&lt;0))</formula>
    </cfRule>
  </conditionalFormatting>
  <conditionalFormatting sqref="H5:J1000">
    <cfRule type="expression" priority="14" dxfId="6">
      <formula>AND(H5&lt;&gt;"",H5&lt;MAX($G5:G5))</formula>
    </cfRule>
  </conditionalFormatting>
  <conditionalFormatting sqref="M5:M1000">
    <cfRule type="expression" priority="15" dxfId="5">
      <formula>AND(ObsObligatoria="Sí",ISNUMBER($E5),$E5&lt;FechaRef,N($K5)&lt;1,$M5="")</formula>
    </cfRule>
  </conditionalFormatting>
  <conditionalFormatting sqref="N5:N1000">
    <cfRule type="expression" priority="16" dxfId="5">
      <formula>LEFT($N5,1)="⚠"</formula>
    </cfRule>
    <cfRule type="expression" priority="17" dxfId="8">
      <formula>LEFT($N5,1)="✔"</formula>
    </cfRule>
  </conditionalFormatting>
  <dataValidations count="3">
    <dataValidation sqref="D5:D1000 E5:E1000" showDropDown="0" showInputMessage="0" showErrorMessage="1" allowBlank="1" errorTitle="Fecha no válida" error="Ingrese una fecha válida (dd/mm/aaaa)." type="date" operator="greaterThan">
      <formula1>36526</formula1>
    </dataValidation>
    <dataValidation sqref="F5:F1000" showDropDown="0" showInputMessage="1" showErrorMessage="1" allowBlank="1" errorTitle="Peso no válido" error="Ingrese un porcentaje entre 0% y 100% (por ejemplo 25%)." promptTitle="Peso de actividad" prompt="Qué tanto vale esta actividad. La suma de esta hoja debe ser 100%." type="decimal" operator="between">
      <formula1>0</formula1>
      <formula2>1</formula2>
    </dataValidation>
    <dataValidation sqref="G5:J1000" showDropDown="0" showInputMessage="1" showErrorMessage="1" allowBlank="1" errorTitle="Avance no válido" error="Ingrese un porcentaje entre 0% y 100%. Deje la celda vacía si la semana no ha llegado." promptTitle="Avance acumulado" prompt="% TOTAL logrado hasta esta semana (no solo lo de la semana)." type="decimal" operator="between">
      <formula1>0</formula1>
      <formula2>1</formula2>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7030A0"/>
    <outlinePr summaryBelow="1" summaryRight="1"/>
    <pageSetUpPr fitToPage="1"/>
  </sheetPr>
  <dimension ref="A1:M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22" customWidth="1" min="3" max="3"/>
    <col width="12" customWidth="1" min="4" max="4"/>
    <col width="12" customWidth="1" min="5" max="5"/>
    <col width="16" customWidth="1" min="6" max="6"/>
    <col width="11" customWidth="1" min="7" max="7"/>
    <col width="11" customWidth="1" min="8" max="8"/>
    <col width="11" customWidth="1" min="9" max="9"/>
    <col width="11" customWidth="1" min="10" max="10"/>
    <col width="12" customWidth="1" min="11" max="11"/>
    <col width="13" customWidth="1" min="12" max="12"/>
    <col width="46" customWidth="1" min="13" max="13"/>
  </cols>
  <sheetData>
    <row r="1" ht="28" customHeight="1">
      <c r="A1" s="64" t="inlineStr">
        <is>
          <t>Actividades por semana – Riesgo Normativo</t>
        </is>
      </c>
      <c r="B1" s="64" t="n"/>
      <c r="C1" s="64" t="n"/>
      <c r="D1" s="64" t="n"/>
      <c r="E1" s="64" t="n"/>
      <c r="F1" s="64" t="n"/>
      <c r="G1" s="64" t="n"/>
      <c r="H1" s="64" t="n"/>
      <c r="I1" s="64" t="n"/>
      <c r="J1" s="64" t="n"/>
      <c r="K1" s="64" t="n"/>
      <c r="L1" s="64" t="n"/>
      <c r="M1" s="64" t="n"/>
    </row>
    <row r="2" ht="32" customHeight="1">
      <c r="A2" s="60" t="inlineStr">
        <is>
          <t>HOJA AUTOMÁTICA: se actualiza sola con lo que se escribe en «Cronograma R. Normativo». No hay que escribir nada aquí. La barra de color marca las semanas en que cada actividad está programada (de la fecha de inicio a la fecha límite) y dentro aparece el avance registrado en esa semana.</t>
        </is>
      </c>
      <c r="B2" s="60" t="n"/>
      <c r="C2" s="60" t="n"/>
      <c r="D2" s="60" t="n"/>
      <c r="E2" s="60" t="n"/>
      <c r="F2" s="60" t="n"/>
      <c r="G2" s="60" t="n"/>
      <c r="H2" s="60" t="n"/>
      <c r="I2" s="60" t="n"/>
      <c r="J2" s="60" t="n"/>
      <c r="K2" s="60" t="n"/>
      <c r="L2" s="60" t="n"/>
      <c r="M2" s="60" t="n"/>
    </row>
    <row r="3">
      <c r="F3" s="61" t="inlineStr">
        <is>
          <t>Semana del:</t>
        </is>
      </c>
      <c r="G3" s="62">
        <f>(InicioCiclo+0)</f>
        <v/>
      </c>
      <c r="H3" s="62">
        <f>(InicioCiclo+7)</f>
        <v/>
      </c>
      <c r="I3" s="62">
        <f>(InicioCiclo+14)</f>
        <v/>
      </c>
      <c r="J3" s="62">
        <f>(InicioCiclo+21)</f>
        <v/>
      </c>
    </row>
    <row r="4" ht="34" customHeight="1">
      <c r="A4" s="52" t="inlineStr">
        <is>
          <t>N°</t>
        </is>
      </c>
      <c r="B4" s="52" t="inlineStr">
        <is>
          <t>Macro Actividad</t>
        </is>
      </c>
      <c r="C4" s="52" t="inlineStr">
        <is>
          <t>Responsable</t>
        </is>
      </c>
      <c r="D4" s="52" t="inlineStr">
        <is>
          <t>Fecha de inicio</t>
        </is>
      </c>
      <c r="E4" s="52" t="inlineStr">
        <is>
          <t>Fecha límite</t>
        </is>
      </c>
      <c r="F4" s="52" t="inlineStr">
        <is>
          <t>Semana de entrega</t>
        </is>
      </c>
      <c r="G4" s="65" t="inlineStr">
        <is>
          <t>Semana 1</t>
        </is>
      </c>
      <c r="H4" s="65" t="inlineStr">
        <is>
          <t>Semana 2</t>
        </is>
      </c>
      <c r="I4" s="65" t="inlineStr">
        <is>
          <t>Semana 3</t>
        </is>
      </c>
      <c r="J4" s="65" t="inlineStr">
        <is>
          <t>Semana 4</t>
        </is>
      </c>
      <c r="K4" s="52" t="inlineStr">
        <is>
          <t>% Avance actual</t>
        </is>
      </c>
      <c r="L4" s="52" t="inlineStr">
        <is>
          <t>Estado</t>
        </is>
      </c>
      <c r="M4" s="52" t="inlineStr">
        <is>
          <t>Observaciones</t>
        </is>
      </c>
    </row>
    <row r="5">
      <c r="A5" s="22">
        <f>IF('Cronograma R. Normativo'!$A5="","",'Cronograma R. Normativo'!$A5)</f>
        <v/>
      </c>
      <c r="B5" s="41">
        <f>IF('Cronograma R. Normativo'!$A5="","",'Cronograma R. Normativo'!$B5&amp;"")</f>
        <v/>
      </c>
      <c r="C5" s="41">
        <f>IF('Cronograma R. Normativo'!$A5="","",'Cronograma R. Normativo'!$C5&amp;"")</f>
        <v/>
      </c>
      <c r="D5" s="63">
        <f>IF(OR('Cronograma R. Normativo'!$A5="",'Cronograma R. Normativo'!$D5=""),"",'Cronograma R. Normativo'!$D5)</f>
        <v/>
      </c>
      <c r="E5" s="63">
        <f>IF(OR('Cronograma R. Normativo'!$A5="",'Cronograma R. Normativo'!$E5=""),"",'Cronograma R. Normativo'!$E5)</f>
        <v/>
      </c>
      <c r="F5" s="22">
        <f>IF(OR('Cronograma R. Normativo'!$A5="",NOT(ISNUMBER('Cronograma R. Normativo'!$E5))),"",IF('Cronograma R. Normativo'!$E5&lt;InicioCiclo,"Antes del ciclo",IF('Cronograma R. Normativo'!$E5&gt;=InicioCiclo+28,"Después del ciclo","Semana "&amp;(INT(('Cronograma R. Normativo'!$E5-InicioCiclo)/7)+1))))</f>
        <v/>
      </c>
      <c r="G5" s="20">
        <f>IF(OR('Cronograma R. Normativo'!$A5="",'Cronograma R. Normativo'!$G5=""),"",'Cronograma R. Normativo'!$G5)</f>
        <v/>
      </c>
      <c r="H5" s="20">
        <f>IF(OR('Cronograma R. Normativo'!$A5="",'Cronograma R. Normativo'!$H5=""),"",'Cronograma R. Normativo'!$H5)</f>
        <v/>
      </c>
      <c r="I5" s="20">
        <f>IF(OR('Cronograma R. Normativo'!$A5="",'Cronograma R. Normativo'!$I5=""),"",'Cronograma R. Normativo'!$I5)</f>
        <v/>
      </c>
      <c r="J5" s="20">
        <f>IF(OR('Cronograma R. Normativo'!$A5="",'Cronograma R. Normativo'!$J5=""),"",'Cronograma R. Normativo'!$J5)</f>
        <v/>
      </c>
      <c r="K5" s="20">
        <f>IF('Cronograma R. Normativo'!$A5="","",'Cronograma R. Normativo'!$K5)</f>
        <v/>
      </c>
      <c r="L5" s="22">
        <f>IF('Cronograma R. Normativo'!$A5="","",IF(N('Cronograma R. Normativo'!$K5)&gt;=1,"Completado",IF(AND(ISNUMBER('Cronograma R. Normativo'!$E5),'Cronograma R. Normativo'!$E5&lt;FechaRef),"Vencida",IF(N('Cronograma R. Normativo'!$K5)&gt;0,"En curso","Pendiente"))))</f>
        <v/>
      </c>
      <c r="M5" s="41">
        <f>IF('Cronograma R. Normativo'!$A5="","",'Cronograma R. Normativo'!$M5&amp;"")</f>
        <v/>
      </c>
    </row>
    <row r="6">
      <c r="A6" s="22">
        <f>IF('Cronograma R. Normativo'!$A6="","",'Cronograma R. Normativo'!$A6)</f>
        <v/>
      </c>
      <c r="B6" s="41">
        <f>IF('Cronograma R. Normativo'!$A6="","",'Cronograma R. Normativo'!$B6&amp;"")</f>
        <v/>
      </c>
      <c r="C6" s="41">
        <f>IF('Cronograma R. Normativo'!$A6="","",'Cronograma R. Normativo'!$C6&amp;"")</f>
        <v/>
      </c>
      <c r="D6" s="63">
        <f>IF(OR('Cronograma R. Normativo'!$A6="",'Cronograma R. Normativo'!$D6=""),"",'Cronograma R. Normativo'!$D6)</f>
        <v/>
      </c>
      <c r="E6" s="63">
        <f>IF(OR('Cronograma R. Normativo'!$A6="",'Cronograma R. Normativo'!$E6=""),"",'Cronograma R. Normativo'!$E6)</f>
        <v/>
      </c>
      <c r="F6" s="22">
        <f>IF(OR('Cronograma R. Normativo'!$A6="",NOT(ISNUMBER('Cronograma R. Normativo'!$E6))),"",IF('Cronograma R. Normativo'!$E6&lt;InicioCiclo,"Antes del ciclo",IF('Cronograma R. Normativo'!$E6&gt;=InicioCiclo+28,"Después del ciclo","Semana "&amp;(INT(('Cronograma R. Normativo'!$E6-InicioCiclo)/7)+1))))</f>
        <v/>
      </c>
      <c r="G6" s="20">
        <f>IF(OR('Cronograma R. Normativo'!$A6="",'Cronograma R. Normativo'!$G6=""),"",'Cronograma R. Normativo'!$G6)</f>
        <v/>
      </c>
      <c r="H6" s="20">
        <f>IF(OR('Cronograma R. Normativo'!$A6="",'Cronograma R. Normativo'!$H6=""),"",'Cronograma R. Normativo'!$H6)</f>
        <v/>
      </c>
      <c r="I6" s="20">
        <f>IF(OR('Cronograma R. Normativo'!$A6="",'Cronograma R. Normativo'!$I6=""),"",'Cronograma R. Normativo'!$I6)</f>
        <v/>
      </c>
      <c r="J6" s="20">
        <f>IF(OR('Cronograma R. Normativo'!$A6="",'Cronograma R. Normativo'!$J6=""),"",'Cronograma R. Normativo'!$J6)</f>
        <v/>
      </c>
      <c r="K6" s="20">
        <f>IF('Cronograma R. Normativo'!$A6="","",'Cronograma R. Normativo'!$K6)</f>
        <v/>
      </c>
      <c r="L6" s="22">
        <f>IF('Cronograma R. Normativo'!$A6="","",IF(N('Cronograma R. Normativo'!$K6)&gt;=1,"Completado",IF(AND(ISNUMBER('Cronograma R. Normativo'!$E6),'Cronograma R. Normativo'!$E6&lt;FechaRef),"Vencida",IF(N('Cronograma R. Normativo'!$K6)&gt;0,"En curso","Pendiente"))))</f>
        <v/>
      </c>
      <c r="M6" s="41">
        <f>IF('Cronograma R. Normativo'!$A6="","",'Cronograma R. Normativo'!$M6&amp;"")</f>
        <v/>
      </c>
    </row>
    <row r="7">
      <c r="A7" s="22">
        <f>IF('Cronograma R. Normativo'!$A7="","",'Cronograma R. Normativo'!$A7)</f>
        <v/>
      </c>
      <c r="B7" s="41">
        <f>IF('Cronograma R. Normativo'!$A7="","",'Cronograma R. Normativo'!$B7&amp;"")</f>
        <v/>
      </c>
      <c r="C7" s="41">
        <f>IF('Cronograma R. Normativo'!$A7="","",'Cronograma R. Normativo'!$C7&amp;"")</f>
        <v/>
      </c>
      <c r="D7" s="63">
        <f>IF(OR('Cronograma R. Normativo'!$A7="",'Cronograma R. Normativo'!$D7=""),"",'Cronograma R. Normativo'!$D7)</f>
        <v/>
      </c>
      <c r="E7" s="63">
        <f>IF(OR('Cronograma R. Normativo'!$A7="",'Cronograma R. Normativo'!$E7=""),"",'Cronograma R. Normativo'!$E7)</f>
        <v/>
      </c>
      <c r="F7" s="22">
        <f>IF(OR('Cronograma R. Normativo'!$A7="",NOT(ISNUMBER('Cronograma R. Normativo'!$E7))),"",IF('Cronograma R. Normativo'!$E7&lt;InicioCiclo,"Antes del ciclo",IF('Cronograma R. Normativo'!$E7&gt;=InicioCiclo+28,"Después del ciclo","Semana "&amp;(INT(('Cronograma R. Normativo'!$E7-InicioCiclo)/7)+1))))</f>
        <v/>
      </c>
      <c r="G7" s="20">
        <f>IF(OR('Cronograma R. Normativo'!$A7="",'Cronograma R. Normativo'!$G7=""),"",'Cronograma R. Normativo'!$G7)</f>
        <v/>
      </c>
      <c r="H7" s="20">
        <f>IF(OR('Cronograma R. Normativo'!$A7="",'Cronograma R. Normativo'!$H7=""),"",'Cronograma R. Normativo'!$H7)</f>
        <v/>
      </c>
      <c r="I7" s="20">
        <f>IF(OR('Cronograma R. Normativo'!$A7="",'Cronograma R. Normativo'!$I7=""),"",'Cronograma R. Normativo'!$I7)</f>
        <v/>
      </c>
      <c r="J7" s="20">
        <f>IF(OR('Cronograma R. Normativo'!$A7="",'Cronograma R. Normativo'!$J7=""),"",'Cronograma R. Normativo'!$J7)</f>
        <v/>
      </c>
      <c r="K7" s="20">
        <f>IF('Cronograma R. Normativo'!$A7="","",'Cronograma R. Normativo'!$K7)</f>
        <v/>
      </c>
      <c r="L7" s="22">
        <f>IF('Cronograma R. Normativo'!$A7="","",IF(N('Cronograma R. Normativo'!$K7)&gt;=1,"Completado",IF(AND(ISNUMBER('Cronograma R. Normativo'!$E7),'Cronograma R. Normativo'!$E7&lt;FechaRef),"Vencida",IF(N('Cronograma R. Normativo'!$K7)&gt;0,"En curso","Pendiente"))))</f>
        <v/>
      </c>
      <c r="M7" s="41">
        <f>IF('Cronograma R. Normativo'!$A7="","",'Cronograma R. Normativo'!$M7&amp;"")</f>
        <v/>
      </c>
    </row>
    <row r="8">
      <c r="A8" s="22">
        <f>IF('Cronograma R. Normativo'!$A8="","",'Cronograma R. Normativo'!$A8)</f>
        <v/>
      </c>
      <c r="B8" s="41">
        <f>IF('Cronograma R. Normativo'!$A8="","",'Cronograma R. Normativo'!$B8&amp;"")</f>
        <v/>
      </c>
      <c r="C8" s="41">
        <f>IF('Cronograma R. Normativo'!$A8="","",'Cronograma R. Normativo'!$C8&amp;"")</f>
        <v/>
      </c>
      <c r="D8" s="63">
        <f>IF(OR('Cronograma R. Normativo'!$A8="",'Cronograma R. Normativo'!$D8=""),"",'Cronograma R. Normativo'!$D8)</f>
        <v/>
      </c>
      <c r="E8" s="63">
        <f>IF(OR('Cronograma R. Normativo'!$A8="",'Cronograma R. Normativo'!$E8=""),"",'Cronograma R. Normativo'!$E8)</f>
        <v/>
      </c>
      <c r="F8" s="22">
        <f>IF(OR('Cronograma R. Normativo'!$A8="",NOT(ISNUMBER('Cronograma R. Normativo'!$E8))),"",IF('Cronograma R. Normativo'!$E8&lt;InicioCiclo,"Antes del ciclo",IF('Cronograma R. Normativo'!$E8&gt;=InicioCiclo+28,"Después del ciclo","Semana "&amp;(INT(('Cronograma R. Normativo'!$E8-InicioCiclo)/7)+1))))</f>
        <v/>
      </c>
      <c r="G8" s="20">
        <f>IF(OR('Cronograma R. Normativo'!$A8="",'Cronograma R. Normativo'!$G8=""),"",'Cronograma R. Normativo'!$G8)</f>
        <v/>
      </c>
      <c r="H8" s="20">
        <f>IF(OR('Cronograma R. Normativo'!$A8="",'Cronograma R. Normativo'!$H8=""),"",'Cronograma R. Normativo'!$H8)</f>
        <v/>
      </c>
      <c r="I8" s="20">
        <f>IF(OR('Cronograma R. Normativo'!$A8="",'Cronograma R. Normativo'!$I8=""),"",'Cronograma R. Normativo'!$I8)</f>
        <v/>
      </c>
      <c r="J8" s="20">
        <f>IF(OR('Cronograma R. Normativo'!$A8="",'Cronograma R. Normativo'!$J8=""),"",'Cronograma R. Normativo'!$J8)</f>
        <v/>
      </c>
      <c r="K8" s="20">
        <f>IF('Cronograma R. Normativo'!$A8="","",'Cronograma R. Normativo'!$K8)</f>
        <v/>
      </c>
      <c r="L8" s="22">
        <f>IF('Cronograma R. Normativo'!$A8="","",IF(N('Cronograma R. Normativo'!$K8)&gt;=1,"Completado",IF(AND(ISNUMBER('Cronograma R. Normativo'!$E8),'Cronograma R. Normativo'!$E8&lt;FechaRef),"Vencida",IF(N('Cronograma R. Normativo'!$K8)&gt;0,"En curso","Pendiente"))))</f>
        <v/>
      </c>
      <c r="M8" s="41">
        <f>IF('Cronograma R. Normativo'!$A8="","",'Cronograma R. Normativo'!$M8&amp;"")</f>
        <v/>
      </c>
    </row>
    <row r="9">
      <c r="A9" s="22">
        <f>IF('Cronograma R. Normativo'!$A9="","",'Cronograma R. Normativo'!$A9)</f>
        <v/>
      </c>
      <c r="B9" s="41">
        <f>IF('Cronograma R. Normativo'!$A9="","",'Cronograma R. Normativo'!$B9&amp;"")</f>
        <v/>
      </c>
      <c r="C9" s="41">
        <f>IF('Cronograma R. Normativo'!$A9="","",'Cronograma R. Normativo'!$C9&amp;"")</f>
        <v/>
      </c>
      <c r="D9" s="63">
        <f>IF(OR('Cronograma R. Normativo'!$A9="",'Cronograma R. Normativo'!$D9=""),"",'Cronograma R. Normativo'!$D9)</f>
        <v/>
      </c>
      <c r="E9" s="63">
        <f>IF(OR('Cronograma R. Normativo'!$A9="",'Cronograma R. Normativo'!$E9=""),"",'Cronograma R. Normativo'!$E9)</f>
        <v/>
      </c>
      <c r="F9" s="22">
        <f>IF(OR('Cronograma R. Normativo'!$A9="",NOT(ISNUMBER('Cronograma R. Normativo'!$E9))),"",IF('Cronograma R. Normativo'!$E9&lt;InicioCiclo,"Antes del ciclo",IF('Cronograma R. Normativo'!$E9&gt;=InicioCiclo+28,"Después del ciclo","Semana "&amp;(INT(('Cronograma R. Normativo'!$E9-InicioCiclo)/7)+1))))</f>
        <v/>
      </c>
      <c r="G9" s="20">
        <f>IF(OR('Cronograma R. Normativo'!$A9="",'Cronograma R. Normativo'!$G9=""),"",'Cronograma R. Normativo'!$G9)</f>
        <v/>
      </c>
      <c r="H9" s="20">
        <f>IF(OR('Cronograma R. Normativo'!$A9="",'Cronograma R. Normativo'!$H9=""),"",'Cronograma R. Normativo'!$H9)</f>
        <v/>
      </c>
      <c r="I9" s="20">
        <f>IF(OR('Cronograma R. Normativo'!$A9="",'Cronograma R. Normativo'!$I9=""),"",'Cronograma R. Normativo'!$I9)</f>
        <v/>
      </c>
      <c r="J9" s="20">
        <f>IF(OR('Cronograma R. Normativo'!$A9="",'Cronograma R. Normativo'!$J9=""),"",'Cronograma R. Normativo'!$J9)</f>
        <v/>
      </c>
      <c r="K9" s="20">
        <f>IF('Cronograma R. Normativo'!$A9="","",'Cronograma R. Normativo'!$K9)</f>
        <v/>
      </c>
      <c r="L9" s="22">
        <f>IF('Cronograma R. Normativo'!$A9="","",IF(N('Cronograma R. Normativo'!$K9)&gt;=1,"Completado",IF(AND(ISNUMBER('Cronograma R. Normativo'!$E9),'Cronograma R. Normativo'!$E9&lt;FechaRef),"Vencida",IF(N('Cronograma R. Normativo'!$K9)&gt;0,"En curso","Pendiente"))))</f>
        <v/>
      </c>
      <c r="M9" s="41">
        <f>IF('Cronograma R. Normativo'!$A9="","",'Cronograma R. Normativo'!$M9&amp;"")</f>
        <v/>
      </c>
    </row>
    <row r="10">
      <c r="A10" s="22">
        <f>IF('Cronograma R. Normativo'!$A10="","",'Cronograma R. Normativo'!$A10)</f>
        <v/>
      </c>
      <c r="B10" s="41">
        <f>IF('Cronograma R. Normativo'!$A10="","",'Cronograma R. Normativo'!$B10&amp;"")</f>
        <v/>
      </c>
      <c r="C10" s="41">
        <f>IF('Cronograma R. Normativo'!$A10="","",'Cronograma R. Normativo'!$C10&amp;"")</f>
        <v/>
      </c>
      <c r="D10" s="63">
        <f>IF(OR('Cronograma R. Normativo'!$A10="",'Cronograma R. Normativo'!$D10=""),"",'Cronograma R. Normativo'!$D10)</f>
        <v/>
      </c>
      <c r="E10" s="63">
        <f>IF(OR('Cronograma R. Normativo'!$A10="",'Cronograma R. Normativo'!$E10=""),"",'Cronograma R. Normativo'!$E10)</f>
        <v/>
      </c>
      <c r="F10" s="22">
        <f>IF(OR('Cronograma R. Normativo'!$A10="",NOT(ISNUMBER('Cronograma R. Normativo'!$E10))),"",IF('Cronograma R. Normativo'!$E10&lt;InicioCiclo,"Antes del ciclo",IF('Cronograma R. Normativo'!$E10&gt;=InicioCiclo+28,"Después del ciclo","Semana "&amp;(INT(('Cronograma R. Normativo'!$E10-InicioCiclo)/7)+1))))</f>
        <v/>
      </c>
      <c r="G10" s="20">
        <f>IF(OR('Cronograma R. Normativo'!$A10="",'Cronograma R. Normativo'!$G10=""),"",'Cronograma R. Normativo'!$G10)</f>
        <v/>
      </c>
      <c r="H10" s="20">
        <f>IF(OR('Cronograma R. Normativo'!$A10="",'Cronograma R. Normativo'!$H10=""),"",'Cronograma R. Normativo'!$H10)</f>
        <v/>
      </c>
      <c r="I10" s="20">
        <f>IF(OR('Cronograma R. Normativo'!$A10="",'Cronograma R. Normativo'!$I10=""),"",'Cronograma R. Normativo'!$I10)</f>
        <v/>
      </c>
      <c r="J10" s="20">
        <f>IF(OR('Cronograma R. Normativo'!$A10="",'Cronograma R. Normativo'!$J10=""),"",'Cronograma R. Normativo'!$J10)</f>
        <v/>
      </c>
      <c r="K10" s="20">
        <f>IF('Cronograma R. Normativo'!$A10="","",'Cronograma R. Normativo'!$K10)</f>
        <v/>
      </c>
      <c r="L10" s="22">
        <f>IF('Cronograma R. Normativo'!$A10="","",IF(N('Cronograma R. Normativo'!$K10)&gt;=1,"Completado",IF(AND(ISNUMBER('Cronograma R. Normativo'!$E10),'Cronograma R. Normativo'!$E10&lt;FechaRef),"Vencida",IF(N('Cronograma R. Normativo'!$K10)&gt;0,"En curso","Pendiente"))))</f>
        <v/>
      </c>
      <c r="M10" s="41">
        <f>IF('Cronograma R. Normativo'!$A10="","",'Cronograma R. Normativo'!$M10&amp;"")</f>
        <v/>
      </c>
    </row>
    <row r="11">
      <c r="A11" s="22">
        <f>IF('Cronograma R. Normativo'!$A11="","",'Cronograma R. Normativo'!$A11)</f>
        <v/>
      </c>
      <c r="B11" s="41">
        <f>IF('Cronograma R. Normativo'!$A11="","",'Cronograma R. Normativo'!$B11&amp;"")</f>
        <v/>
      </c>
      <c r="C11" s="41">
        <f>IF('Cronograma R. Normativo'!$A11="","",'Cronograma R. Normativo'!$C11&amp;"")</f>
        <v/>
      </c>
      <c r="D11" s="63">
        <f>IF(OR('Cronograma R. Normativo'!$A11="",'Cronograma R. Normativo'!$D11=""),"",'Cronograma R. Normativo'!$D11)</f>
        <v/>
      </c>
      <c r="E11" s="63">
        <f>IF(OR('Cronograma R. Normativo'!$A11="",'Cronograma R. Normativo'!$E11=""),"",'Cronograma R. Normativo'!$E11)</f>
        <v/>
      </c>
      <c r="F11" s="22">
        <f>IF(OR('Cronograma R. Normativo'!$A11="",NOT(ISNUMBER('Cronograma R. Normativo'!$E11))),"",IF('Cronograma R. Normativo'!$E11&lt;InicioCiclo,"Antes del ciclo",IF('Cronograma R. Normativo'!$E11&gt;=InicioCiclo+28,"Después del ciclo","Semana "&amp;(INT(('Cronograma R. Normativo'!$E11-InicioCiclo)/7)+1))))</f>
        <v/>
      </c>
      <c r="G11" s="20">
        <f>IF(OR('Cronograma R. Normativo'!$A11="",'Cronograma R. Normativo'!$G11=""),"",'Cronograma R. Normativo'!$G11)</f>
        <v/>
      </c>
      <c r="H11" s="20">
        <f>IF(OR('Cronograma R. Normativo'!$A11="",'Cronograma R. Normativo'!$H11=""),"",'Cronograma R. Normativo'!$H11)</f>
        <v/>
      </c>
      <c r="I11" s="20">
        <f>IF(OR('Cronograma R. Normativo'!$A11="",'Cronograma R. Normativo'!$I11=""),"",'Cronograma R. Normativo'!$I11)</f>
        <v/>
      </c>
      <c r="J11" s="20">
        <f>IF(OR('Cronograma R. Normativo'!$A11="",'Cronograma R. Normativo'!$J11=""),"",'Cronograma R. Normativo'!$J11)</f>
        <v/>
      </c>
      <c r="K11" s="20">
        <f>IF('Cronograma R. Normativo'!$A11="","",'Cronograma R. Normativo'!$K11)</f>
        <v/>
      </c>
      <c r="L11" s="22">
        <f>IF('Cronograma R. Normativo'!$A11="","",IF(N('Cronograma R. Normativo'!$K11)&gt;=1,"Completado",IF(AND(ISNUMBER('Cronograma R. Normativo'!$E11),'Cronograma R. Normativo'!$E11&lt;FechaRef),"Vencida",IF(N('Cronograma R. Normativo'!$K11)&gt;0,"En curso","Pendiente"))))</f>
        <v/>
      </c>
      <c r="M11" s="41">
        <f>IF('Cronograma R. Normativo'!$A11="","",'Cronograma R. Normativo'!$M11&amp;"")</f>
        <v/>
      </c>
    </row>
    <row r="12">
      <c r="A12" s="22">
        <f>IF('Cronograma R. Normativo'!$A12="","",'Cronograma R. Normativo'!$A12)</f>
        <v/>
      </c>
      <c r="B12" s="41">
        <f>IF('Cronograma R. Normativo'!$A12="","",'Cronograma R. Normativo'!$B12&amp;"")</f>
        <v/>
      </c>
      <c r="C12" s="41">
        <f>IF('Cronograma R. Normativo'!$A12="","",'Cronograma R. Normativo'!$C12&amp;"")</f>
        <v/>
      </c>
      <c r="D12" s="63">
        <f>IF(OR('Cronograma R. Normativo'!$A12="",'Cronograma R. Normativo'!$D12=""),"",'Cronograma R. Normativo'!$D12)</f>
        <v/>
      </c>
      <c r="E12" s="63">
        <f>IF(OR('Cronograma R. Normativo'!$A12="",'Cronograma R. Normativo'!$E12=""),"",'Cronograma R. Normativo'!$E12)</f>
        <v/>
      </c>
      <c r="F12" s="22">
        <f>IF(OR('Cronograma R. Normativo'!$A12="",NOT(ISNUMBER('Cronograma R. Normativo'!$E12))),"",IF('Cronograma R. Normativo'!$E12&lt;InicioCiclo,"Antes del ciclo",IF('Cronograma R. Normativo'!$E12&gt;=InicioCiclo+28,"Después del ciclo","Semana "&amp;(INT(('Cronograma R. Normativo'!$E12-InicioCiclo)/7)+1))))</f>
        <v/>
      </c>
      <c r="G12" s="20">
        <f>IF(OR('Cronograma R. Normativo'!$A12="",'Cronograma R. Normativo'!$G12=""),"",'Cronograma R. Normativo'!$G12)</f>
        <v/>
      </c>
      <c r="H12" s="20">
        <f>IF(OR('Cronograma R. Normativo'!$A12="",'Cronograma R. Normativo'!$H12=""),"",'Cronograma R. Normativo'!$H12)</f>
        <v/>
      </c>
      <c r="I12" s="20">
        <f>IF(OR('Cronograma R. Normativo'!$A12="",'Cronograma R. Normativo'!$I12=""),"",'Cronograma R. Normativo'!$I12)</f>
        <v/>
      </c>
      <c r="J12" s="20">
        <f>IF(OR('Cronograma R. Normativo'!$A12="",'Cronograma R. Normativo'!$J12=""),"",'Cronograma R. Normativo'!$J12)</f>
        <v/>
      </c>
      <c r="K12" s="20">
        <f>IF('Cronograma R. Normativo'!$A12="","",'Cronograma R. Normativo'!$K12)</f>
        <v/>
      </c>
      <c r="L12" s="22">
        <f>IF('Cronograma R. Normativo'!$A12="","",IF(N('Cronograma R. Normativo'!$K12)&gt;=1,"Completado",IF(AND(ISNUMBER('Cronograma R. Normativo'!$E12),'Cronograma R. Normativo'!$E12&lt;FechaRef),"Vencida",IF(N('Cronograma R. Normativo'!$K12)&gt;0,"En curso","Pendiente"))))</f>
        <v/>
      </c>
      <c r="M12" s="41">
        <f>IF('Cronograma R. Normativo'!$A12="","",'Cronograma R. Normativo'!$M12&amp;"")</f>
        <v/>
      </c>
    </row>
    <row r="13">
      <c r="A13" s="22">
        <f>IF('Cronograma R. Normativo'!$A13="","",'Cronograma R. Normativo'!$A13)</f>
        <v/>
      </c>
      <c r="B13" s="41">
        <f>IF('Cronograma R. Normativo'!$A13="","",'Cronograma R. Normativo'!$B13&amp;"")</f>
        <v/>
      </c>
      <c r="C13" s="41">
        <f>IF('Cronograma R. Normativo'!$A13="","",'Cronograma R. Normativo'!$C13&amp;"")</f>
        <v/>
      </c>
      <c r="D13" s="63">
        <f>IF(OR('Cronograma R. Normativo'!$A13="",'Cronograma R. Normativo'!$D13=""),"",'Cronograma R. Normativo'!$D13)</f>
        <v/>
      </c>
      <c r="E13" s="63">
        <f>IF(OR('Cronograma R. Normativo'!$A13="",'Cronograma R. Normativo'!$E13=""),"",'Cronograma R. Normativo'!$E13)</f>
        <v/>
      </c>
      <c r="F13" s="22">
        <f>IF(OR('Cronograma R. Normativo'!$A13="",NOT(ISNUMBER('Cronograma R. Normativo'!$E13))),"",IF('Cronograma R. Normativo'!$E13&lt;InicioCiclo,"Antes del ciclo",IF('Cronograma R. Normativo'!$E13&gt;=InicioCiclo+28,"Después del ciclo","Semana "&amp;(INT(('Cronograma R. Normativo'!$E13-InicioCiclo)/7)+1))))</f>
        <v/>
      </c>
      <c r="G13" s="20">
        <f>IF(OR('Cronograma R. Normativo'!$A13="",'Cronograma R. Normativo'!$G13=""),"",'Cronograma R. Normativo'!$G13)</f>
        <v/>
      </c>
      <c r="H13" s="20">
        <f>IF(OR('Cronograma R. Normativo'!$A13="",'Cronograma R. Normativo'!$H13=""),"",'Cronograma R. Normativo'!$H13)</f>
        <v/>
      </c>
      <c r="I13" s="20">
        <f>IF(OR('Cronograma R. Normativo'!$A13="",'Cronograma R. Normativo'!$I13=""),"",'Cronograma R. Normativo'!$I13)</f>
        <v/>
      </c>
      <c r="J13" s="20">
        <f>IF(OR('Cronograma R. Normativo'!$A13="",'Cronograma R. Normativo'!$J13=""),"",'Cronograma R. Normativo'!$J13)</f>
        <v/>
      </c>
      <c r="K13" s="20">
        <f>IF('Cronograma R. Normativo'!$A13="","",'Cronograma R. Normativo'!$K13)</f>
        <v/>
      </c>
      <c r="L13" s="22">
        <f>IF('Cronograma R. Normativo'!$A13="","",IF(N('Cronograma R. Normativo'!$K13)&gt;=1,"Completado",IF(AND(ISNUMBER('Cronograma R. Normativo'!$E13),'Cronograma R. Normativo'!$E13&lt;FechaRef),"Vencida",IF(N('Cronograma R. Normativo'!$K13)&gt;0,"En curso","Pendiente"))))</f>
        <v/>
      </c>
      <c r="M13" s="41">
        <f>IF('Cronograma R. Normativo'!$A13="","",'Cronograma R. Normativo'!$M13&amp;"")</f>
        <v/>
      </c>
    </row>
    <row r="14">
      <c r="A14" s="22">
        <f>IF('Cronograma R. Normativo'!$A14="","",'Cronograma R. Normativo'!$A14)</f>
        <v/>
      </c>
      <c r="B14" s="41">
        <f>IF('Cronograma R. Normativo'!$A14="","",'Cronograma R. Normativo'!$B14&amp;"")</f>
        <v/>
      </c>
      <c r="C14" s="41">
        <f>IF('Cronograma R. Normativo'!$A14="","",'Cronograma R. Normativo'!$C14&amp;"")</f>
        <v/>
      </c>
      <c r="D14" s="63">
        <f>IF(OR('Cronograma R. Normativo'!$A14="",'Cronograma R. Normativo'!$D14=""),"",'Cronograma R. Normativo'!$D14)</f>
        <v/>
      </c>
      <c r="E14" s="63">
        <f>IF(OR('Cronograma R. Normativo'!$A14="",'Cronograma R. Normativo'!$E14=""),"",'Cronograma R. Normativo'!$E14)</f>
        <v/>
      </c>
      <c r="F14" s="22">
        <f>IF(OR('Cronograma R. Normativo'!$A14="",NOT(ISNUMBER('Cronograma R. Normativo'!$E14))),"",IF('Cronograma R. Normativo'!$E14&lt;InicioCiclo,"Antes del ciclo",IF('Cronograma R. Normativo'!$E14&gt;=InicioCiclo+28,"Después del ciclo","Semana "&amp;(INT(('Cronograma R. Normativo'!$E14-InicioCiclo)/7)+1))))</f>
        <v/>
      </c>
      <c r="G14" s="20">
        <f>IF(OR('Cronograma R. Normativo'!$A14="",'Cronograma R. Normativo'!$G14=""),"",'Cronograma R. Normativo'!$G14)</f>
        <v/>
      </c>
      <c r="H14" s="20">
        <f>IF(OR('Cronograma R. Normativo'!$A14="",'Cronograma R. Normativo'!$H14=""),"",'Cronograma R. Normativo'!$H14)</f>
        <v/>
      </c>
      <c r="I14" s="20">
        <f>IF(OR('Cronograma R. Normativo'!$A14="",'Cronograma R. Normativo'!$I14=""),"",'Cronograma R. Normativo'!$I14)</f>
        <v/>
      </c>
      <c r="J14" s="20">
        <f>IF(OR('Cronograma R. Normativo'!$A14="",'Cronograma R. Normativo'!$J14=""),"",'Cronograma R. Normativo'!$J14)</f>
        <v/>
      </c>
      <c r="K14" s="20">
        <f>IF('Cronograma R. Normativo'!$A14="","",'Cronograma R. Normativo'!$K14)</f>
        <v/>
      </c>
      <c r="L14" s="22">
        <f>IF('Cronograma R. Normativo'!$A14="","",IF(N('Cronograma R. Normativo'!$K14)&gt;=1,"Completado",IF(AND(ISNUMBER('Cronograma R. Normativo'!$E14),'Cronograma R. Normativo'!$E14&lt;FechaRef),"Vencida",IF(N('Cronograma R. Normativo'!$K14)&gt;0,"En curso","Pendiente"))))</f>
        <v/>
      </c>
      <c r="M14" s="41">
        <f>IF('Cronograma R. Normativo'!$A14="","",'Cronograma R. Normativo'!$M14&amp;"")</f>
        <v/>
      </c>
    </row>
    <row r="15">
      <c r="A15" s="22">
        <f>IF('Cronograma R. Normativo'!$A15="","",'Cronograma R. Normativo'!$A15)</f>
        <v/>
      </c>
      <c r="B15" s="41">
        <f>IF('Cronograma R. Normativo'!$A15="","",'Cronograma R. Normativo'!$B15&amp;"")</f>
        <v/>
      </c>
      <c r="C15" s="41">
        <f>IF('Cronograma R. Normativo'!$A15="","",'Cronograma R. Normativo'!$C15&amp;"")</f>
        <v/>
      </c>
      <c r="D15" s="63">
        <f>IF(OR('Cronograma R. Normativo'!$A15="",'Cronograma R. Normativo'!$D15=""),"",'Cronograma R. Normativo'!$D15)</f>
        <v/>
      </c>
      <c r="E15" s="63">
        <f>IF(OR('Cronograma R. Normativo'!$A15="",'Cronograma R. Normativo'!$E15=""),"",'Cronograma R. Normativo'!$E15)</f>
        <v/>
      </c>
      <c r="F15" s="22">
        <f>IF(OR('Cronograma R. Normativo'!$A15="",NOT(ISNUMBER('Cronograma R. Normativo'!$E15))),"",IF('Cronograma R. Normativo'!$E15&lt;InicioCiclo,"Antes del ciclo",IF('Cronograma R. Normativo'!$E15&gt;=InicioCiclo+28,"Después del ciclo","Semana "&amp;(INT(('Cronograma R. Normativo'!$E15-InicioCiclo)/7)+1))))</f>
        <v/>
      </c>
      <c r="G15" s="20">
        <f>IF(OR('Cronograma R. Normativo'!$A15="",'Cronograma R. Normativo'!$G15=""),"",'Cronograma R. Normativo'!$G15)</f>
        <v/>
      </c>
      <c r="H15" s="20">
        <f>IF(OR('Cronograma R. Normativo'!$A15="",'Cronograma R. Normativo'!$H15=""),"",'Cronograma R. Normativo'!$H15)</f>
        <v/>
      </c>
      <c r="I15" s="20">
        <f>IF(OR('Cronograma R. Normativo'!$A15="",'Cronograma R. Normativo'!$I15=""),"",'Cronograma R. Normativo'!$I15)</f>
        <v/>
      </c>
      <c r="J15" s="20">
        <f>IF(OR('Cronograma R. Normativo'!$A15="",'Cronograma R. Normativo'!$J15=""),"",'Cronograma R. Normativo'!$J15)</f>
        <v/>
      </c>
      <c r="K15" s="20">
        <f>IF('Cronograma R. Normativo'!$A15="","",'Cronograma R. Normativo'!$K15)</f>
        <v/>
      </c>
      <c r="L15" s="22">
        <f>IF('Cronograma R. Normativo'!$A15="","",IF(N('Cronograma R. Normativo'!$K15)&gt;=1,"Completado",IF(AND(ISNUMBER('Cronograma R. Normativo'!$E15),'Cronograma R. Normativo'!$E15&lt;FechaRef),"Vencida",IF(N('Cronograma R. Normativo'!$K15)&gt;0,"En curso","Pendiente"))))</f>
        <v/>
      </c>
      <c r="M15" s="41">
        <f>IF('Cronograma R. Normativo'!$A15="","",'Cronograma R. Normativo'!$M15&amp;"")</f>
        <v/>
      </c>
    </row>
    <row r="16">
      <c r="A16" s="22">
        <f>IF('Cronograma R. Normativo'!$A16="","",'Cronograma R. Normativo'!$A16)</f>
        <v/>
      </c>
      <c r="B16" s="41">
        <f>IF('Cronograma R. Normativo'!$A16="","",'Cronograma R. Normativo'!$B16&amp;"")</f>
        <v/>
      </c>
      <c r="C16" s="41">
        <f>IF('Cronograma R. Normativo'!$A16="","",'Cronograma R. Normativo'!$C16&amp;"")</f>
        <v/>
      </c>
      <c r="D16" s="63">
        <f>IF(OR('Cronograma R. Normativo'!$A16="",'Cronograma R. Normativo'!$D16=""),"",'Cronograma R. Normativo'!$D16)</f>
        <v/>
      </c>
      <c r="E16" s="63">
        <f>IF(OR('Cronograma R. Normativo'!$A16="",'Cronograma R. Normativo'!$E16=""),"",'Cronograma R. Normativo'!$E16)</f>
        <v/>
      </c>
      <c r="F16" s="22">
        <f>IF(OR('Cronograma R. Normativo'!$A16="",NOT(ISNUMBER('Cronograma R. Normativo'!$E16))),"",IF('Cronograma R. Normativo'!$E16&lt;InicioCiclo,"Antes del ciclo",IF('Cronograma R. Normativo'!$E16&gt;=InicioCiclo+28,"Después del ciclo","Semana "&amp;(INT(('Cronograma R. Normativo'!$E16-InicioCiclo)/7)+1))))</f>
        <v/>
      </c>
      <c r="G16" s="20">
        <f>IF(OR('Cronograma R. Normativo'!$A16="",'Cronograma R. Normativo'!$G16=""),"",'Cronograma R. Normativo'!$G16)</f>
        <v/>
      </c>
      <c r="H16" s="20">
        <f>IF(OR('Cronograma R. Normativo'!$A16="",'Cronograma R. Normativo'!$H16=""),"",'Cronograma R. Normativo'!$H16)</f>
        <v/>
      </c>
      <c r="I16" s="20">
        <f>IF(OR('Cronograma R. Normativo'!$A16="",'Cronograma R. Normativo'!$I16=""),"",'Cronograma R. Normativo'!$I16)</f>
        <v/>
      </c>
      <c r="J16" s="20">
        <f>IF(OR('Cronograma R. Normativo'!$A16="",'Cronograma R. Normativo'!$J16=""),"",'Cronograma R. Normativo'!$J16)</f>
        <v/>
      </c>
      <c r="K16" s="20">
        <f>IF('Cronograma R. Normativo'!$A16="","",'Cronograma R. Normativo'!$K16)</f>
        <v/>
      </c>
      <c r="L16" s="22">
        <f>IF('Cronograma R. Normativo'!$A16="","",IF(N('Cronograma R. Normativo'!$K16)&gt;=1,"Completado",IF(AND(ISNUMBER('Cronograma R. Normativo'!$E16),'Cronograma R. Normativo'!$E16&lt;FechaRef),"Vencida",IF(N('Cronograma R. Normativo'!$K16)&gt;0,"En curso","Pendiente"))))</f>
        <v/>
      </c>
      <c r="M16" s="41">
        <f>IF('Cronograma R. Normativo'!$A16="","",'Cronograma R. Normativo'!$M16&amp;"")</f>
        <v/>
      </c>
    </row>
    <row r="17">
      <c r="A17" s="22">
        <f>IF('Cronograma R. Normativo'!$A17="","",'Cronograma R. Normativo'!$A17)</f>
        <v/>
      </c>
      <c r="B17" s="41">
        <f>IF('Cronograma R. Normativo'!$A17="","",'Cronograma R. Normativo'!$B17&amp;"")</f>
        <v/>
      </c>
      <c r="C17" s="41">
        <f>IF('Cronograma R. Normativo'!$A17="","",'Cronograma R. Normativo'!$C17&amp;"")</f>
        <v/>
      </c>
      <c r="D17" s="63">
        <f>IF(OR('Cronograma R. Normativo'!$A17="",'Cronograma R. Normativo'!$D17=""),"",'Cronograma R. Normativo'!$D17)</f>
        <v/>
      </c>
      <c r="E17" s="63">
        <f>IF(OR('Cronograma R. Normativo'!$A17="",'Cronograma R. Normativo'!$E17=""),"",'Cronograma R. Normativo'!$E17)</f>
        <v/>
      </c>
      <c r="F17" s="22">
        <f>IF(OR('Cronograma R. Normativo'!$A17="",NOT(ISNUMBER('Cronograma R. Normativo'!$E17))),"",IF('Cronograma R. Normativo'!$E17&lt;InicioCiclo,"Antes del ciclo",IF('Cronograma R. Normativo'!$E17&gt;=InicioCiclo+28,"Después del ciclo","Semana "&amp;(INT(('Cronograma R. Normativo'!$E17-InicioCiclo)/7)+1))))</f>
        <v/>
      </c>
      <c r="G17" s="20">
        <f>IF(OR('Cronograma R. Normativo'!$A17="",'Cronograma R. Normativo'!$G17=""),"",'Cronograma R. Normativo'!$G17)</f>
        <v/>
      </c>
      <c r="H17" s="20">
        <f>IF(OR('Cronograma R. Normativo'!$A17="",'Cronograma R. Normativo'!$H17=""),"",'Cronograma R. Normativo'!$H17)</f>
        <v/>
      </c>
      <c r="I17" s="20">
        <f>IF(OR('Cronograma R. Normativo'!$A17="",'Cronograma R. Normativo'!$I17=""),"",'Cronograma R. Normativo'!$I17)</f>
        <v/>
      </c>
      <c r="J17" s="20">
        <f>IF(OR('Cronograma R. Normativo'!$A17="",'Cronograma R. Normativo'!$J17=""),"",'Cronograma R. Normativo'!$J17)</f>
        <v/>
      </c>
      <c r="K17" s="20">
        <f>IF('Cronograma R. Normativo'!$A17="","",'Cronograma R. Normativo'!$K17)</f>
        <v/>
      </c>
      <c r="L17" s="22">
        <f>IF('Cronograma R. Normativo'!$A17="","",IF(N('Cronograma R. Normativo'!$K17)&gt;=1,"Completado",IF(AND(ISNUMBER('Cronograma R. Normativo'!$E17),'Cronograma R. Normativo'!$E17&lt;FechaRef),"Vencida",IF(N('Cronograma R. Normativo'!$K17)&gt;0,"En curso","Pendiente"))))</f>
        <v/>
      </c>
      <c r="M17" s="41">
        <f>IF('Cronograma R. Normativo'!$A17="","",'Cronograma R. Normativo'!$M17&amp;"")</f>
        <v/>
      </c>
    </row>
    <row r="18">
      <c r="A18" s="22">
        <f>IF('Cronograma R. Normativo'!$A18="","",'Cronograma R. Normativo'!$A18)</f>
        <v/>
      </c>
      <c r="B18" s="41">
        <f>IF('Cronograma R. Normativo'!$A18="","",'Cronograma R. Normativo'!$B18&amp;"")</f>
        <v/>
      </c>
      <c r="C18" s="41">
        <f>IF('Cronograma R. Normativo'!$A18="","",'Cronograma R. Normativo'!$C18&amp;"")</f>
        <v/>
      </c>
      <c r="D18" s="63">
        <f>IF(OR('Cronograma R. Normativo'!$A18="",'Cronograma R. Normativo'!$D18=""),"",'Cronograma R. Normativo'!$D18)</f>
        <v/>
      </c>
      <c r="E18" s="63">
        <f>IF(OR('Cronograma R. Normativo'!$A18="",'Cronograma R. Normativo'!$E18=""),"",'Cronograma R. Normativo'!$E18)</f>
        <v/>
      </c>
      <c r="F18" s="22">
        <f>IF(OR('Cronograma R. Normativo'!$A18="",NOT(ISNUMBER('Cronograma R. Normativo'!$E18))),"",IF('Cronograma R. Normativo'!$E18&lt;InicioCiclo,"Antes del ciclo",IF('Cronograma R. Normativo'!$E18&gt;=InicioCiclo+28,"Después del ciclo","Semana "&amp;(INT(('Cronograma R. Normativo'!$E18-InicioCiclo)/7)+1))))</f>
        <v/>
      </c>
      <c r="G18" s="20">
        <f>IF(OR('Cronograma R. Normativo'!$A18="",'Cronograma R. Normativo'!$G18=""),"",'Cronograma R. Normativo'!$G18)</f>
        <v/>
      </c>
      <c r="H18" s="20">
        <f>IF(OR('Cronograma R. Normativo'!$A18="",'Cronograma R. Normativo'!$H18=""),"",'Cronograma R. Normativo'!$H18)</f>
        <v/>
      </c>
      <c r="I18" s="20">
        <f>IF(OR('Cronograma R. Normativo'!$A18="",'Cronograma R. Normativo'!$I18=""),"",'Cronograma R. Normativo'!$I18)</f>
        <v/>
      </c>
      <c r="J18" s="20">
        <f>IF(OR('Cronograma R. Normativo'!$A18="",'Cronograma R. Normativo'!$J18=""),"",'Cronograma R. Normativo'!$J18)</f>
        <v/>
      </c>
      <c r="K18" s="20">
        <f>IF('Cronograma R. Normativo'!$A18="","",'Cronograma R. Normativo'!$K18)</f>
        <v/>
      </c>
      <c r="L18" s="22">
        <f>IF('Cronograma R. Normativo'!$A18="","",IF(N('Cronograma R. Normativo'!$K18)&gt;=1,"Completado",IF(AND(ISNUMBER('Cronograma R. Normativo'!$E18),'Cronograma R. Normativo'!$E18&lt;FechaRef),"Vencida",IF(N('Cronograma R. Normativo'!$K18)&gt;0,"En curso","Pendiente"))))</f>
        <v/>
      </c>
      <c r="M18" s="41">
        <f>IF('Cronograma R. Normativo'!$A18="","",'Cronograma R. Normativo'!$M18&amp;"")</f>
        <v/>
      </c>
    </row>
    <row r="19">
      <c r="A19" s="22">
        <f>IF('Cronograma R. Normativo'!$A19="","",'Cronograma R. Normativo'!$A19)</f>
        <v/>
      </c>
      <c r="B19" s="41">
        <f>IF('Cronograma R. Normativo'!$A19="","",'Cronograma R. Normativo'!$B19&amp;"")</f>
        <v/>
      </c>
      <c r="C19" s="41">
        <f>IF('Cronograma R. Normativo'!$A19="","",'Cronograma R. Normativo'!$C19&amp;"")</f>
        <v/>
      </c>
      <c r="D19" s="63">
        <f>IF(OR('Cronograma R. Normativo'!$A19="",'Cronograma R. Normativo'!$D19=""),"",'Cronograma R. Normativo'!$D19)</f>
        <v/>
      </c>
      <c r="E19" s="63">
        <f>IF(OR('Cronograma R. Normativo'!$A19="",'Cronograma R. Normativo'!$E19=""),"",'Cronograma R. Normativo'!$E19)</f>
        <v/>
      </c>
      <c r="F19" s="22">
        <f>IF(OR('Cronograma R. Normativo'!$A19="",NOT(ISNUMBER('Cronograma R. Normativo'!$E19))),"",IF('Cronograma R. Normativo'!$E19&lt;InicioCiclo,"Antes del ciclo",IF('Cronograma R. Normativo'!$E19&gt;=InicioCiclo+28,"Después del ciclo","Semana "&amp;(INT(('Cronograma R. Normativo'!$E19-InicioCiclo)/7)+1))))</f>
        <v/>
      </c>
      <c r="G19" s="20">
        <f>IF(OR('Cronograma R. Normativo'!$A19="",'Cronograma R. Normativo'!$G19=""),"",'Cronograma R. Normativo'!$G19)</f>
        <v/>
      </c>
      <c r="H19" s="20">
        <f>IF(OR('Cronograma R. Normativo'!$A19="",'Cronograma R. Normativo'!$H19=""),"",'Cronograma R. Normativo'!$H19)</f>
        <v/>
      </c>
      <c r="I19" s="20">
        <f>IF(OR('Cronograma R. Normativo'!$A19="",'Cronograma R. Normativo'!$I19=""),"",'Cronograma R. Normativo'!$I19)</f>
        <v/>
      </c>
      <c r="J19" s="20">
        <f>IF(OR('Cronograma R. Normativo'!$A19="",'Cronograma R. Normativo'!$J19=""),"",'Cronograma R. Normativo'!$J19)</f>
        <v/>
      </c>
      <c r="K19" s="20">
        <f>IF('Cronograma R. Normativo'!$A19="","",'Cronograma R. Normativo'!$K19)</f>
        <v/>
      </c>
      <c r="L19" s="22">
        <f>IF('Cronograma R. Normativo'!$A19="","",IF(N('Cronograma R. Normativo'!$K19)&gt;=1,"Completado",IF(AND(ISNUMBER('Cronograma R. Normativo'!$E19),'Cronograma R. Normativo'!$E19&lt;FechaRef),"Vencida",IF(N('Cronograma R. Normativo'!$K19)&gt;0,"En curso","Pendiente"))))</f>
        <v/>
      </c>
      <c r="M19" s="41">
        <f>IF('Cronograma R. Normativo'!$A19="","",'Cronograma R. Normativo'!$M19&amp;"")</f>
        <v/>
      </c>
    </row>
    <row r="20">
      <c r="A20" s="22">
        <f>IF('Cronograma R. Normativo'!$A20="","",'Cronograma R. Normativo'!$A20)</f>
        <v/>
      </c>
      <c r="B20" s="41">
        <f>IF('Cronograma R. Normativo'!$A20="","",'Cronograma R. Normativo'!$B20&amp;"")</f>
        <v/>
      </c>
      <c r="C20" s="41">
        <f>IF('Cronograma R. Normativo'!$A20="","",'Cronograma R. Normativo'!$C20&amp;"")</f>
        <v/>
      </c>
      <c r="D20" s="63">
        <f>IF(OR('Cronograma R. Normativo'!$A20="",'Cronograma R. Normativo'!$D20=""),"",'Cronograma R. Normativo'!$D20)</f>
        <v/>
      </c>
      <c r="E20" s="63">
        <f>IF(OR('Cronograma R. Normativo'!$A20="",'Cronograma R. Normativo'!$E20=""),"",'Cronograma R. Normativo'!$E20)</f>
        <v/>
      </c>
      <c r="F20" s="22">
        <f>IF(OR('Cronograma R. Normativo'!$A20="",NOT(ISNUMBER('Cronograma R. Normativo'!$E20))),"",IF('Cronograma R. Normativo'!$E20&lt;InicioCiclo,"Antes del ciclo",IF('Cronograma R. Normativo'!$E20&gt;=InicioCiclo+28,"Después del ciclo","Semana "&amp;(INT(('Cronograma R. Normativo'!$E20-InicioCiclo)/7)+1))))</f>
        <v/>
      </c>
      <c r="G20" s="20">
        <f>IF(OR('Cronograma R. Normativo'!$A20="",'Cronograma R. Normativo'!$G20=""),"",'Cronograma R. Normativo'!$G20)</f>
        <v/>
      </c>
      <c r="H20" s="20">
        <f>IF(OR('Cronograma R. Normativo'!$A20="",'Cronograma R. Normativo'!$H20=""),"",'Cronograma R. Normativo'!$H20)</f>
        <v/>
      </c>
      <c r="I20" s="20">
        <f>IF(OR('Cronograma R. Normativo'!$A20="",'Cronograma R. Normativo'!$I20=""),"",'Cronograma R. Normativo'!$I20)</f>
        <v/>
      </c>
      <c r="J20" s="20">
        <f>IF(OR('Cronograma R. Normativo'!$A20="",'Cronograma R. Normativo'!$J20=""),"",'Cronograma R. Normativo'!$J20)</f>
        <v/>
      </c>
      <c r="K20" s="20">
        <f>IF('Cronograma R. Normativo'!$A20="","",'Cronograma R. Normativo'!$K20)</f>
        <v/>
      </c>
      <c r="L20" s="22">
        <f>IF('Cronograma R. Normativo'!$A20="","",IF(N('Cronograma R. Normativo'!$K20)&gt;=1,"Completado",IF(AND(ISNUMBER('Cronograma R. Normativo'!$E20),'Cronograma R. Normativo'!$E20&lt;FechaRef),"Vencida",IF(N('Cronograma R. Normativo'!$K20)&gt;0,"En curso","Pendiente"))))</f>
        <v/>
      </c>
      <c r="M20" s="41">
        <f>IF('Cronograma R. Normativo'!$A20="","",'Cronograma R. Normativo'!$M20&amp;"")</f>
        <v/>
      </c>
    </row>
    <row r="21">
      <c r="A21" s="22">
        <f>IF('Cronograma R. Normativo'!$A21="","",'Cronograma R. Normativo'!$A21)</f>
        <v/>
      </c>
      <c r="B21" s="41">
        <f>IF('Cronograma R. Normativo'!$A21="","",'Cronograma R. Normativo'!$B21&amp;"")</f>
        <v/>
      </c>
      <c r="C21" s="41">
        <f>IF('Cronograma R. Normativo'!$A21="","",'Cronograma R. Normativo'!$C21&amp;"")</f>
        <v/>
      </c>
      <c r="D21" s="63">
        <f>IF(OR('Cronograma R. Normativo'!$A21="",'Cronograma R. Normativo'!$D21=""),"",'Cronograma R. Normativo'!$D21)</f>
        <v/>
      </c>
      <c r="E21" s="63">
        <f>IF(OR('Cronograma R. Normativo'!$A21="",'Cronograma R. Normativo'!$E21=""),"",'Cronograma R. Normativo'!$E21)</f>
        <v/>
      </c>
      <c r="F21" s="22">
        <f>IF(OR('Cronograma R. Normativo'!$A21="",NOT(ISNUMBER('Cronograma R. Normativo'!$E21))),"",IF('Cronograma R. Normativo'!$E21&lt;InicioCiclo,"Antes del ciclo",IF('Cronograma R. Normativo'!$E21&gt;=InicioCiclo+28,"Después del ciclo","Semana "&amp;(INT(('Cronograma R. Normativo'!$E21-InicioCiclo)/7)+1))))</f>
        <v/>
      </c>
      <c r="G21" s="20">
        <f>IF(OR('Cronograma R. Normativo'!$A21="",'Cronograma R. Normativo'!$G21=""),"",'Cronograma R. Normativo'!$G21)</f>
        <v/>
      </c>
      <c r="H21" s="20">
        <f>IF(OR('Cronograma R. Normativo'!$A21="",'Cronograma R. Normativo'!$H21=""),"",'Cronograma R. Normativo'!$H21)</f>
        <v/>
      </c>
      <c r="I21" s="20">
        <f>IF(OR('Cronograma R. Normativo'!$A21="",'Cronograma R. Normativo'!$I21=""),"",'Cronograma R. Normativo'!$I21)</f>
        <v/>
      </c>
      <c r="J21" s="20">
        <f>IF(OR('Cronograma R. Normativo'!$A21="",'Cronograma R. Normativo'!$J21=""),"",'Cronograma R. Normativo'!$J21)</f>
        <v/>
      </c>
      <c r="K21" s="20">
        <f>IF('Cronograma R. Normativo'!$A21="","",'Cronograma R. Normativo'!$K21)</f>
        <v/>
      </c>
      <c r="L21" s="22">
        <f>IF('Cronograma R. Normativo'!$A21="","",IF(N('Cronograma R. Normativo'!$K21)&gt;=1,"Completado",IF(AND(ISNUMBER('Cronograma R. Normativo'!$E21),'Cronograma R. Normativo'!$E21&lt;FechaRef),"Vencida",IF(N('Cronograma R. Normativo'!$K21)&gt;0,"En curso","Pendiente"))))</f>
        <v/>
      </c>
      <c r="M21" s="41">
        <f>IF('Cronograma R. Normativo'!$A21="","",'Cronograma R. Normativo'!$M21&amp;"")</f>
        <v/>
      </c>
    </row>
    <row r="22">
      <c r="A22" s="22">
        <f>IF('Cronograma R. Normativo'!$A22="","",'Cronograma R. Normativo'!$A22)</f>
        <v/>
      </c>
      <c r="B22" s="41">
        <f>IF('Cronograma R. Normativo'!$A22="","",'Cronograma R. Normativo'!$B22&amp;"")</f>
        <v/>
      </c>
      <c r="C22" s="41">
        <f>IF('Cronograma R. Normativo'!$A22="","",'Cronograma R. Normativo'!$C22&amp;"")</f>
        <v/>
      </c>
      <c r="D22" s="63">
        <f>IF(OR('Cronograma R. Normativo'!$A22="",'Cronograma R. Normativo'!$D22=""),"",'Cronograma R. Normativo'!$D22)</f>
        <v/>
      </c>
      <c r="E22" s="63">
        <f>IF(OR('Cronograma R. Normativo'!$A22="",'Cronograma R. Normativo'!$E22=""),"",'Cronograma R. Normativo'!$E22)</f>
        <v/>
      </c>
      <c r="F22" s="22">
        <f>IF(OR('Cronograma R. Normativo'!$A22="",NOT(ISNUMBER('Cronograma R. Normativo'!$E22))),"",IF('Cronograma R. Normativo'!$E22&lt;InicioCiclo,"Antes del ciclo",IF('Cronograma R. Normativo'!$E22&gt;=InicioCiclo+28,"Después del ciclo","Semana "&amp;(INT(('Cronograma R. Normativo'!$E22-InicioCiclo)/7)+1))))</f>
        <v/>
      </c>
      <c r="G22" s="20">
        <f>IF(OR('Cronograma R. Normativo'!$A22="",'Cronograma R. Normativo'!$G22=""),"",'Cronograma R. Normativo'!$G22)</f>
        <v/>
      </c>
      <c r="H22" s="20">
        <f>IF(OR('Cronograma R. Normativo'!$A22="",'Cronograma R. Normativo'!$H22=""),"",'Cronograma R. Normativo'!$H22)</f>
        <v/>
      </c>
      <c r="I22" s="20">
        <f>IF(OR('Cronograma R. Normativo'!$A22="",'Cronograma R. Normativo'!$I22=""),"",'Cronograma R. Normativo'!$I22)</f>
        <v/>
      </c>
      <c r="J22" s="20">
        <f>IF(OR('Cronograma R. Normativo'!$A22="",'Cronograma R. Normativo'!$J22=""),"",'Cronograma R. Normativo'!$J22)</f>
        <v/>
      </c>
      <c r="K22" s="20">
        <f>IF('Cronograma R. Normativo'!$A22="","",'Cronograma R. Normativo'!$K22)</f>
        <v/>
      </c>
      <c r="L22" s="22">
        <f>IF('Cronograma R. Normativo'!$A22="","",IF(N('Cronograma R. Normativo'!$K22)&gt;=1,"Completado",IF(AND(ISNUMBER('Cronograma R. Normativo'!$E22),'Cronograma R. Normativo'!$E22&lt;FechaRef),"Vencida",IF(N('Cronograma R. Normativo'!$K22)&gt;0,"En curso","Pendiente"))))</f>
        <v/>
      </c>
      <c r="M22" s="41">
        <f>IF('Cronograma R. Normativo'!$A22="","",'Cronograma R. Normativo'!$M22&amp;"")</f>
        <v/>
      </c>
    </row>
    <row r="23">
      <c r="A23" s="22">
        <f>IF('Cronograma R. Normativo'!$A23="","",'Cronograma R. Normativo'!$A23)</f>
        <v/>
      </c>
      <c r="B23" s="41">
        <f>IF('Cronograma R. Normativo'!$A23="","",'Cronograma R. Normativo'!$B23&amp;"")</f>
        <v/>
      </c>
      <c r="C23" s="41">
        <f>IF('Cronograma R. Normativo'!$A23="","",'Cronograma R. Normativo'!$C23&amp;"")</f>
        <v/>
      </c>
      <c r="D23" s="63">
        <f>IF(OR('Cronograma R. Normativo'!$A23="",'Cronograma R. Normativo'!$D23=""),"",'Cronograma R. Normativo'!$D23)</f>
        <v/>
      </c>
      <c r="E23" s="63">
        <f>IF(OR('Cronograma R. Normativo'!$A23="",'Cronograma R. Normativo'!$E23=""),"",'Cronograma R. Normativo'!$E23)</f>
        <v/>
      </c>
      <c r="F23" s="22">
        <f>IF(OR('Cronograma R. Normativo'!$A23="",NOT(ISNUMBER('Cronograma R. Normativo'!$E23))),"",IF('Cronograma R. Normativo'!$E23&lt;InicioCiclo,"Antes del ciclo",IF('Cronograma R. Normativo'!$E23&gt;=InicioCiclo+28,"Después del ciclo","Semana "&amp;(INT(('Cronograma R. Normativo'!$E23-InicioCiclo)/7)+1))))</f>
        <v/>
      </c>
      <c r="G23" s="20">
        <f>IF(OR('Cronograma R. Normativo'!$A23="",'Cronograma R. Normativo'!$G23=""),"",'Cronograma R. Normativo'!$G23)</f>
        <v/>
      </c>
      <c r="H23" s="20">
        <f>IF(OR('Cronograma R. Normativo'!$A23="",'Cronograma R. Normativo'!$H23=""),"",'Cronograma R. Normativo'!$H23)</f>
        <v/>
      </c>
      <c r="I23" s="20">
        <f>IF(OR('Cronograma R. Normativo'!$A23="",'Cronograma R. Normativo'!$I23=""),"",'Cronograma R. Normativo'!$I23)</f>
        <v/>
      </c>
      <c r="J23" s="20">
        <f>IF(OR('Cronograma R. Normativo'!$A23="",'Cronograma R. Normativo'!$J23=""),"",'Cronograma R. Normativo'!$J23)</f>
        <v/>
      </c>
      <c r="K23" s="20">
        <f>IF('Cronograma R. Normativo'!$A23="","",'Cronograma R. Normativo'!$K23)</f>
        <v/>
      </c>
      <c r="L23" s="22">
        <f>IF('Cronograma R. Normativo'!$A23="","",IF(N('Cronograma R. Normativo'!$K23)&gt;=1,"Completado",IF(AND(ISNUMBER('Cronograma R. Normativo'!$E23),'Cronograma R. Normativo'!$E23&lt;FechaRef),"Vencida",IF(N('Cronograma R. Normativo'!$K23)&gt;0,"En curso","Pendiente"))))</f>
        <v/>
      </c>
      <c r="M23" s="41">
        <f>IF('Cronograma R. Normativo'!$A23="","",'Cronograma R. Normativo'!$M23&amp;"")</f>
        <v/>
      </c>
    </row>
    <row r="24">
      <c r="A24" s="22">
        <f>IF('Cronograma R. Normativo'!$A24="","",'Cronograma R. Normativo'!$A24)</f>
        <v/>
      </c>
      <c r="B24" s="41">
        <f>IF('Cronograma R. Normativo'!$A24="","",'Cronograma R. Normativo'!$B24&amp;"")</f>
        <v/>
      </c>
      <c r="C24" s="41">
        <f>IF('Cronograma R. Normativo'!$A24="","",'Cronograma R. Normativo'!$C24&amp;"")</f>
        <v/>
      </c>
      <c r="D24" s="63">
        <f>IF(OR('Cronograma R. Normativo'!$A24="",'Cronograma R. Normativo'!$D24=""),"",'Cronograma R. Normativo'!$D24)</f>
        <v/>
      </c>
      <c r="E24" s="63">
        <f>IF(OR('Cronograma R. Normativo'!$A24="",'Cronograma R. Normativo'!$E24=""),"",'Cronograma R. Normativo'!$E24)</f>
        <v/>
      </c>
      <c r="F24" s="22">
        <f>IF(OR('Cronograma R. Normativo'!$A24="",NOT(ISNUMBER('Cronograma R. Normativo'!$E24))),"",IF('Cronograma R. Normativo'!$E24&lt;InicioCiclo,"Antes del ciclo",IF('Cronograma R. Normativo'!$E24&gt;=InicioCiclo+28,"Después del ciclo","Semana "&amp;(INT(('Cronograma R. Normativo'!$E24-InicioCiclo)/7)+1))))</f>
        <v/>
      </c>
      <c r="G24" s="20">
        <f>IF(OR('Cronograma R. Normativo'!$A24="",'Cronograma R. Normativo'!$G24=""),"",'Cronograma R. Normativo'!$G24)</f>
        <v/>
      </c>
      <c r="H24" s="20">
        <f>IF(OR('Cronograma R. Normativo'!$A24="",'Cronograma R. Normativo'!$H24=""),"",'Cronograma R. Normativo'!$H24)</f>
        <v/>
      </c>
      <c r="I24" s="20">
        <f>IF(OR('Cronograma R. Normativo'!$A24="",'Cronograma R. Normativo'!$I24=""),"",'Cronograma R. Normativo'!$I24)</f>
        <v/>
      </c>
      <c r="J24" s="20">
        <f>IF(OR('Cronograma R. Normativo'!$A24="",'Cronograma R. Normativo'!$J24=""),"",'Cronograma R. Normativo'!$J24)</f>
        <v/>
      </c>
      <c r="K24" s="20">
        <f>IF('Cronograma R. Normativo'!$A24="","",'Cronograma R. Normativo'!$K24)</f>
        <v/>
      </c>
      <c r="L24" s="22">
        <f>IF('Cronograma R. Normativo'!$A24="","",IF(N('Cronograma R. Normativo'!$K24)&gt;=1,"Completado",IF(AND(ISNUMBER('Cronograma R. Normativo'!$E24),'Cronograma R. Normativo'!$E24&lt;FechaRef),"Vencida",IF(N('Cronograma R. Normativo'!$K24)&gt;0,"En curso","Pendiente"))))</f>
        <v/>
      </c>
      <c r="M24" s="41">
        <f>IF('Cronograma R. Normativo'!$A24="","",'Cronograma R. Normativo'!$M24&amp;"")</f>
        <v/>
      </c>
    </row>
    <row r="25">
      <c r="A25" s="22">
        <f>IF('Cronograma R. Normativo'!$A25="","",'Cronograma R. Normativo'!$A25)</f>
        <v/>
      </c>
      <c r="B25" s="41">
        <f>IF('Cronograma R. Normativo'!$A25="","",'Cronograma R. Normativo'!$B25&amp;"")</f>
        <v/>
      </c>
      <c r="C25" s="41">
        <f>IF('Cronograma R. Normativo'!$A25="","",'Cronograma R. Normativo'!$C25&amp;"")</f>
        <v/>
      </c>
      <c r="D25" s="63">
        <f>IF(OR('Cronograma R. Normativo'!$A25="",'Cronograma R. Normativo'!$D25=""),"",'Cronograma R. Normativo'!$D25)</f>
        <v/>
      </c>
      <c r="E25" s="63">
        <f>IF(OR('Cronograma R. Normativo'!$A25="",'Cronograma R. Normativo'!$E25=""),"",'Cronograma R. Normativo'!$E25)</f>
        <v/>
      </c>
      <c r="F25" s="22">
        <f>IF(OR('Cronograma R. Normativo'!$A25="",NOT(ISNUMBER('Cronograma R. Normativo'!$E25))),"",IF('Cronograma R. Normativo'!$E25&lt;InicioCiclo,"Antes del ciclo",IF('Cronograma R. Normativo'!$E25&gt;=InicioCiclo+28,"Después del ciclo","Semana "&amp;(INT(('Cronograma R. Normativo'!$E25-InicioCiclo)/7)+1))))</f>
        <v/>
      </c>
      <c r="G25" s="20">
        <f>IF(OR('Cronograma R. Normativo'!$A25="",'Cronograma R. Normativo'!$G25=""),"",'Cronograma R. Normativo'!$G25)</f>
        <v/>
      </c>
      <c r="H25" s="20">
        <f>IF(OR('Cronograma R. Normativo'!$A25="",'Cronograma R. Normativo'!$H25=""),"",'Cronograma R. Normativo'!$H25)</f>
        <v/>
      </c>
      <c r="I25" s="20">
        <f>IF(OR('Cronograma R. Normativo'!$A25="",'Cronograma R. Normativo'!$I25=""),"",'Cronograma R. Normativo'!$I25)</f>
        <v/>
      </c>
      <c r="J25" s="20">
        <f>IF(OR('Cronograma R. Normativo'!$A25="",'Cronograma R. Normativo'!$J25=""),"",'Cronograma R. Normativo'!$J25)</f>
        <v/>
      </c>
      <c r="K25" s="20">
        <f>IF('Cronograma R. Normativo'!$A25="","",'Cronograma R. Normativo'!$K25)</f>
        <v/>
      </c>
      <c r="L25" s="22">
        <f>IF('Cronograma R. Normativo'!$A25="","",IF(N('Cronograma R. Normativo'!$K25)&gt;=1,"Completado",IF(AND(ISNUMBER('Cronograma R. Normativo'!$E25),'Cronograma R. Normativo'!$E25&lt;FechaRef),"Vencida",IF(N('Cronograma R. Normativo'!$K25)&gt;0,"En curso","Pendiente"))))</f>
        <v/>
      </c>
      <c r="M25" s="41">
        <f>IF('Cronograma R. Normativo'!$A25="","",'Cronograma R. Normativo'!$M25&amp;"")</f>
        <v/>
      </c>
    </row>
    <row r="26">
      <c r="A26" s="22">
        <f>IF('Cronograma R. Normativo'!$A26="","",'Cronograma R. Normativo'!$A26)</f>
        <v/>
      </c>
      <c r="B26" s="41">
        <f>IF('Cronograma R. Normativo'!$A26="","",'Cronograma R. Normativo'!$B26&amp;"")</f>
        <v/>
      </c>
      <c r="C26" s="41">
        <f>IF('Cronograma R. Normativo'!$A26="","",'Cronograma R. Normativo'!$C26&amp;"")</f>
        <v/>
      </c>
      <c r="D26" s="63">
        <f>IF(OR('Cronograma R. Normativo'!$A26="",'Cronograma R. Normativo'!$D26=""),"",'Cronograma R. Normativo'!$D26)</f>
        <v/>
      </c>
      <c r="E26" s="63">
        <f>IF(OR('Cronograma R. Normativo'!$A26="",'Cronograma R. Normativo'!$E26=""),"",'Cronograma R. Normativo'!$E26)</f>
        <v/>
      </c>
      <c r="F26" s="22">
        <f>IF(OR('Cronograma R. Normativo'!$A26="",NOT(ISNUMBER('Cronograma R. Normativo'!$E26))),"",IF('Cronograma R. Normativo'!$E26&lt;InicioCiclo,"Antes del ciclo",IF('Cronograma R. Normativo'!$E26&gt;=InicioCiclo+28,"Después del ciclo","Semana "&amp;(INT(('Cronograma R. Normativo'!$E26-InicioCiclo)/7)+1))))</f>
        <v/>
      </c>
      <c r="G26" s="20">
        <f>IF(OR('Cronograma R. Normativo'!$A26="",'Cronograma R. Normativo'!$G26=""),"",'Cronograma R. Normativo'!$G26)</f>
        <v/>
      </c>
      <c r="H26" s="20">
        <f>IF(OR('Cronograma R. Normativo'!$A26="",'Cronograma R. Normativo'!$H26=""),"",'Cronograma R. Normativo'!$H26)</f>
        <v/>
      </c>
      <c r="I26" s="20">
        <f>IF(OR('Cronograma R. Normativo'!$A26="",'Cronograma R. Normativo'!$I26=""),"",'Cronograma R. Normativo'!$I26)</f>
        <v/>
      </c>
      <c r="J26" s="20">
        <f>IF(OR('Cronograma R. Normativo'!$A26="",'Cronograma R. Normativo'!$J26=""),"",'Cronograma R. Normativo'!$J26)</f>
        <v/>
      </c>
      <c r="K26" s="20">
        <f>IF('Cronograma R. Normativo'!$A26="","",'Cronograma R. Normativo'!$K26)</f>
        <v/>
      </c>
      <c r="L26" s="22">
        <f>IF('Cronograma R. Normativo'!$A26="","",IF(N('Cronograma R. Normativo'!$K26)&gt;=1,"Completado",IF(AND(ISNUMBER('Cronograma R. Normativo'!$E26),'Cronograma R. Normativo'!$E26&lt;FechaRef),"Vencida",IF(N('Cronograma R. Normativo'!$K26)&gt;0,"En curso","Pendiente"))))</f>
        <v/>
      </c>
      <c r="M26" s="41">
        <f>IF('Cronograma R. Normativo'!$A26="","",'Cronograma R. Normativo'!$M26&amp;"")</f>
        <v/>
      </c>
    </row>
    <row r="27">
      <c r="A27" s="22">
        <f>IF('Cronograma R. Normativo'!$A27="","",'Cronograma R. Normativo'!$A27)</f>
        <v/>
      </c>
      <c r="B27" s="41">
        <f>IF('Cronograma R. Normativo'!$A27="","",'Cronograma R. Normativo'!$B27&amp;"")</f>
        <v/>
      </c>
      <c r="C27" s="41">
        <f>IF('Cronograma R. Normativo'!$A27="","",'Cronograma R. Normativo'!$C27&amp;"")</f>
        <v/>
      </c>
      <c r="D27" s="63">
        <f>IF(OR('Cronograma R. Normativo'!$A27="",'Cronograma R. Normativo'!$D27=""),"",'Cronograma R. Normativo'!$D27)</f>
        <v/>
      </c>
      <c r="E27" s="63">
        <f>IF(OR('Cronograma R. Normativo'!$A27="",'Cronograma R. Normativo'!$E27=""),"",'Cronograma R. Normativo'!$E27)</f>
        <v/>
      </c>
      <c r="F27" s="22">
        <f>IF(OR('Cronograma R. Normativo'!$A27="",NOT(ISNUMBER('Cronograma R. Normativo'!$E27))),"",IF('Cronograma R. Normativo'!$E27&lt;InicioCiclo,"Antes del ciclo",IF('Cronograma R. Normativo'!$E27&gt;=InicioCiclo+28,"Después del ciclo","Semana "&amp;(INT(('Cronograma R. Normativo'!$E27-InicioCiclo)/7)+1))))</f>
        <v/>
      </c>
      <c r="G27" s="20">
        <f>IF(OR('Cronograma R. Normativo'!$A27="",'Cronograma R. Normativo'!$G27=""),"",'Cronograma R. Normativo'!$G27)</f>
        <v/>
      </c>
      <c r="H27" s="20">
        <f>IF(OR('Cronograma R. Normativo'!$A27="",'Cronograma R. Normativo'!$H27=""),"",'Cronograma R. Normativo'!$H27)</f>
        <v/>
      </c>
      <c r="I27" s="20">
        <f>IF(OR('Cronograma R. Normativo'!$A27="",'Cronograma R. Normativo'!$I27=""),"",'Cronograma R. Normativo'!$I27)</f>
        <v/>
      </c>
      <c r="J27" s="20">
        <f>IF(OR('Cronograma R. Normativo'!$A27="",'Cronograma R. Normativo'!$J27=""),"",'Cronograma R. Normativo'!$J27)</f>
        <v/>
      </c>
      <c r="K27" s="20">
        <f>IF('Cronograma R. Normativo'!$A27="","",'Cronograma R. Normativo'!$K27)</f>
        <v/>
      </c>
      <c r="L27" s="22">
        <f>IF('Cronograma R. Normativo'!$A27="","",IF(N('Cronograma R. Normativo'!$K27)&gt;=1,"Completado",IF(AND(ISNUMBER('Cronograma R. Normativo'!$E27),'Cronograma R. Normativo'!$E27&lt;FechaRef),"Vencida",IF(N('Cronograma R. Normativo'!$K27)&gt;0,"En curso","Pendiente"))))</f>
        <v/>
      </c>
      <c r="M27" s="41">
        <f>IF('Cronograma R. Normativo'!$A27="","",'Cronograma R. Normativo'!$M27&amp;"")</f>
        <v/>
      </c>
    </row>
    <row r="28">
      <c r="A28" s="22">
        <f>IF('Cronograma R. Normativo'!$A28="","",'Cronograma R. Normativo'!$A28)</f>
        <v/>
      </c>
      <c r="B28" s="41">
        <f>IF('Cronograma R. Normativo'!$A28="","",'Cronograma R. Normativo'!$B28&amp;"")</f>
        <v/>
      </c>
      <c r="C28" s="41">
        <f>IF('Cronograma R. Normativo'!$A28="","",'Cronograma R. Normativo'!$C28&amp;"")</f>
        <v/>
      </c>
      <c r="D28" s="63">
        <f>IF(OR('Cronograma R. Normativo'!$A28="",'Cronograma R. Normativo'!$D28=""),"",'Cronograma R. Normativo'!$D28)</f>
        <v/>
      </c>
      <c r="E28" s="63">
        <f>IF(OR('Cronograma R. Normativo'!$A28="",'Cronograma R. Normativo'!$E28=""),"",'Cronograma R. Normativo'!$E28)</f>
        <v/>
      </c>
      <c r="F28" s="22">
        <f>IF(OR('Cronograma R. Normativo'!$A28="",NOT(ISNUMBER('Cronograma R. Normativo'!$E28))),"",IF('Cronograma R. Normativo'!$E28&lt;InicioCiclo,"Antes del ciclo",IF('Cronograma R. Normativo'!$E28&gt;=InicioCiclo+28,"Después del ciclo","Semana "&amp;(INT(('Cronograma R. Normativo'!$E28-InicioCiclo)/7)+1))))</f>
        <v/>
      </c>
      <c r="G28" s="20">
        <f>IF(OR('Cronograma R. Normativo'!$A28="",'Cronograma R. Normativo'!$G28=""),"",'Cronograma R. Normativo'!$G28)</f>
        <v/>
      </c>
      <c r="H28" s="20">
        <f>IF(OR('Cronograma R. Normativo'!$A28="",'Cronograma R. Normativo'!$H28=""),"",'Cronograma R. Normativo'!$H28)</f>
        <v/>
      </c>
      <c r="I28" s="20">
        <f>IF(OR('Cronograma R. Normativo'!$A28="",'Cronograma R. Normativo'!$I28=""),"",'Cronograma R. Normativo'!$I28)</f>
        <v/>
      </c>
      <c r="J28" s="20">
        <f>IF(OR('Cronograma R. Normativo'!$A28="",'Cronograma R. Normativo'!$J28=""),"",'Cronograma R. Normativo'!$J28)</f>
        <v/>
      </c>
      <c r="K28" s="20">
        <f>IF('Cronograma R. Normativo'!$A28="","",'Cronograma R. Normativo'!$K28)</f>
        <v/>
      </c>
      <c r="L28" s="22">
        <f>IF('Cronograma R. Normativo'!$A28="","",IF(N('Cronograma R. Normativo'!$K28)&gt;=1,"Completado",IF(AND(ISNUMBER('Cronograma R. Normativo'!$E28),'Cronograma R. Normativo'!$E28&lt;FechaRef),"Vencida",IF(N('Cronograma R. Normativo'!$K28)&gt;0,"En curso","Pendiente"))))</f>
        <v/>
      </c>
      <c r="M28" s="41">
        <f>IF('Cronograma R. Normativo'!$A28="","",'Cronograma R. Normativo'!$M28&amp;"")</f>
        <v/>
      </c>
    </row>
    <row r="29">
      <c r="A29" s="22">
        <f>IF('Cronograma R. Normativo'!$A29="","",'Cronograma R. Normativo'!$A29)</f>
        <v/>
      </c>
      <c r="B29" s="41">
        <f>IF('Cronograma R. Normativo'!$A29="","",'Cronograma R. Normativo'!$B29&amp;"")</f>
        <v/>
      </c>
      <c r="C29" s="41">
        <f>IF('Cronograma R. Normativo'!$A29="","",'Cronograma R. Normativo'!$C29&amp;"")</f>
        <v/>
      </c>
      <c r="D29" s="63">
        <f>IF(OR('Cronograma R. Normativo'!$A29="",'Cronograma R. Normativo'!$D29=""),"",'Cronograma R. Normativo'!$D29)</f>
        <v/>
      </c>
      <c r="E29" s="63">
        <f>IF(OR('Cronograma R. Normativo'!$A29="",'Cronograma R. Normativo'!$E29=""),"",'Cronograma R. Normativo'!$E29)</f>
        <v/>
      </c>
      <c r="F29" s="22">
        <f>IF(OR('Cronograma R. Normativo'!$A29="",NOT(ISNUMBER('Cronograma R. Normativo'!$E29))),"",IF('Cronograma R. Normativo'!$E29&lt;InicioCiclo,"Antes del ciclo",IF('Cronograma R. Normativo'!$E29&gt;=InicioCiclo+28,"Después del ciclo","Semana "&amp;(INT(('Cronograma R. Normativo'!$E29-InicioCiclo)/7)+1))))</f>
        <v/>
      </c>
      <c r="G29" s="20">
        <f>IF(OR('Cronograma R. Normativo'!$A29="",'Cronograma R. Normativo'!$G29=""),"",'Cronograma R. Normativo'!$G29)</f>
        <v/>
      </c>
      <c r="H29" s="20">
        <f>IF(OR('Cronograma R. Normativo'!$A29="",'Cronograma R. Normativo'!$H29=""),"",'Cronograma R. Normativo'!$H29)</f>
        <v/>
      </c>
      <c r="I29" s="20">
        <f>IF(OR('Cronograma R. Normativo'!$A29="",'Cronograma R. Normativo'!$I29=""),"",'Cronograma R. Normativo'!$I29)</f>
        <v/>
      </c>
      <c r="J29" s="20">
        <f>IF(OR('Cronograma R. Normativo'!$A29="",'Cronograma R. Normativo'!$J29=""),"",'Cronograma R. Normativo'!$J29)</f>
        <v/>
      </c>
      <c r="K29" s="20">
        <f>IF('Cronograma R. Normativo'!$A29="","",'Cronograma R. Normativo'!$K29)</f>
        <v/>
      </c>
      <c r="L29" s="22">
        <f>IF('Cronograma R. Normativo'!$A29="","",IF(N('Cronograma R. Normativo'!$K29)&gt;=1,"Completado",IF(AND(ISNUMBER('Cronograma R. Normativo'!$E29),'Cronograma R. Normativo'!$E29&lt;FechaRef),"Vencida",IF(N('Cronograma R. Normativo'!$K29)&gt;0,"En curso","Pendiente"))))</f>
        <v/>
      </c>
      <c r="M29" s="41">
        <f>IF('Cronograma R. Normativo'!$A29="","",'Cronograma R. Normativo'!$M29&amp;"")</f>
        <v/>
      </c>
    </row>
    <row r="30">
      <c r="A30" s="22">
        <f>IF('Cronograma R. Normativo'!$A30="","",'Cronograma R. Normativo'!$A30)</f>
        <v/>
      </c>
      <c r="B30" s="41">
        <f>IF('Cronograma R. Normativo'!$A30="","",'Cronograma R. Normativo'!$B30&amp;"")</f>
        <v/>
      </c>
      <c r="C30" s="41">
        <f>IF('Cronograma R. Normativo'!$A30="","",'Cronograma R. Normativo'!$C30&amp;"")</f>
        <v/>
      </c>
      <c r="D30" s="63">
        <f>IF(OR('Cronograma R. Normativo'!$A30="",'Cronograma R. Normativo'!$D30=""),"",'Cronograma R. Normativo'!$D30)</f>
        <v/>
      </c>
      <c r="E30" s="63">
        <f>IF(OR('Cronograma R. Normativo'!$A30="",'Cronograma R. Normativo'!$E30=""),"",'Cronograma R. Normativo'!$E30)</f>
        <v/>
      </c>
      <c r="F30" s="22">
        <f>IF(OR('Cronograma R. Normativo'!$A30="",NOT(ISNUMBER('Cronograma R. Normativo'!$E30))),"",IF('Cronograma R. Normativo'!$E30&lt;InicioCiclo,"Antes del ciclo",IF('Cronograma R. Normativo'!$E30&gt;=InicioCiclo+28,"Después del ciclo","Semana "&amp;(INT(('Cronograma R. Normativo'!$E30-InicioCiclo)/7)+1))))</f>
        <v/>
      </c>
      <c r="G30" s="20">
        <f>IF(OR('Cronograma R. Normativo'!$A30="",'Cronograma R. Normativo'!$G30=""),"",'Cronograma R. Normativo'!$G30)</f>
        <v/>
      </c>
      <c r="H30" s="20">
        <f>IF(OR('Cronograma R. Normativo'!$A30="",'Cronograma R. Normativo'!$H30=""),"",'Cronograma R. Normativo'!$H30)</f>
        <v/>
      </c>
      <c r="I30" s="20">
        <f>IF(OR('Cronograma R. Normativo'!$A30="",'Cronograma R. Normativo'!$I30=""),"",'Cronograma R. Normativo'!$I30)</f>
        <v/>
      </c>
      <c r="J30" s="20">
        <f>IF(OR('Cronograma R. Normativo'!$A30="",'Cronograma R. Normativo'!$J30=""),"",'Cronograma R. Normativo'!$J30)</f>
        <v/>
      </c>
      <c r="K30" s="20">
        <f>IF('Cronograma R. Normativo'!$A30="","",'Cronograma R. Normativo'!$K30)</f>
        <v/>
      </c>
      <c r="L30" s="22">
        <f>IF('Cronograma R. Normativo'!$A30="","",IF(N('Cronograma R. Normativo'!$K30)&gt;=1,"Completado",IF(AND(ISNUMBER('Cronograma R. Normativo'!$E30),'Cronograma R. Normativo'!$E30&lt;FechaRef),"Vencida",IF(N('Cronograma R. Normativo'!$K30)&gt;0,"En curso","Pendiente"))))</f>
        <v/>
      </c>
      <c r="M30" s="41">
        <f>IF('Cronograma R. Normativo'!$A30="","",'Cronograma R. Normativo'!$M30&amp;"")</f>
        <v/>
      </c>
    </row>
    <row r="31">
      <c r="A31" s="22">
        <f>IF('Cronograma R. Normativo'!$A31="","",'Cronograma R. Normativo'!$A31)</f>
        <v/>
      </c>
      <c r="B31" s="41">
        <f>IF('Cronograma R. Normativo'!$A31="","",'Cronograma R. Normativo'!$B31&amp;"")</f>
        <v/>
      </c>
      <c r="C31" s="41">
        <f>IF('Cronograma R. Normativo'!$A31="","",'Cronograma R. Normativo'!$C31&amp;"")</f>
        <v/>
      </c>
      <c r="D31" s="63">
        <f>IF(OR('Cronograma R. Normativo'!$A31="",'Cronograma R. Normativo'!$D31=""),"",'Cronograma R. Normativo'!$D31)</f>
        <v/>
      </c>
      <c r="E31" s="63">
        <f>IF(OR('Cronograma R. Normativo'!$A31="",'Cronograma R. Normativo'!$E31=""),"",'Cronograma R. Normativo'!$E31)</f>
        <v/>
      </c>
      <c r="F31" s="22">
        <f>IF(OR('Cronograma R. Normativo'!$A31="",NOT(ISNUMBER('Cronograma R. Normativo'!$E31))),"",IF('Cronograma R. Normativo'!$E31&lt;InicioCiclo,"Antes del ciclo",IF('Cronograma R. Normativo'!$E31&gt;=InicioCiclo+28,"Después del ciclo","Semana "&amp;(INT(('Cronograma R. Normativo'!$E31-InicioCiclo)/7)+1))))</f>
        <v/>
      </c>
      <c r="G31" s="20">
        <f>IF(OR('Cronograma R. Normativo'!$A31="",'Cronograma R. Normativo'!$G31=""),"",'Cronograma R. Normativo'!$G31)</f>
        <v/>
      </c>
      <c r="H31" s="20">
        <f>IF(OR('Cronograma R. Normativo'!$A31="",'Cronograma R. Normativo'!$H31=""),"",'Cronograma R. Normativo'!$H31)</f>
        <v/>
      </c>
      <c r="I31" s="20">
        <f>IF(OR('Cronograma R. Normativo'!$A31="",'Cronograma R. Normativo'!$I31=""),"",'Cronograma R. Normativo'!$I31)</f>
        <v/>
      </c>
      <c r="J31" s="20">
        <f>IF(OR('Cronograma R. Normativo'!$A31="",'Cronograma R. Normativo'!$J31=""),"",'Cronograma R. Normativo'!$J31)</f>
        <v/>
      </c>
      <c r="K31" s="20">
        <f>IF('Cronograma R. Normativo'!$A31="","",'Cronograma R. Normativo'!$K31)</f>
        <v/>
      </c>
      <c r="L31" s="22">
        <f>IF('Cronograma R. Normativo'!$A31="","",IF(N('Cronograma R. Normativo'!$K31)&gt;=1,"Completado",IF(AND(ISNUMBER('Cronograma R. Normativo'!$E31),'Cronograma R. Normativo'!$E31&lt;FechaRef),"Vencida",IF(N('Cronograma R. Normativo'!$K31)&gt;0,"En curso","Pendiente"))))</f>
        <v/>
      </c>
      <c r="M31" s="41">
        <f>IF('Cronograma R. Normativo'!$A31="","",'Cronograma R. Normativo'!$M31&amp;"")</f>
        <v/>
      </c>
    </row>
    <row r="32">
      <c r="A32" s="22">
        <f>IF('Cronograma R. Normativo'!$A32="","",'Cronograma R. Normativo'!$A32)</f>
        <v/>
      </c>
      <c r="B32" s="41">
        <f>IF('Cronograma R. Normativo'!$A32="","",'Cronograma R. Normativo'!$B32&amp;"")</f>
        <v/>
      </c>
      <c r="C32" s="41">
        <f>IF('Cronograma R. Normativo'!$A32="","",'Cronograma R. Normativo'!$C32&amp;"")</f>
        <v/>
      </c>
      <c r="D32" s="63">
        <f>IF(OR('Cronograma R. Normativo'!$A32="",'Cronograma R. Normativo'!$D32=""),"",'Cronograma R. Normativo'!$D32)</f>
        <v/>
      </c>
      <c r="E32" s="63">
        <f>IF(OR('Cronograma R. Normativo'!$A32="",'Cronograma R. Normativo'!$E32=""),"",'Cronograma R. Normativo'!$E32)</f>
        <v/>
      </c>
      <c r="F32" s="22">
        <f>IF(OR('Cronograma R. Normativo'!$A32="",NOT(ISNUMBER('Cronograma R. Normativo'!$E32))),"",IF('Cronograma R. Normativo'!$E32&lt;InicioCiclo,"Antes del ciclo",IF('Cronograma R. Normativo'!$E32&gt;=InicioCiclo+28,"Después del ciclo","Semana "&amp;(INT(('Cronograma R. Normativo'!$E32-InicioCiclo)/7)+1))))</f>
        <v/>
      </c>
      <c r="G32" s="20">
        <f>IF(OR('Cronograma R. Normativo'!$A32="",'Cronograma R. Normativo'!$G32=""),"",'Cronograma R. Normativo'!$G32)</f>
        <v/>
      </c>
      <c r="H32" s="20">
        <f>IF(OR('Cronograma R. Normativo'!$A32="",'Cronograma R. Normativo'!$H32=""),"",'Cronograma R. Normativo'!$H32)</f>
        <v/>
      </c>
      <c r="I32" s="20">
        <f>IF(OR('Cronograma R. Normativo'!$A32="",'Cronograma R. Normativo'!$I32=""),"",'Cronograma R. Normativo'!$I32)</f>
        <v/>
      </c>
      <c r="J32" s="20">
        <f>IF(OR('Cronograma R. Normativo'!$A32="",'Cronograma R. Normativo'!$J32=""),"",'Cronograma R. Normativo'!$J32)</f>
        <v/>
      </c>
      <c r="K32" s="20">
        <f>IF('Cronograma R. Normativo'!$A32="","",'Cronograma R. Normativo'!$K32)</f>
        <v/>
      </c>
      <c r="L32" s="22">
        <f>IF('Cronograma R. Normativo'!$A32="","",IF(N('Cronograma R. Normativo'!$K32)&gt;=1,"Completado",IF(AND(ISNUMBER('Cronograma R. Normativo'!$E32),'Cronograma R. Normativo'!$E32&lt;FechaRef),"Vencida",IF(N('Cronograma R. Normativo'!$K32)&gt;0,"En curso","Pendiente"))))</f>
        <v/>
      </c>
      <c r="M32" s="41">
        <f>IF('Cronograma R. Normativo'!$A32="","",'Cronograma R. Normativo'!$M32&amp;"")</f>
        <v/>
      </c>
    </row>
    <row r="33">
      <c r="A33" s="22">
        <f>IF('Cronograma R. Normativo'!$A33="","",'Cronograma R. Normativo'!$A33)</f>
        <v/>
      </c>
      <c r="B33" s="41">
        <f>IF('Cronograma R. Normativo'!$A33="","",'Cronograma R. Normativo'!$B33&amp;"")</f>
        <v/>
      </c>
      <c r="C33" s="41">
        <f>IF('Cronograma R. Normativo'!$A33="","",'Cronograma R. Normativo'!$C33&amp;"")</f>
        <v/>
      </c>
      <c r="D33" s="63">
        <f>IF(OR('Cronograma R. Normativo'!$A33="",'Cronograma R. Normativo'!$D33=""),"",'Cronograma R. Normativo'!$D33)</f>
        <v/>
      </c>
      <c r="E33" s="63">
        <f>IF(OR('Cronograma R. Normativo'!$A33="",'Cronograma R. Normativo'!$E33=""),"",'Cronograma R. Normativo'!$E33)</f>
        <v/>
      </c>
      <c r="F33" s="22">
        <f>IF(OR('Cronograma R. Normativo'!$A33="",NOT(ISNUMBER('Cronograma R. Normativo'!$E33))),"",IF('Cronograma R. Normativo'!$E33&lt;InicioCiclo,"Antes del ciclo",IF('Cronograma R. Normativo'!$E33&gt;=InicioCiclo+28,"Después del ciclo","Semana "&amp;(INT(('Cronograma R. Normativo'!$E33-InicioCiclo)/7)+1))))</f>
        <v/>
      </c>
      <c r="G33" s="20">
        <f>IF(OR('Cronograma R. Normativo'!$A33="",'Cronograma R. Normativo'!$G33=""),"",'Cronograma R. Normativo'!$G33)</f>
        <v/>
      </c>
      <c r="H33" s="20">
        <f>IF(OR('Cronograma R. Normativo'!$A33="",'Cronograma R. Normativo'!$H33=""),"",'Cronograma R. Normativo'!$H33)</f>
        <v/>
      </c>
      <c r="I33" s="20">
        <f>IF(OR('Cronograma R. Normativo'!$A33="",'Cronograma R. Normativo'!$I33=""),"",'Cronograma R. Normativo'!$I33)</f>
        <v/>
      </c>
      <c r="J33" s="20">
        <f>IF(OR('Cronograma R. Normativo'!$A33="",'Cronograma R. Normativo'!$J33=""),"",'Cronograma R. Normativo'!$J33)</f>
        <v/>
      </c>
      <c r="K33" s="20">
        <f>IF('Cronograma R. Normativo'!$A33="","",'Cronograma R. Normativo'!$K33)</f>
        <v/>
      </c>
      <c r="L33" s="22">
        <f>IF('Cronograma R. Normativo'!$A33="","",IF(N('Cronograma R. Normativo'!$K33)&gt;=1,"Completado",IF(AND(ISNUMBER('Cronograma R. Normativo'!$E33),'Cronograma R. Normativo'!$E33&lt;FechaRef),"Vencida",IF(N('Cronograma R. Normativo'!$K33)&gt;0,"En curso","Pendiente"))))</f>
        <v/>
      </c>
      <c r="M33" s="41">
        <f>IF('Cronograma R. Normativo'!$A33="","",'Cronograma R. Normativo'!$M33&amp;"")</f>
        <v/>
      </c>
    </row>
    <row r="34">
      <c r="A34" s="22">
        <f>IF('Cronograma R. Normativo'!$A34="","",'Cronograma R. Normativo'!$A34)</f>
        <v/>
      </c>
      <c r="B34" s="41">
        <f>IF('Cronograma R. Normativo'!$A34="","",'Cronograma R. Normativo'!$B34&amp;"")</f>
        <v/>
      </c>
      <c r="C34" s="41">
        <f>IF('Cronograma R. Normativo'!$A34="","",'Cronograma R. Normativo'!$C34&amp;"")</f>
        <v/>
      </c>
      <c r="D34" s="63">
        <f>IF(OR('Cronograma R. Normativo'!$A34="",'Cronograma R. Normativo'!$D34=""),"",'Cronograma R. Normativo'!$D34)</f>
        <v/>
      </c>
      <c r="E34" s="63">
        <f>IF(OR('Cronograma R. Normativo'!$A34="",'Cronograma R. Normativo'!$E34=""),"",'Cronograma R. Normativo'!$E34)</f>
        <v/>
      </c>
      <c r="F34" s="22">
        <f>IF(OR('Cronograma R. Normativo'!$A34="",NOT(ISNUMBER('Cronograma R. Normativo'!$E34))),"",IF('Cronograma R. Normativo'!$E34&lt;InicioCiclo,"Antes del ciclo",IF('Cronograma R. Normativo'!$E34&gt;=InicioCiclo+28,"Después del ciclo","Semana "&amp;(INT(('Cronograma R. Normativo'!$E34-InicioCiclo)/7)+1))))</f>
        <v/>
      </c>
      <c r="G34" s="20">
        <f>IF(OR('Cronograma R. Normativo'!$A34="",'Cronograma R. Normativo'!$G34=""),"",'Cronograma R. Normativo'!$G34)</f>
        <v/>
      </c>
      <c r="H34" s="20">
        <f>IF(OR('Cronograma R. Normativo'!$A34="",'Cronograma R. Normativo'!$H34=""),"",'Cronograma R. Normativo'!$H34)</f>
        <v/>
      </c>
      <c r="I34" s="20">
        <f>IF(OR('Cronograma R. Normativo'!$A34="",'Cronograma R. Normativo'!$I34=""),"",'Cronograma R. Normativo'!$I34)</f>
        <v/>
      </c>
      <c r="J34" s="20">
        <f>IF(OR('Cronograma R. Normativo'!$A34="",'Cronograma R. Normativo'!$J34=""),"",'Cronograma R. Normativo'!$J34)</f>
        <v/>
      </c>
      <c r="K34" s="20">
        <f>IF('Cronograma R. Normativo'!$A34="","",'Cronograma R. Normativo'!$K34)</f>
        <v/>
      </c>
      <c r="L34" s="22">
        <f>IF('Cronograma R. Normativo'!$A34="","",IF(N('Cronograma R. Normativo'!$K34)&gt;=1,"Completado",IF(AND(ISNUMBER('Cronograma R. Normativo'!$E34),'Cronograma R. Normativo'!$E34&lt;FechaRef),"Vencida",IF(N('Cronograma R. Normativo'!$K34)&gt;0,"En curso","Pendiente"))))</f>
        <v/>
      </c>
      <c r="M34" s="41">
        <f>IF('Cronograma R. Normativo'!$A34="","",'Cronograma R. Normativo'!$M34&amp;"")</f>
        <v/>
      </c>
    </row>
    <row r="35">
      <c r="A35" s="22">
        <f>IF('Cronograma R. Normativo'!$A35="","",'Cronograma R. Normativo'!$A35)</f>
        <v/>
      </c>
      <c r="B35" s="41">
        <f>IF('Cronograma R. Normativo'!$A35="","",'Cronograma R. Normativo'!$B35&amp;"")</f>
        <v/>
      </c>
      <c r="C35" s="41">
        <f>IF('Cronograma R. Normativo'!$A35="","",'Cronograma R. Normativo'!$C35&amp;"")</f>
        <v/>
      </c>
      <c r="D35" s="63">
        <f>IF(OR('Cronograma R. Normativo'!$A35="",'Cronograma R. Normativo'!$D35=""),"",'Cronograma R. Normativo'!$D35)</f>
        <v/>
      </c>
      <c r="E35" s="63">
        <f>IF(OR('Cronograma R. Normativo'!$A35="",'Cronograma R. Normativo'!$E35=""),"",'Cronograma R. Normativo'!$E35)</f>
        <v/>
      </c>
      <c r="F35" s="22">
        <f>IF(OR('Cronograma R. Normativo'!$A35="",NOT(ISNUMBER('Cronograma R. Normativo'!$E35))),"",IF('Cronograma R. Normativo'!$E35&lt;InicioCiclo,"Antes del ciclo",IF('Cronograma R. Normativo'!$E35&gt;=InicioCiclo+28,"Después del ciclo","Semana "&amp;(INT(('Cronograma R. Normativo'!$E35-InicioCiclo)/7)+1))))</f>
        <v/>
      </c>
      <c r="G35" s="20">
        <f>IF(OR('Cronograma R. Normativo'!$A35="",'Cronograma R. Normativo'!$G35=""),"",'Cronograma R. Normativo'!$G35)</f>
        <v/>
      </c>
      <c r="H35" s="20">
        <f>IF(OR('Cronograma R. Normativo'!$A35="",'Cronograma R. Normativo'!$H35=""),"",'Cronograma R. Normativo'!$H35)</f>
        <v/>
      </c>
      <c r="I35" s="20">
        <f>IF(OR('Cronograma R. Normativo'!$A35="",'Cronograma R. Normativo'!$I35=""),"",'Cronograma R. Normativo'!$I35)</f>
        <v/>
      </c>
      <c r="J35" s="20">
        <f>IF(OR('Cronograma R. Normativo'!$A35="",'Cronograma R. Normativo'!$J35=""),"",'Cronograma R. Normativo'!$J35)</f>
        <v/>
      </c>
      <c r="K35" s="20">
        <f>IF('Cronograma R. Normativo'!$A35="","",'Cronograma R. Normativo'!$K35)</f>
        <v/>
      </c>
      <c r="L35" s="22">
        <f>IF('Cronograma R. Normativo'!$A35="","",IF(N('Cronograma R. Normativo'!$K35)&gt;=1,"Completado",IF(AND(ISNUMBER('Cronograma R. Normativo'!$E35),'Cronograma R. Normativo'!$E35&lt;FechaRef),"Vencida",IF(N('Cronograma R. Normativo'!$K35)&gt;0,"En curso","Pendiente"))))</f>
        <v/>
      </c>
      <c r="M35" s="41">
        <f>IF('Cronograma R. Normativo'!$A35="","",'Cronograma R. Normativo'!$M35&amp;"")</f>
        <v/>
      </c>
    </row>
    <row r="36">
      <c r="A36" s="22">
        <f>IF('Cronograma R. Normativo'!$A36="","",'Cronograma R. Normativo'!$A36)</f>
        <v/>
      </c>
      <c r="B36" s="41">
        <f>IF('Cronograma R. Normativo'!$A36="","",'Cronograma R. Normativo'!$B36&amp;"")</f>
        <v/>
      </c>
      <c r="C36" s="41">
        <f>IF('Cronograma R. Normativo'!$A36="","",'Cronograma R. Normativo'!$C36&amp;"")</f>
        <v/>
      </c>
      <c r="D36" s="63">
        <f>IF(OR('Cronograma R. Normativo'!$A36="",'Cronograma R. Normativo'!$D36=""),"",'Cronograma R. Normativo'!$D36)</f>
        <v/>
      </c>
      <c r="E36" s="63">
        <f>IF(OR('Cronograma R. Normativo'!$A36="",'Cronograma R. Normativo'!$E36=""),"",'Cronograma R. Normativo'!$E36)</f>
        <v/>
      </c>
      <c r="F36" s="22">
        <f>IF(OR('Cronograma R. Normativo'!$A36="",NOT(ISNUMBER('Cronograma R. Normativo'!$E36))),"",IF('Cronograma R. Normativo'!$E36&lt;InicioCiclo,"Antes del ciclo",IF('Cronograma R. Normativo'!$E36&gt;=InicioCiclo+28,"Después del ciclo","Semana "&amp;(INT(('Cronograma R. Normativo'!$E36-InicioCiclo)/7)+1))))</f>
        <v/>
      </c>
      <c r="G36" s="20">
        <f>IF(OR('Cronograma R. Normativo'!$A36="",'Cronograma R. Normativo'!$G36=""),"",'Cronograma R. Normativo'!$G36)</f>
        <v/>
      </c>
      <c r="H36" s="20">
        <f>IF(OR('Cronograma R. Normativo'!$A36="",'Cronograma R. Normativo'!$H36=""),"",'Cronograma R. Normativo'!$H36)</f>
        <v/>
      </c>
      <c r="I36" s="20">
        <f>IF(OR('Cronograma R. Normativo'!$A36="",'Cronograma R. Normativo'!$I36=""),"",'Cronograma R. Normativo'!$I36)</f>
        <v/>
      </c>
      <c r="J36" s="20">
        <f>IF(OR('Cronograma R. Normativo'!$A36="",'Cronograma R. Normativo'!$J36=""),"",'Cronograma R. Normativo'!$J36)</f>
        <v/>
      </c>
      <c r="K36" s="20">
        <f>IF('Cronograma R. Normativo'!$A36="","",'Cronograma R. Normativo'!$K36)</f>
        <v/>
      </c>
      <c r="L36" s="22">
        <f>IF('Cronograma R. Normativo'!$A36="","",IF(N('Cronograma R. Normativo'!$K36)&gt;=1,"Completado",IF(AND(ISNUMBER('Cronograma R. Normativo'!$E36),'Cronograma R. Normativo'!$E36&lt;FechaRef),"Vencida",IF(N('Cronograma R. Normativo'!$K36)&gt;0,"En curso","Pendiente"))))</f>
        <v/>
      </c>
      <c r="M36" s="41">
        <f>IF('Cronograma R. Normativo'!$A36="","",'Cronograma R. Normativo'!$M36&amp;"")</f>
        <v/>
      </c>
    </row>
    <row r="37">
      <c r="A37" s="22">
        <f>IF('Cronograma R. Normativo'!$A37="","",'Cronograma R. Normativo'!$A37)</f>
        <v/>
      </c>
      <c r="B37" s="41">
        <f>IF('Cronograma R. Normativo'!$A37="","",'Cronograma R. Normativo'!$B37&amp;"")</f>
        <v/>
      </c>
      <c r="C37" s="41">
        <f>IF('Cronograma R. Normativo'!$A37="","",'Cronograma R. Normativo'!$C37&amp;"")</f>
        <v/>
      </c>
      <c r="D37" s="63">
        <f>IF(OR('Cronograma R. Normativo'!$A37="",'Cronograma R. Normativo'!$D37=""),"",'Cronograma R. Normativo'!$D37)</f>
        <v/>
      </c>
      <c r="E37" s="63">
        <f>IF(OR('Cronograma R. Normativo'!$A37="",'Cronograma R. Normativo'!$E37=""),"",'Cronograma R. Normativo'!$E37)</f>
        <v/>
      </c>
      <c r="F37" s="22">
        <f>IF(OR('Cronograma R. Normativo'!$A37="",NOT(ISNUMBER('Cronograma R. Normativo'!$E37))),"",IF('Cronograma R. Normativo'!$E37&lt;InicioCiclo,"Antes del ciclo",IF('Cronograma R. Normativo'!$E37&gt;=InicioCiclo+28,"Después del ciclo","Semana "&amp;(INT(('Cronograma R. Normativo'!$E37-InicioCiclo)/7)+1))))</f>
        <v/>
      </c>
      <c r="G37" s="20">
        <f>IF(OR('Cronograma R. Normativo'!$A37="",'Cronograma R. Normativo'!$G37=""),"",'Cronograma R. Normativo'!$G37)</f>
        <v/>
      </c>
      <c r="H37" s="20">
        <f>IF(OR('Cronograma R. Normativo'!$A37="",'Cronograma R. Normativo'!$H37=""),"",'Cronograma R. Normativo'!$H37)</f>
        <v/>
      </c>
      <c r="I37" s="20">
        <f>IF(OR('Cronograma R. Normativo'!$A37="",'Cronograma R. Normativo'!$I37=""),"",'Cronograma R. Normativo'!$I37)</f>
        <v/>
      </c>
      <c r="J37" s="20">
        <f>IF(OR('Cronograma R. Normativo'!$A37="",'Cronograma R. Normativo'!$J37=""),"",'Cronograma R. Normativo'!$J37)</f>
        <v/>
      </c>
      <c r="K37" s="20">
        <f>IF('Cronograma R. Normativo'!$A37="","",'Cronograma R. Normativo'!$K37)</f>
        <v/>
      </c>
      <c r="L37" s="22">
        <f>IF('Cronograma R. Normativo'!$A37="","",IF(N('Cronograma R. Normativo'!$K37)&gt;=1,"Completado",IF(AND(ISNUMBER('Cronograma R. Normativo'!$E37),'Cronograma R. Normativo'!$E37&lt;FechaRef),"Vencida",IF(N('Cronograma R. Normativo'!$K37)&gt;0,"En curso","Pendiente"))))</f>
        <v/>
      </c>
      <c r="M37" s="41">
        <f>IF('Cronograma R. Normativo'!$A37="","",'Cronograma R. Normativo'!$M37&amp;"")</f>
        <v/>
      </c>
    </row>
    <row r="38">
      <c r="A38" s="22">
        <f>IF('Cronograma R. Normativo'!$A38="","",'Cronograma R. Normativo'!$A38)</f>
        <v/>
      </c>
      <c r="B38" s="41">
        <f>IF('Cronograma R. Normativo'!$A38="","",'Cronograma R. Normativo'!$B38&amp;"")</f>
        <v/>
      </c>
      <c r="C38" s="41">
        <f>IF('Cronograma R. Normativo'!$A38="","",'Cronograma R. Normativo'!$C38&amp;"")</f>
        <v/>
      </c>
      <c r="D38" s="63">
        <f>IF(OR('Cronograma R. Normativo'!$A38="",'Cronograma R. Normativo'!$D38=""),"",'Cronograma R. Normativo'!$D38)</f>
        <v/>
      </c>
      <c r="E38" s="63">
        <f>IF(OR('Cronograma R. Normativo'!$A38="",'Cronograma R. Normativo'!$E38=""),"",'Cronograma R. Normativo'!$E38)</f>
        <v/>
      </c>
      <c r="F38" s="22">
        <f>IF(OR('Cronograma R. Normativo'!$A38="",NOT(ISNUMBER('Cronograma R. Normativo'!$E38))),"",IF('Cronograma R. Normativo'!$E38&lt;InicioCiclo,"Antes del ciclo",IF('Cronograma R. Normativo'!$E38&gt;=InicioCiclo+28,"Después del ciclo","Semana "&amp;(INT(('Cronograma R. Normativo'!$E38-InicioCiclo)/7)+1))))</f>
        <v/>
      </c>
      <c r="G38" s="20">
        <f>IF(OR('Cronograma R. Normativo'!$A38="",'Cronograma R. Normativo'!$G38=""),"",'Cronograma R. Normativo'!$G38)</f>
        <v/>
      </c>
      <c r="H38" s="20">
        <f>IF(OR('Cronograma R. Normativo'!$A38="",'Cronograma R. Normativo'!$H38=""),"",'Cronograma R. Normativo'!$H38)</f>
        <v/>
      </c>
      <c r="I38" s="20">
        <f>IF(OR('Cronograma R. Normativo'!$A38="",'Cronograma R. Normativo'!$I38=""),"",'Cronograma R. Normativo'!$I38)</f>
        <v/>
      </c>
      <c r="J38" s="20">
        <f>IF(OR('Cronograma R. Normativo'!$A38="",'Cronograma R. Normativo'!$J38=""),"",'Cronograma R. Normativo'!$J38)</f>
        <v/>
      </c>
      <c r="K38" s="20">
        <f>IF('Cronograma R. Normativo'!$A38="","",'Cronograma R. Normativo'!$K38)</f>
        <v/>
      </c>
      <c r="L38" s="22">
        <f>IF('Cronograma R. Normativo'!$A38="","",IF(N('Cronograma R. Normativo'!$K38)&gt;=1,"Completado",IF(AND(ISNUMBER('Cronograma R. Normativo'!$E38),'Cronograma R. Normativo'!$E38&lt;FechaRef),"Vencida",IF(N('Cronograma R. Normativo'!$K38)&gt;0,"En curso","Pendiente"))))</f>
        <v/>
      </c>
      <c r="M38" s="41">
        <f>IF('Cronograma R. Normativo'!$A38="","",'Cronograma R. Normativo'!$M38&amp;"")</f>
        <v/>
      </c>
    </row>
    <row r="39">
      <c r="A39" s="22">
        <f>IF('Cronograma R. Normativo'!$A39="","",'Cronograma R. Normativo'!$A39)</f>
        <v/>
      </c>
      <c r="B39" s="41">
        <f>IF('Cronograma R. Normativo'!$A39="","",'Cronograma R. Normativo'!$B39&amp;"")</f>
        <v/>
      </c>
      <c r="C39" s="41">
        <f>IF('Cronograma R. Normativo'!$A39="","",'Cronograma R. Normativo'!$C39&amp;"")</f>
        <v/>
      </c>
      <c r="D39" s="63">
        <f>IF(OR('Cronograma R. Normativo'!$A39="",'Cronograma R. Normativo'!$D39=""),"",'Cronograma R. Normativo'!$D39)</f>
        <v/>
      </c>
      <c r="E39" s="63">
        <f>IF(OR('Cronograma R. Normativo'!$A39="",'Cronograma R. Normativo'!$E39=""),"",'Cronograma R. Normativo'!$E39)</f>
        <v/>
      </c>
      <c r="F39" s="22">
        <f>IF(OR('Cronograma R. Normativo'!$A39="",NOT(ISNUMBER('Cronograma R. Normativo'!$E39))),"",IF('Cronograma R. Normativo'!$E39&lt;InicioCiclo,"Antes del ciclo",IF('Cronograma R. Normativo'!$E39&gt;=InicioCiclo+28,"Después del ciclo","Semana "&amp;(INT(('Cronograma R. Normativo'!$E39-InicioCiclo)/7)+1))))</f>
        <v/>
      </c>
      <c r="G39" s="20">
        <f>IF(OR('Cronograma R. Normativo'!$A39="",'Cronograma R. Normativo'!$G39=""),"",'Cronograma R. Normativo'!$G39)</f>
        <v/>
      </c>
      <c r="H39" s="20">
        <f>IF(OR('Cronograma R. Normativo'!$A39="",'Cronograma R. Normativo'!$H39=""),"",'Cronograma R. Normativo'!$H39)</f>
        <v/>
      </c>
      <c r="I39" s="20">
        <f>IF(OR('Cronograma R. Normativo'!$A39="",'Cronograma R. Normativo'!$I39=""),"",'Cronograma R. Normativo'!$I39)</f>
        <v/>
      </c>
      <c r="J39" s="20">
        <f>IF(OR('Cronograma R. Normativo'!$A39="",'Cronograma R. Normativo'!$J39=""),"",'Cronograma R. Normativo'!$J39)</f>
        <v/>
      </c>
      <c r="K39" s="20">
        <f>IF('Cronograma R. Normativo'!$A39="","",'Cronograma R. Normativo'!$K39)</f>
        <v/>
      </c>
      <c r="L39" s="22">
        <f>IF('Cronograma R. Normativo'!$A39="","",IF(N('Cronograma R. Normativo'!$K39)&gt;=1,"Completado",IF(AND(ISNUMBER('Cronograma R. Normativo'!$E39),'Cronograma R. Normativo'!$E39&lt;FechaRef),"Vencida",IF(N('Cronograma R. Normativo'!$K39)&gt;0,"En curso","Pendiente"))))</f>
        <v/>
      </c>
      <c r="M39" s="41">
        <f>IF('Cronograma R. Normativo'!$A39="","",'Cronograma R. Normativo'!$M39&amp;"")</f>
        <v/>
      </c>
    </row>
    <row r="40">
      <c r="A40" s="22">
        <f>IF('Cronograma R. Normativo'!$A40="","",'Cronograma R. Normativo'!$A40)</f>
        <v/>
      </c>
      <c r="B40" s="41">
        <f>IF('Cronograma R. Normativo'!$A40="","",'Cronograma R. Normativo'!$B40&amp;"")</f>
        <v/>
      </c>
      <c r="C40" s="41">
        <f>IF('Cronograma R. Normativo'!$A40="","",'Cronograma R. Normativo'!$C40&amp;"")</f>
        <v/>
      </c>
      <c r="D40" s="63">
        <f>IF(OR('Cronograma R. Normativo'!$A40="",'Cronograma R. Normativo'!$D40=""),"",'Cronograma R. Normativo'!$D40)</f>
        <v/>
      </c>
      <c r="E40" s="63">
        <f>IF(OR('Cronograma R. Normativo'!$A40="",'Cronograma R. Normativo'!$E40=""),"",'Cronograma R. Normativo'!$E40)</f>
        <v/>
      </c>
      <c r="F40" s="22">
        <f>IF(OR('Cronograma R. Normativo'!$A40="",NOT(ISNUMBER('Cronograma R. Normativo'!$E40))),"",IF('Cronograma R. Normativo'!$E40&lt;InicioCiclo,"Antes del ciclo",IF('Cronograma R. Normativo'!$E40&gt;=InicioCiclo+28,"Después del ciclo","Semana "&amp;(INT(('Cronograma R. Normativo'!$E40-InicioCiclo)/7)+1))))</f>
        <v/>
      </c>
      <c r="G40" s="20">
        <f>IF(OR('Cronograma R. Normativo'!$A40="",'Cronograma R. Normativo'!$G40=""),"",'Cronograma R. Normativo'!$G40)</f>
        <v/>
      </c>
      <c r="H40" s="20">
        <f>IF(OR('Cronograma R. Normativo'!$A40="",'Cronograma R. Normativo'!$H40=""),"",'Cronograma R. Normativo'!$H40)</f>
        <v/>
      </c>
      <c r="I40" s="20">
        <f>IF(OR('Cronograma R. Normativo'!$A40="",'Cronograma R. Normativo'!$I40=""),"",'Cronograma R. Normativo'!$I40)</f>
        <v/>
      </c>
      <c r="J40" s="20">
        <f>IF(OR('Cronograma R. Normativo'!$A40="",'Cronograma R. Normativo'!$J40=""),"",'Cronograma R. Normativo'!$J40)</f>
        <v/>
      </c>
      <c r="K40" s="20">
        <f>IF('Cronograma R. Normativo'!$A40="","",'Cronograma R. Normativo'!$K40)</f>
        <v/>
      </c>
      <c r="L40" s="22">
        <f>IF('Cronograma R. Normativo'!$A40="","",IF(N('Cronograma R. Normativo'!$K40)&gt;=1,"Completado",IF(AND(ISNUMBER('Cronograma R. Normativo'!$E40),'Cronograma R. Normativo'!$E40&lt;FechaRef),"Vencida",IF(N('Cronograma R. Normativo'!$K40)&gt;0,"En curso","Pendiente"))))</f>
        <v/>
      </c>
      <c r="M40" s="41">
        <f>IF('Cronograma R. Normativo'!$A40="","",'Cronograma R. Normativo'!$M40&amp;"")</f>
        <v/>
      </c>
    </row>
    <row r="41">
      <c r="A41" s="22">
        <f>IF('Cronograma R. Normativo'!$A41="","",'Cronograma R. Normativo'!$A41)</f>
        <v/>
      </c>
      <c r="B41" s="41">
        <f>IF('Cronograma R. Normativo'!$A41="","",'Cronograma R. Normativo'!$B41&amp;"")</f>
        <v/>
      </c>
      <c r="C41" s="41">
        <f>IF('Cronograma R. Normativo'!$A41="","",'Cronograma R. Normativo'!$C41&amp;"")</f>
        <v/>
      </c>
      <c r="D41" s="63">
        <f>IF(OR('Cronograma R. Normativo'!$A41="",'Cronograma R. Normativo'!$D41=""),"",'Cronograma R. Normativo'!$D41)</f>
        <v/>
      </c>
      <c r="E41" s="63">
        <f>IF(OR('Cronograma R. Normativo'!$A41="",'Cronograma R. Normativo'!$E41=""),"",'Cronograma R. Normativo'!$E41)</f>
        <v/>
      </c>
      <c r="F41" s="22">
        <f>IF(OR('Cronograma R. Normativo'!$A41="",NOT(ISNUMBER('Cronograma R. Normativo'!$E41))),"",IF('Cronograma R. Normativo'!$E41&lt;InicioCiclo,"Antes del ciclo",IF('Cronograma R. Normativo'!$E41&gt;=InicioCiclo+28,"Después del ciclo","Semana "&amp;(INT(('Cronograma R. Normativo'!$E41-InicioCiclo)/7)+1))))</f>
        <v/>
      </c>
      <c r="G41" s="20">
        <f>IF(OR('Cronograma R. Normativo'!$A41="",'Cronograma R. Normativo'!$G41=""),"",'Cronograma R. Normativo'!$G41)</f>
        <v/>
      </c>
      <c r="H41" s="20">
        <f>IF(OR('Cronograma R. Normativo'!$A41="",'Cronograma R. Normativo'!$H41=""),"",'Cronograma R. Normativo'!$H41)</f>
        <v/>
      </c>
      <c r="I41" s="20">
        <f>IF(OR('Cronograma R. Normativo'!$A41="",'Cronograma R. Normativo'!$I41=""),"",'Cronograma R. Normativo'!$I41)</f>
        <v/>
      </c>
      <c r="J41" s="20">
        <f>IF(OR('Cronograma R. Normativo'!$A41="",'Cronograma R. Normativo'!$J41=""),"",'Cronograma R. Normativo'!$J41)</f>
        <v/>
      </c>
      <c r="K41" s="20">
        <f>IF('Cronograma R. Normativo'!$A41="","",'Cronograma R. Normativo'!$K41)</f>
        <v/>
      </c>
      <c r="L41" s="22">
        <f>IF('Cronograma R. Normativo'!$A41="","",IF(N('Cronograma R. Normativo'!$K41)&gt;=1,"Completado",IF(AND(ISNUMBER('Cronograma R. Normativo'!$E41),'Cronograma R. Normativo'!$E41&lt;FechaRef),"Vencida",IF(N('Cronograma R. Normativo'!$K41)&gt;0,"En curso","Pendiente"))))</f>
        <v/>
      </c>
      <c r="M41" s="41">
        <f>IF('Cronograma R. Normativo'!$A41="","",'Cronograma R. Normativo'!$M41&amp;"")</f>
        <v/>
      </c>
    </row>
    <row r="42">
      <c r="A42" s="22">
        <f>IF('Cronograma R. Normativo'!$A42="","",'Cronograma R. Normativo'!$A42)</f>
        <v/>
      </c>
      <c r="B42" s="41">
        <f>IF('Cronograma R. Normativo'!$A42="","",'Cronograma R. Normativo'!$B42&amp;"")</f>
        <v/>
      </c>
      <c r="C42" s="41">
        <f>IF('Cronograma R. Normativo'!$A42="","",'Cronograma R. Normativo'!$C42&amp;"")</f>
        <v/>
      </c>
      <c r="D42" s="63">
        <f>IF(OR('Cronograma R. Normativo'!$A42="",'Cronograma R. Normativo'!$D42=""),"",'Cronograma R. Normativo'!$D42)</f>
        <v/>
      </c>
      <c r="E42" s="63">
        <f>IF(OR('Cronograma R. Normativo'!$A42="",'Cronograma R. Normativo'!$E42=""),"",'Cronograma R. Normativo'!$E42)</f>
        <v/>
      </c>
      <c r="F42" s="22">
        <f>IF(OR('Cronograma R. Normativo'!$A42="",NOT(ISNUMBER('Cronograma R. Normativo'!$E42))),"",IF('Cronograma R. Normativo'!$E42&lt;InicioCiclo,"Antes del ciclo",IF('Cronograma R. Normativo'!$E42&gt;=InicioCiclo+28,"Después del ciclo","Semana "&amp;(INT(('Cronograma R. Normativo'!$E42-InicioCiclo)/7)+1))))</f>
        <v/>
      </c>
      <c r="G42" s="20">
        <f>IF(OR('Cronograma R. Normativo'!$A42="",'Cronograma R. Normativo'!$G42=""),"",'Cronograma R. Normativo'!$G42)</f>
        <v/>
      </c>
      <c r="H42" s="20">
        <f>IF(OR('Cronograma R. Normativo'!$A42="",'Cronograma R. Normativo'!$H42=""),"",'Cronograma R. Normativo'!$H42)</f>
        <v/>
      </c>
      <c r="I42" s="20">
        <f>IF(OR('Cronograma R. Normativo'!$A42="",'Cronograma R. Normativo'!$I42=""),"",'Cronograma R. Normativo'!$I42)</f>
        <v/>
      </c>
      <c r="J42" s="20">
        <f>IF(OR('Cronograma R. Normativo'!$A42="",'Cronograma R. Normativo'!$J42=""),"",'Cronograma R. Normativo'!$J42)</f>
        <v/>
      </c>
      <c r="K42" s="20">
        <f>IF('Cronograma R. Normativo'!$A42="","",'Cronograma R. Normativo'!$K42)</f>
        <v/>
      </c>
      <c r="L42" s="22">
        <f>IF('Cronograma R. Normativo'!$A42="","",IF(N('Cronograma R. Normativo'!$K42)&gt;=1,"Completado",IF(AND(ISNUMBER('Cronograma R. Normativo'!$E42),'Cronograma R. Normativo'!$E42&lt;FechaRef),"Vencida",IF(N('Cronograma R. Normativo'!$K42)&gt;0,"En curso","Pendiente"))))</f>
        <v/>
      </c>
      <c r="M42" s="41">
        <f>IF('Cronograma R. Normativo'!$A42="","",'Cronograma R. Normativo'!$M42&amp;"")</f>
        <v/>
      </c>
    </row>
    <row r="43">
      <c r="A43" s="22">
        <f>IF('Cronograma R. Normativo'!$A43="","",'Cronograma R. Normativo'!$A43)</f>
        <v/>
      </c>
      <c r="B43" s="41">
        <f>IF('Cronograma R. Normativo'!$A43="","",'Cronograma R. Normativo'!$B43&amp;"")</f>
        <v/>
      </c>
      <c r="C43" s="41">
        <f>IF('Cronograma R. Normativo'!$A43="","",'Cronograma R. Normativo'!$C43&amp;"")</f>
        <v/>
      </c>
      <c r="D43" s="63">
        <f>IF(OR('Cronograma R. Normativo'!$A43="",'Cronograma R. Normativo'!$D43=""),"",'Cronograma R. Normativo'!$D43)</f>
        <v/>
      </c>
      <c r="E43" s="63">
        <f>IF(OR('Cronograma R. Normativo'!$A43="",'Cronograma R. Normativo'!$E43=""),"",'Cronograma R. Normativo'!$E43)</f>
        <v/>
      </c>
      <c r="F43" s="22">
        <f>IF(OR('Cronograma R. Normativo'!$A43="",NOT(ISNUMBER('Cronograma R. Normativo'!$E43))),"",IF('Cronograma R. Normativo'!$E43&lt;InicioCiclo,"Antes del ciclo",IF('Cronograma R. Normativo'!$E43&gt;=InicioCiclo+28,"Después del ciclo","Semana "&amp;(INT(('Cronograma R. Normativo'!$E43-InicioCiclo)/7)+1))))</f>
        <v/>
      </c>
      <c r="G43" s="20">
        <f>IF(OR('Cronograma R. Normativo'!$A43="",'Cronograma R. Normativo'!$G43=""),"",'Cronograma R. Normativo'!$G43)</f>
        <v/>
      </c>
      <c r="H43" s="20">
        <f>IF(OR('Cronograma R. Normativo'!$A43="",'Cronograma R. Normativo'!$H43=""),"",'Cronograma R. Normativo'!$H43)</f>
        <v/>
      </c>
      <c r="I43" s="20">
        <f>IF(OR('Cronograma R. Normativo'!$A43="",'Cronograma R. Normativo'!$I43=""),"",'Cronograma R. Normativo'!$I43)</f>
        <v/>
      </c>
      <c r="J43" s="20">
        <f>IF(OR('Cronograma R. Normativo'!$A43="",'Cronograma R. Normativo'!$J43=""),"",'Cronograma R. Normativo'!$J43)</f>
        <v/>
      </c>
      <c r="K43" s="20">
        <f>IF('Cronograma R. Normativo'!$A43="","",'Cronograma R. Normativo'!$K43)</f>
        <v/>
      </c>
      <c r="L43" s="22">
        <f>IF('Cronograma R. Normativo'!$A43="","",IF(N('Cronograma R. Normativo'!$K43)&gt;=1,"Completado",IF(AND(ISNUMBER('Cronograma R. Normativo'!$E43),'Cronograma R. Normativo'!$E43&lt;FechaRef),"Vencida",IF(N('Cronograma R. Normativo'!$K43)&gt;0,"En curso","Pendiente"))))</f>
        <v/>
      </c>
      <c r="M43" s="41">
        <f>IF('Cronograma R. Normativo'!$A43="","",'Cronograma R. Normativo'!$M43&amp;"")</f>
        <v/>
      </c>
    </row>
    <row r="44">
      <c r="A44" s="22">
        <f>IF('Cronograma R. Normativo'!$A44="","",'Cronograma R. Normativo'!$A44)</f>
        <v/>
      </c>
      <c r="B44" s="41">
        <f>IF('Cronograma R. Normativo'!$A44="","",'Cronograma R. Normativo'!$B44&amp;"")</f>
        <v/>
      </c>
      <c r="C44" s="41">
        <f>IF('Cronograma R. Normativo'!$A44="","",'Cronograma R. Normativo'!$C44&amp;"")</f>
        <v/>
      </c>
      <c r="D44" s="63">
        <f>IF(OR('Cronograma R. Normativo'!$A44="",'Cronograma R. Normativo'!$D44=""),"",'Cronograma R. Normativo'!$D44)</f>
        <v/>
      </c>
      <c r="E44" s="63">
        <f>IF(OR('Cronograma R. Normativo'!$A44="",'Cronograma R. Normativo'!$E44=""),"",'Cronograma R. Normativo'!$E44)</f>
        <v/>
      </c>
      <c r="F44" s="22">
        <f>IF(OR('Cronograma R. Normativo'!$A44="",NOT(ISNUMBER('Cronograma R. Normativo'!$E44))),"",IF('Cronograma R. Normativo'!$E44&lt;InicioCiclo,"Antes del ciclo",IF('Cronograma R. Normativo'!$E44&gt;=InicioCiclo+28,"Después del ciclo","Semana "&amp;(INT(('Cronograma R. Normativo'!$E44-InicioCiclo)/7)+1))))</f>
        <v/>
      </c>
      <c r="G44" s="20">
        <f>IF(OR('Cronograma R. Normativo'!$A44="",'Cronograma R. Normativo'!$G44=""),"",'Cronograma R. Normativo'!$G44)</f>
        <v/>
      </c>
      <c r="H44" s="20">
        <f>IF(OR('Cronograma R. Normativo'!$A44="",'Cronograma R. Normativo'!$H44=""),"",'Cronograma R. Normativo'!$H44)</f>
        <v/>
      </c>
      <c r="I44" s="20">
        <f>IF(OR('Cronograma R. Normativo'!$A44="",'Cronograma R. Normativo'!$I44=""),"",'Cronograma R. Normativo'!$I44)</f>
        <v/>
      </c>
      <c r="J44" s="20">
        <f>IF(OR('Cronograma R. Normativo'!$A44="",'Cronograma R. Normativo'!$J44=""),"",'Cronograma R. Normativo'!$J44)</f>
        <v/>
      </c>
      <c r="K44" s="20">
        <f>IF('Cronograma R. Normativo'!$A44="","",'Cronograma R. Normativo'!$K44)</f>
        <v/>
      </c>
      <c r="L44" s="22">
        <f>IF('Cronograma R. Normativo'!$A44="","",IF(N('Cronograma R. Normativo'!$K44)&gt;=1,"Completado",IF(AND(ISNUMBER('Cronograma R. Normativo'!$E44),'Cronograma R. Normativo'!$E44&lt;FechaRef),"Vencida",IF(N('Cronograma R. Normativo'!$K44)&gt;0,"En curso","Pendiente"))))</f>
        <v/>
      </c>
      <c r="M44" s="41">
        <f>IF('Cronograma R. Normativo'!$A44="","",'Cronograma R. Normativo'!$M44&amp;"")</f>
        <v/>
      </c>
    </row>
    <row r="45">
      <c r="A45" s="22">
        <f>IF('Cronograma R. Normativo'!$A45="","",'Cronograma R. Normativo'!$A45)</f>
        <v/>
      </c>
      <c r="B45" s="41">
        <f>IF('Cronograma R. Normativo'!$A45="","",'Cronograma R. Normativo'!$B45&amp;"")</f>
        <v/>
      </c>
      <c r="C45" s="41">
        <f>IF('Cronograma R. Normativo'!$A45="","",'Cronograma R. Normativo'!$C45&amp;"")</f>
        <v/>
      </c>
      <c r="D45" s="63">
        <f>IF(OR('Cronograma R. Normativo'!$A45="",'Cronograma R. Normativo'!$D45=""),"",'Cronograma R. Normativo'!$D45)</f>
        <v/>
      </c>
      <c r="E45" s="63">
        <f>IF(OR('Cronograma R. Normativo'!$A45="",'Cronograma R. Normativo'!$E45=""),"",'Cronograma R. Normativo'!$E45)</f>
        <v/>
      </c>
      <c r="F45" s="22">
        <f>IF(OR('Cronograma R. Normativo'!$A45="",NOT(ISNUMBER('Cronograma R. Normativo'!$E45))),"",IF('Cronograma R. Normativo'!$E45&lt;InicioCiclo,"Antes del ciclo",IF('Cronograma R. Normativo'!$E45&gt;=InicioCiclo+28,"Después del ciclo","Semana "&amp;(INT(('Cronograma R. Normativo'!$E45-InicioCiclo)/7)+1))))</f>
        <v/>
      </c>
      <c r="G45" s="20">
        <f>IF(OR('Cronograma R. Normativo'!$A45="",'Cronograma R. Normativo'!$G45=""),"",'Cronograma R. Normativo'!$G45)</f>
        <v/>
      </c>
      <c r="H45" s="20">
        <f>IF(OR('Cronograma R. Normativo'!$A45="",'Cronograma R. Normativo'!$H45=""),"",'Cronograma R. Normativo'!$H45)</f>
        <v/>
      </c>
      <c r="I45" s="20">
        <f>IF(OR('Cronograma R. Normativo'!$A45="",'Cronograma R. Normativo'!$I45=""),"",'Cronograma R. Normativo'!$I45)</f>
        <v/>
      </c>
      <c r="J45" s="20">
        <f>IF(OR('Cronograma R. Normativo'!$A45="",'Cronograma R. Normativo'!$J45=""),"",'Cronograma R. Normativo'!$J45)</f>
        <v/>
      </c>
      <c r="K45" s="20">
        <f>IF('Cronograma R. Normativo'!$A45="","",'Cronograma R. Normativo'!$K45)</f>
        <v/>
      </c>
      <c r="L45" s="22">
        <f>IF('Cronograma R. Normativo'!$A45="","",IF(N('Cronograma R. Normativo'!$K45)&gt;=1,"Completado",IF(AND(ISNUMBER('Cronograma R. Normativo'!$E45),'Cronograma R. Normativo'!$E45&lt;FechaRef),"Vencida",IF(N('Cronograma R. Normativo'!$K45)&gt;0,"En curso","Pendiente"))))</f>
        <v/>
      </c>
      <c r="M45" s="41">
        <f>IF('Cronograma R. Normativo'!$A45="","",'Cronograma R. Normativo'!$M45&amp;"")</f>
        <v/>
      </c>
    </row>
    <row r="46">
      <c r="A46" s="22">
        <f>IF('Cronograma R. Normativo'!$A46="","",'Cronograma R. Normativo'!$A46)</f>
        <v/>
      </c>
      <c r="B46" s="41">
        <f>IF('Cronograma R. Normativo'!$A46="","",'Cronograma R. Normativo'!$B46&amp;"")</f>
        <v/>
      </c>
      <c r="C46" s="41">
        <f>IF('Cronograma R. Normativo'!$A46="","",'Cronograma R. Normativo'!$C46&amp;"")</f>
        <v/>
      </c>
      <c r="D46" s="63">
        <f>IF(OR('Cronograma R. Normativo'!$A46="",'Cronograma R. Normativo'!$D46=""),"",'Cronograma R. Normativo'!$D46)</f>
        <v/>
      </c>
      <c r="E46" s="63">
        <f>IF(OR('Cronograma R. Normativo'!$A46="",'Cronograma R. Normativo'!$E46=""),"",'Cronograma R. Normativo'!$E46)</f>
        <v/>
      </c>
      <c r="F46" s="22">
        <f>IF(OR('Cronograma R. Normativo'!$A46="",NOT(ISNUMBER('Cronograma R. Normativo'!$E46))),"",IF('Cronograma R. Normativo'!$E46&lt;InicioCiclo,"Antes del ciclo",IF('Cronograma R. Normativo'!$E46&gt;=InicioCiclo+28,"Después del ciclo","Semana "&amp;(INT(('Cronograma R. Normativo'!$E46-InicioCiclo)/7)+1))))</f>
        <v/>
      </c>
      <c r="G46" s="20">
        <f>IF(OR('Cronograma R. Normativo'!$A46="",'Cronograma R. Normativo'!$G46=""),"",'Cronograma R. Normativo'!$G46)</f>
        <v/>
      </c>
      <c r="H46" s="20">
        <f>IF(OR('Cronograma R. Normativo'!$A46="",'Cronograma R. Normativo'!$H46=""),"",'Cronograma R. Normativo'!$H46)</f>
        <v/>
      </c>
      <c r="I46" s="20">
        <f>IF(OR('Cronograma R. Normativo'!$A46="",'Cronograma R. Normativo'!$I46=""),"",'Cronograma R. Normativo'!$I46)</f>
        <v/>
      </c>
      <c r="J46" s="20">
        <f>IF(OR('Cronograma R. Normativo'!$A46="",'Cronograma R. Normativo'!$J46=""),"",'Cronograma R. Normativo'!$J46)</f>
        <v/>
      </c>
      <c r="K46" s="20">
        <f>IF('Cronograma R. Normativo'!$A46="","",'Cronograma R. Normativo'!$K46)</f>
        <v/>
      </c>
      <c r="L46" s="22">
        <f>IF('Cronograma R. Normativo'!$A46="","",IF(N('Cronograma R. Normativo'!$K46)&gt;=1,"Completado",IF(AND(ISNUMBER('Cronograma R. Normativo'!$E46),'Cronograma R. Normativo'!$E46&lt;FechaRef),"Vencida",IF(N('Cronograma R. Normativo'!$K46)&gt;0,"En curso","Pendiente"))))</f>
        <v/>
      </c>
      <c r="M46" s="41">
        <f>IF('Cronograma R. Normativo'!$A46="","",'Cronograma R. Normativo'!$M46&amp;"")</f>
        <v/>
      </c>
    </row>
    <row r="47">
      <c r="A47" s="22">
        <f>IF('Cronograma R. Normativo'!$A47="","",'Cronograma R. Normativo'!$A47)</f>
        <v/>
      </c>
      <c r="B47" s="41">
        <f>IF('Cronograma R. Normativo'!$A47="","",'Cronograma R. Normativo'!$B47&amp;"")</f>
        <v/>
      </c>
      <c r="C47" s="41">
        <f>IF('Cronograma R. Normativo'!$A47="","",'Cronograma R. Normativo'!$C47&amp;"")</f>
        <v/>
      </c>
      <c r="D47" s="63">
        <f>IF(OR('Cronograma R. Normativo'!$A47="",'Cronograma R. Normativo'!$D47=""),"",'Cronograma R. Normativo'!$D47)</f>
        <v/>
      </c>
      <c r="E47" s="63">
        <f>IF(OR('Cronograma R. Normativo'!$A47="",'Cronograma R. Normativo'!$E47=""),"",'Cronograma R. Normativo'!$E47)</f>
        <v/>
      </c>
      <c r="F47" s="22">
        <f>IF(OR('Cronograma R. Normativo'!$A47="",NOT(ISNUMBER('Cronograma R. Normativo'!$E47))),"",IF('Cronograma R. Normativo'!$E47&lt;InicioCiclo,"Antes del ciclo",IF('Cronograma R. Normativo'!$E47&gt;=InicioCiclo+28,"Después del ciclo","Semana "&amp;(INT(('Cronograma R. Normativo'!$E47-InicioCiclo)/7)+1))))</f>
        <v/>
      </c>
      <c r="G47" s="20">
        <f>IF(OR('Cronograma R. Normativo'!$A47="",'Cronograma R. Normativo'!$G47=""),"",'Cronograma R. Normativo'!$G47)</f>
        <v/>
      </c>
      <c r="H47" s="20">
        <f>IF(OR('Cronograma R. Normativo'!$A47="",'Cronograma R. Normativo'!$H47=""),"",'Cronograma R. Normativo'!$H47)</f>
        <v/>
      </c>
      <c r="I47" s="20">
        <f>IF(OR('Cronograma R. Normativo'!$A47="",'Cronograma R. Normativo'!$I47=""),"",'Cronograma R. Normativo'!$I47)</f>
        <v/>
      </c>
      <c r="J47" s="20">
        <f>IF(OR('Cronograma R. Normativo'!$A47="",'Cronograma R. Normativo'!$J47=""),"",'Cronograma R. Normativo'!$J47)</f>
        <v/>
      </c>
      <c r="K47" s="20">
        <f>IF('Cronograma R. Normativo'!$A47="","",'Cronograma R. Normativo'!$K47)</f>
        <v/>
      </c>
      <c r="L47" s="22">
        <f>IF('Cronograma R. Normativo'!$A47="","",IF(N('Cronograma R. Normativo'!$K47)&gt;=1,"Completado",IF(AND(ISNUMBER('Cronograma R. Normativo'!$E47),'Cronograma R. Normativo'!$E47&lt;FechaRef),"Vencida",IF(N('Cronograma R. Normativo'!$K47)&gt;0,"En curso","Pendiente"))))</f>
        <v/>
      </c>
      <c r="M47" s="41">
        <f>IF('Cronograma R. Normativo'!$A47="","",'Cronograma R. Normativo'!$M47&amp;"")</f>
        <v/>
      </c>
    </row>
    <row r="48">
      <c r="A48" s="22">
        <f>IF('Cronograma R. Normativo'!$A48="","",'Cronograma R. Normativo'!$A48)</f>
        <v/>
      </c>
      <c r="B48" s="41">
        <f>IF('Cronograma R. Normativo'!$A48="","",'Cronograma R. Normativo'!$B48&amp;"")</f>
        <v/>
      </c>
      <c r="C48" s="41">
        <f>IF('Cronograma R. Normativo'!$A48="","",'Cronograma R. Normativo'!$C48&amp;"")</f>
        <v/>
      </c>
      <c r="D48" s="63">
        <f>IF(OR('Cronograma R. Normativo'!$A48="",'Cronograma R. Normativo'!$D48=""),"",'Cronograma R. Normativo'!$D48)</f>
        <v/>
      </c>
      <c r="E48" s="63">
        <f>IF(OR('Cronograma R. Normativo'!$A48="",'Cronograma R. Normativo'!$E48=""),"",'Cronograma R. Normativo'!$E48)</f>
        <v/>
      </c>
      <c r="F48" s="22">
        <f>IF(OR('Cronograma R. Normativo'!$A48="",NOT(ISNUMBER('Cronograma R. Normativo'!$E48))),"",IF('Cronograma R. Normativo'!$E48&lt;InicioCiclo,"Antes del ciclo",IF('Cronograma R. Normativo'!$E48&gt;=InicioCiclo+28,"Después del ciclo","Semana "&amp;(INT(('Cronograma R. Normativo'!$E48-InicioCiclo)/7)+1))))</f>
        <v/>
      </c>
      <c r="G48" s="20">
        <f>IF(OR('Cronograma R. Normativo'!$A48="",'Cronograma R. Normativo'!$G48=""),"",'Cronograma R. Normativo'!$G48)</f>
        <v/>
      </c>
      <c r="H48" s="20">
        <f>IF(OR('Cronograma R. Normativo'!$A48="",'Cronograma R. Normativo'!$H48=""),"",'Cronograma R. Normativo'!$H48)</f>
        <v/>
      </c>
      <c r="I48" s="20">
        <f>IF(OR('Cronograma R. Normativo'!$A48="",'Cronograma R. Normativo'!$I48=""),"",'Cronograma R. Normativo'!$I48)</f>
        <v/>
      </c>
      <c r="J48" s="20">
        <f>IF(OR('Cronograma R. Normativo'!$A48="",'Cronograma R. Normativo'!$J48=""),"",'Cronograma R. Normativo'!$J48)</f>
        <v/>
      </c>
      <c r="K48" s="20">
        <f>IF('Cronograma R. Normativo'!$A48="","",'Cronograma R. Normativo'!$K48)</f>
        <v/>
      </c>
      <c r="L48" s="22">
        <f>IF('Cronograma R. Normativo'!$A48="","",IF(N('Cronograma R. Normativo'!$K48)&gt;=1,"Completado",IF(AND(ISNUMBER('Cronograma R. Normativo'!$E48),'Cronograma R. Normativo'!$E48&lt;FechaRef),"Vencida",IF(N('Cronograma R. Normativo'!$K48)&gt;0,"En curso","Pendiente"))))</f>
        <v/>
      </c>
      <c r="M48" s="41">
        <f>IF('Cronograma R. Normativo'!$A48="","",'Cronograma R. Normativo'!$M48&amp;"")</f>
        <v/>
      </c>
    </row>
    <row r="49">
      <c r="A49" s="22">
        <f>IF('Cronograma R. Normativo'!$A49="","",'Cronograma R. Normativo'!$A49)</f>
        <v/>
      </c>
      <c r="B49" s="41">
        <f>IF('Cronograma R. Normativo'!$A49="","",'Cronograma R. Normativo'!$B49&amp;"")</f>
        <v/>
      </c>
      <c r="C49" s="41">
        <f>IF('Cronograma R. Normativo'!$A49="","",'Cronograma R. Normativo'!$C49&amp;"")</f>
        <v/>
      </c>
      <c r="D49" s="63">
        <f>IF(OR('Cronograma R. Normativo'!$A49="",'Cronograma R. Normativo'!$D49=""),"",'Cronograma R. Normativo'!$D49)</f>
        <v/>
      </c>
      <c r="E49" s="63">
        <f>IF(OR('Cronograma R. Normativo'!$A49="",'Cronograma R. Normativo'!$E49=""),"",'Cronograma R. Normativo'!$E49)</f>
        <v/>
      </c>
      <c r="F49" s="22">
        <f>IF(OR('Cronograma R. Normativo'!$A49="",NOT(ISNUMBER('Cronograma R. Normativo'!$E49))),"",IF('Cronograma R. Normativo'!$E49&lt;InicioCiclo,"Antes del ciclo",IF('Cronograma R. Normativo'!$E49&gt;=InicioCiclo+28,"Después del ciclo","Semana "&amp;(INT(('Cronograma R. Normativo'!$E49-InicioCiclo)/7)+1))))</f>
        <v/>
      </c>
      <c r="G49" s="20">
        <f>IF(OR('Cronograma R. Normativo'!$A49="",'Cronograma R. Normativo'!$G49=""),"",'Cronograma R. Normativo'!$G49)</f>
        <v/>
      </c>
      <c r="H49" s="20">
        <f>IF(OR('Cronograma R. Normativo'!$A49="",'Cronograma R. Normativo'!$H49=""),"",'Cronograma R. Normativo'!$H49)</f>
        <v/>
      </c>
      <c r="I49" s="20">
        <f>IF(OR('Cronograma R. Normativo'!$A49="",'Cronograma R. Normativo'!$I49=""),"",'Cronograma R. Normativo'!$I49)</f>
        <v/>
      </c>
      <c r="J49" s="20">
        <f>IF(OR('Cronograma R. Normativo'!$A49="",'Cronograma R. Normativo'!$J49=""),"",'Cronograma R. Normativo'!$J49)</f>
        <v/>
      </c>
      <c r="K49" s="20">
        <f>IF('Cronograma R. Normativo'!$A49="","",'Cronograma R. Normativo'!$K49)</f>
        <v/>
      </c>
      <c r="L49" s="22">
        <f>IF('Cronograma R. Normativo'!$A49="","",IF(N('Cronograma R. Normativo'!$K49)&gt;=1,"Completado",IF(AND(ISNUMBER('Cronograma R. Normativo'!$E49),'Cronograma R. Normativo'!$E49&lt;FechaRef),"Vencida",IF(N('Cronograma R. Normativo'!$K49)&gt;0,"En curso","Pendiente"))))</f>
        <v/>
      </c>
      <c r="M49" s="41">
        <f>IF('Cronograma R. Normativo'!$A49="","",'Cronograma R. Normativo'!$M49&amp;"")</f>
        <v/>
      </c>
    </row>
    <row r="50">
      <c r="A50" s="22">
        <f>IF('Cronograma R. Normativo'!$A50="","",'Cronograma R. Normativo'!$A50)</f>
        <v/>
      </c>
      <c r="B50" s="41">
        <f>IF('Cronograma R. Normativo'!$A50="","",'Cronograma R. Normativo'!$B50&amp;"")</f>
        <v/>
      </c>
      <c r="C50" s="41">
        <f>IF('Cronograma R. Normativo'!$A50="","",'Cronograma R. Normativo'!$C50&amp;"")</f>
        <v/>
      </c>
      <c r="D50" s="63">
        <f>IF(OR('Cronograma R. Normativo'!$A50="",'Cronograma R. Normativo'!$D50=""),"",'Cronograma R. Normativo'!$D50)</f>
        <v/>
      </c>
      <c r="E50" s="63">
        <f>IF(OR('Cronograma R. Normativo'!$A50="",'Cronograma R. Normativo'!$E50=""),"",'Cronograma R. Normativo'!$E50)</f>
        <v/>
      </c>
      <c r="F50" s="22">
        <f>IF(OR('Cronograma R. Normativo'!$A50="",NOT(ISNUMBER('Cronograma R. Normativo'!$E50))),"",IF('Cronograma R. Normativo'!$E50&lt;InicioCiclo,"Antes del ciclo",IF('Cronograma R. Normativo'!$E50&gt;=InicioCiclo+28,"Después del ciclo","Semana "&amp;(INT(('Cronograma R. Normativo'!$E50-InicioCiclo)/7)+1))))</f>
        <v/>
      </c>
      <c r="G50" s="20">
        <f>IF(OR('Cronograma R. Normativo'!$A50="",'Cronograma R. Normativo'!$G50=""),"",'Cronograma R. Normativo'!$G50)</f>
        <v/>
      </c>
      <c r="H50" s="20">
        <f>IF(OR('Cronograma R. Normativo'!$A50="",'Cronograma R. Normativo'!$H50=""),"",'Cronograma R. Normativo'!$H50)</f>
        <v/>
      </c>
      <c r="I50" s="20">
        <f>IF(OR('Cronograma R. Normativo'!$A50="",'Cronograma R. Normativo'!$I50=""),"",'Cronograma R. Normativo'!$I50)</f>
        <v/>
      </c>
      <c r="J50" s="20">
        <f>IF(OR('Cronograma R. Normativo'!$A50="",'Cronograma R. Normativo'!$J50=""),"",'Cronograma R. Normativo'!$J50)</f>
        <v/>
      </c>
      <c r="K50" s="20">
        <f>IF('Cronograma R. Normativo'!$A50="","",'Cronograma R. Normativo'!$K50)</f>
        <v/>
      </c>
      <c r="L50" s="22">
        <f>IF('Cronograma R. Normativo'!$A50="","",IF(N('Cronograma R. Normativo'!$K50)&gt;=1,"Completado",IF(AND(ISNUMBER('Cronograma R. Normativo'!$E50),'Cronograma R. Normativo'!$E50&lt;FechaRef),"Vencida",IF(N('Cronograma R. Normativo'!$K50)&gt;0,"En curso","Pendiente"))))</f>
        <v/>
      </c>
      <c r="M50" s="41">
        <f>IF('Cronograma R. Normativo'!$A50="","",'Cronograma R. Normativo'!$M50&amp;"")</f>
        <v/>
      </c>
    </row>
    <row r="51">
      <c r="A51" s="22">
        <f>IF('Cronograma R. Normativo'!$A51="","",'Cronograma R. Normativo'!$A51)</f>
        <v/>
      </c>
      <c r="B51" s="41">
        <f>IF('Cronograma R. Normativo'!$A51="","",'Cronograma R. Normativo'!$B51&amp;"")</f>
        <v/>
      </c>
      <c r="C51" s="41">
        <f>IF('Cronograma R. Normativo'!$A51="","",'Cronograma R. Normativo'!$C51&amp;"")</f>
        <v/>
      </c>
      <c r="D51" s="63">
        <f>IF(OR('Cronograma R. Normativo'!$A51="",'Cronograma R. Normativo'!$D51=""),"",'Cronograma R. Normativo'!$D51)</f>
        <v/>
      </c>
      <c r="E51" s="63">
        <f>IF(OR('Cronograma R. Normativo'!$A51="",'Cronograma R. Normativo'!$E51=""),"",'Cronograma R. Normativo'!$E51)</f>
        <v/>
      </c>
      <c r="F51" s="22">
        <f>IF(OR('Cronograma R. Normativo'!$A51="",NOT(ISNUMBER('Cronograma R. Normativo'!$E51))),"",IF('Cronograma R. Normativo'!$E51&lt;InicioCiclo,"Antes del ciclo",IF('Cronograma R. Normativo'!$E51&gt;=InicioCiclo+28,"Después del ciclo","Semana "&amp;(INT(('Cronograma R. Normativo'!$E51-InicioCiclo)/7)+1))))</f>
        <v/>
      </c>
      <c r="G51" s="20">
        <f>IF(OR('Cronograma R. Normativo'!$A51="",'Cronograma R. Normativo'!$G51=""),"",'Cronograma R. Normativo'!$G51)</f>
        <v/>
      </c>
      <c r="H51" s="20">
        <f>IF(OR('Cronograma R. Normativo'!$A51="",'Cronograma R. Normativo'!$H51=""),"",'Cronograma R. Normativo'!$H51)</f>
        <v/>
      </c>
      <c r="I51" s="20">
        <f>IF(OR('Cronograma R. Normativo'!$A51="",'Cronograma R. Normativo'!$I51=""),"",'Cronograma R. Normativo'!$I51)</f>
        <v/>
      </c>
      <c r="J51" s="20">
        <f>IF(OR('Cronograma R. Normativo'!$A51="",'Cronograma R. Normativo'!$J51=""),"",'Cronograma R. Normativo'!$J51)</f>
        <v/>
      </c>
      <c r="K51" s="20">
        <f>IF('Cronograma R. Normativo'!$A51="","",'Cronograma R. Normativo'!$K51)</f>
        <v/>
      </c>
      <c r="L51" s="22">
        <f>IF('Cronograma R. Normativo'!$A51="","",IF(N('Cronograma R. Normativo'!$K51)&gt;=1,"Completado",IF(AND(ISNUMBER('Cronograma R. Normativo'!$E51),'Cronograma R. Normativo'!$E51&lt;FechaRef),"Vencida",IF(N('Cronograma R. Normativo'!$K51)&gt;0,"En curso","Pendiente"))))</f>
        <v/>
      </c>
      <c r="M51" s="41">
        <f>IF('Cronograma R. Normativo'!$A51="","",'Cronograma R. Normativo'!$M51&amp;"")</f>
        <v/>
      </c>
    </row>
    <row r="52">
      <c r="A52" s="22">
        <f>IF('Cronograma R. Normativo'!$A52="","",'Cronograma R. Normativo'!$A52)</f>
        <v/>
      </c>
      <c r="B52" s="41">
        <f>IF('Cronograma R. Normativo'!$A52="","",'Cronograma R. Normativo'!$B52&amp;"")</f>
        <v/>
      </c>
      <c r="C52" s="41">
        <f>IF('Cronograma R. Normativo'!$A52="","",'Cronograma R. Normativo'!$C52&amp;"")</f>
        <v/>
      </c>
      <c r="D52" s="63">
        <f>IF(OR('Cronograma R. Normativo'!$A52="",'Cronograma R. Normativo'!$D52=""),"",'Cronograma R. Normativo'!$D52)</f>
        <v/>
      </c>
      <c r="E52" s="63">
        <f>IF(OR('Cronograma R. Normativo'!$A52="",'Cronograma R. Normativo'!$E52=""),"",'Cronograma R. Normativo'!$E52)</f>
        <v/>
      </c>
      <c r="F52" s="22">
        <f>IF(OR('Cronograma R. Normativo'!$A52="",NOT(ISNUMBER('Cronograma R. Normativo'!$E52))),"",IF('Cronograma R. Normativo'!$E52&lt;InicioCiclo,"Antes del ciclo",IF('Cronograma R. Normativo'!$E52&gt;=InicioCiclo+28,"Después del ciclo","Semana "&amp;(INT(('Cronograma R. Normativo'!$E52-InicioCiclo)/7)+1))))</f>
        <v/>
      </c>
      <c r="G52" s="20">
        <f>IF(OR('Cronograma R. Normativo'!$A52="",'Cronograma R. Normativo'!$G52=""),"",'Cronograma R. Normativo'!$G52)</f>
        <v/>
      </c>
      <c r="H52" s="20">
        <f>IF(OR('Cronograma R. Normativo'!$A52="",'Cronograma R. Normativo'!$H52=""),"",'Cronograma R. Normativo'!$H52)</f>
        <v/>
      </c>
      <c r="I52" s="20">
        <f>IF(OR('Cronograma R. Normativo'!$A52="",'Cronograma R. Normativo'!$I52=""),"",'Cronograma R. Normativo'!$I52)</f>
        <v/>
      </c>
      <c r="J52" s="20">
        <f>IF(OR('Cronograma R. Normativo'!$A52="",'Cronograma R. Normativo'!$J52=""),"",'Cronograma R. Normativo'!$J52)</f>
        <v/>
      </c>
      <c r="K52" s="20">
        <f>IF('Cronograma R. Normativo'!$A52="","",'Cronograma R. Normativo'!$K52)</f>
        <v/>
      </c>
      <c r="L52" s="22">
        <f>IF('Cronograma R. Normativo'!$A52="","",IF(N('Cronograma R. Normativo'!$K52)&gt;=1,"Completado",IF(AND(ISNUMBER('Cronograma R. Normativo'!$E52),'Cronograma R. Normativo'!$E52&lt;FechaRef),"Vencida",IF(N('Cronograma R. Normativo'!$K52)&gt;0,"En curso","Pendiente"))))</f>
        <v/>
      </c>
      <c r="M52" s="41">
        <f>IF('Cronograma R. Normativo'!$A52="","",'Cronograma R. Normativo'!$M52&amp;"")</f>
        <v/>
      </c>
    </row>
    <row r="53">
      <c r="A53" s="22">
        <f>IF('Cronograma R. Normativo'!$A53="","",'Cronograma R. Normativo'!$A53)</f>
        <v/>
      </c>
      <c r="B53" s="41">
        <f>IF('Cronograma R. Normativo'!$A53="","",'Cronograma R. Normativo'!$B53&amp;"")</f>
        <v/>
      </c>
      <c r="C53" s="41">
        <f>IF('Cronograma R. Normativo'!$A53="","",'Cronograma R. Normativo'!$C53&amp;"")</f>
        <v/>
      </c>
      <c r="D53" s="63">
        <f>IF(OR('Cronograma R. Normativo'!$A53="",'Cronograma R. Normativo'!$D53=""),"",'Cronograma R. Normativo'!$D53)</f>
        <v/>
      </c>
      <c r="E53" s="63">
        <f>IF(OR('Cronograma R. Normativo'!$A53="",'Cronograma R. Normativo'!$E53=""),"",'Cronograma R. Normativo'!$E53)</f>
        <v/>
      </c>
      <c r="F53" s="22">
        <f>IF(OR('Cronograma R. Normativo'!$A53="",NOT(ISNUMBER('Cronograma R. Normativo'!$E53))),"",IF('Cronograma R. Normativo'!$E53&lt;InicioCiclo,"Antes del ciclo",IF('Cronograma R. Normativo'!$E53&gt;=InicioCiclo+28,"Después del ciclo","Semana "&amp;(INT(('Cronograma R. Normativo'!$E53-InicioCiclo)/7)+1))))</f>
        <v/>
      </c>
      <c r="G53" s="20">
        <f>IF(OR('Cronograma R. Normativo'!$A53="",'Cronograma R. Normativo'!$G53=""),"",'Cronograma R. Normativo'!$G53)</f>
        <v/>
      </c>
      <c r="H53" s="20">
        <f>IF(OR('Cronograma R. Normativo'!$A53="",'Cronograma R. Normativo'!$H53=""),"",'Cronograma R. Normativo'!$H53)</f>
        <v/>
      </c>
      <c r="I53" s="20">
        <f>IF(OR('Cronograma R. Normativo'!$A53="",'Cronograma R. Normativo'!$I53=""),"",'Cronograma R. Normativo'!$I53)</f>
        <v/>
      </c>
      <c r="J53" s="20">
        <f>IF(OR('Cronograma R. Normativo'!$A53="",'Cronograma R. Normativo'!$J53=""),"",'Cronograma R. Normativo'!$J53)</f>
        <v/>
      </c>
      <c r="K53" s="20">
        <f>IF('Cronograma R. Normativo'!$A53="","",'Cronograma R. Normativo'!$K53)</f>
        <v/>
      </c>
      <c r="L53" s="22">
        <f>IF('Cronograma R. Normativo'!$A53="","",IF(N('Cronograma R. Normativo'!$K53)&gt;=1,"Completado",IF(AND(ISNUMBER('Cronograma R. Normativo'!$E53),'Cronograma R. Normativo'!$E53&lt;FechaRef),"Vencida",IF(N('Cronograma R. Normativo'!$K53)&gt;0,"En curso","Pendiente"))))</f>
        <v/>
      </c>
      <c r="M53" s="41">
        <f>IF('Cronograma R. Normativo'!$A53="","",'Cronograma R. Normativo'!$M53&amp;"")</f>
        <v/>
      </c>
    </row>
    <row r="54">
      <c r="A54" s="22">
        <f>IF('Cronograma R. Normativo'!$A54="","",'Cronograma R. Normativo'!$A54)</f>
        <v/>
      </c>
      <c r="B54" s="41">
        <f>IF('Cronograma R. Normativo'!$A54="","",'Cronograma R. Normativo'!$B54&amp;"")</f>
        <v/>
      </c>
      <c r="C54" s="41">
        <f>IF('Cronograma R. Normativo'!$A54="","",'Cronograma R. Normativo'!$C54&amp;"")</f>
        <v/>
      </c>
      <c r="D54" s="63">
        <f>IF(OR('Cronograma R. Normativo'!$A54="",'Cronograma R. Normativo'!$D54=""),"",'Cronograma R. Normativo'!$D54)</f>
        <v/>
      </c>
      <c r="E54" s="63">
        <f>IF(OR('Cronograma R. Normativo'!$A54="",'Cronograma R. Normativo'!$E54=""),"",'Cronograma R. Normativo'!$E54)</f>
        <v/>
      </c>
      <c r="F54" s="22">
        <f>IF(OR('Cronograma R. Normativo'!$A54="",NOT(ISNUMBER('Cronograma R. Normativo'!$E54))),"",IF('Cronograma R. Normativo'!$E54&lt;InicioCiclo,"Antes del ciclo",IF('Cronograma R. Normativo'!$E54&gt;=InicioCiclo+28,"Después del ciclo","Semana "&amp;(INT(('Cronograma R. Normativo'!$E54-InicioCiclo)/7)+1))))</f>
        <v/>
      </c>
      <c r="G54" s="20">
        <f>IF(OR('Cronograma R. Normativo'!$A54="",'Cronograma R. Normativo'!$G54=""),"",'Cronograma R. Normativo'!$G54)</f>
        <v/>
      </c>
      <c r="H54" s="20">
        <f>IF(OR('Cronograma R. Normativo'!$A54="",'Cronograma R. Normativo'!$H54=""),"",'Cronograma R. Normativo'!$H54)</f>
        <v/>
      </c>
      <c r="I54" s="20">
        <f>IF(OR('Cronograma R. Normativo'!$A54="",'Cronograma R. Normativo'!$I54=""),"",'Cronograma R. Normativo'!$I54)</f>
        <v/>
      </c>
      <c r="J54" s="20">
        <f>IF(OR('Cronograma R. Normativo'!$A54="",'Cronograma R. Normativo'!$J54=""),"",'Cronograma R. Normativo'!$J54)</f>
        <v/>
      </c>
      <c r="K54" s="20">
        <f>IF('Cronograma R. Normativo'!$A54="","",'Cronograma R. Normativo'!$K54)</f>
        <v/>
      </c>
      <c r="L54" s="22">
        <f>IF('Cronograma R. Normativo'!$A54="","",IF(N('Cronograma R. Normativo'!$K54)&gt;=1,"Completado",IF(AND(ISNUMBER('Cronograma R. Normativo'!$E54),'Cronograma R. Normativo'!$E54&lt;FechaRef),"Vencida",IF(N('Cronograma R. Normativo'!$K54)&gt;0,"En curso","Pendiente"))))</f>
        <v/>
      </c>
      <c r="M54" s="41">
        <f>IF('Cronograma R. Normativo'!$A54="","",'Cronograma R. Normativo'!$M54&amp;"")</f>
        <v/>
      </c>
    </row>
    <row r="55">
      <c r="A55" s="22">
        <f>IF('Cronograma R. Normativo'!$A55="","",'Cronograma R. Normativo'!$A55)</f>
        <v/>
      </c>
      <c r="B55" s="41">
        <f>IF('Cronograma R. Normativo'!$A55="","",'Cronograma R. Normativo'!$B55&amp;"")</f>
        <v/>
      </c>
      <c r="C55" s="41">
        <f>IF('Cronograma R. Normativo'!$A55="","",'Cronograma R. Normativo'!$C55&amp;"")</f>
        <v/>
      </c>
      <c r="D55" s="63">
        <f>IF(OR('Cronograma R. Normativo'!$A55="",'Cronograma R. Normativo'!$D55=""),"",'Cronograma R. Normativo'!$D55)</f>
        <v/>
      </c>
      <c r="E55" s="63">
        <f>IF(OR('Cronograma R. Normativo'!$A55="",'Cronograma R. Normativo'!$E55=""),"",'Cronograma R. Normativo'!$E55)</f>
        <v/>
      </c>
      <c r="F55" s="22">
        <f>IF(OR('Cronograma R. Normativo'!$A55="",NOT(ISNUMBER('Cronograma R. Normativo'!$E55))),"",IF('Cronograma R. Normativo'!$E55&lt;InicioCiclo,"Antes del ciclo",IF('Cronograma R. Normativo'!$E55&gt;=InicioCiclo+28,"Después del ciclo","Semana "&amp;(INT(('Cronograma R. Normativo'!$E55-InicioCiclo)/7)+1))))</f>
        <v/>
      </c>
      <c r="G55" s="20">
        <f>IF(OR('Cronograma R. Normativo'!$A55="",'Cronograma R. Normativo'!$G55=""),"",'Cronograma R. Normativo'!$G55)</f>
        <v/>
      </c>
      <c r="H55" s="20">
        <f>IF(OR('Cronograma R. Normativo'!$A55="",'Cronograma R. Normativo'!$H55=""),"",'Cronograma R. Normativo'!$H55)</f>
        <v/>
      </c>
      <c r="I55" s="20">
        <f>IF(OR('Cronograma R. Normativo'!$A55="",'Cronograma R. Normativo'!$I55=""),"",'Cronograma R. Normativo'!$I55)</f>
        <v/>
      </c>
      <c r="J55" s="20">
        <f>IF(OR('Cronograma R. Normativo'!$A55="",'Cronograma R. Normativo'!$J55=""),"",'Cronograma R. Normativo'!$J55)</f>
        <v/>
      </c>
      <c r="K55" s="20">
        <f>IF('Cronograma R. Normativo'!$A55="","",'Cronograma R. Normativo'!$K55)</f>
        <v/>
      </c>
      <c r="L55" s="22">
        <f>IF('Cronograma R. Normativo'!$A55="","",IF(N('Cronograma R. Normativo'!$K55)&gt;=1,"Completado",IF(AND(ISNUMBER('Cronograma R. Normativo'!$E55),'Cronograma R. Normativo'!$E55&lt;FechaRef),"Vencida",IF(N('Cronograma R. Normativo'!$K55)&gt;0,"En curso","Pendiente"))))</f>
        <v/>
      </c>
      <c r="M55" s="41">
        <f>IF('Cronograma R. Normativo'!$A55="","",'Cronograma R. Normativo'!$M55&amp;"")</f>
        <v/>
      </c>
    </row>
    <row r="56">
      <c r="A56" s="22">
        <f>IF('Cronograma R. Normativo'!$A56="","",'Cronograma R. Normativo'!$A56)</f>
        <v/>
      </c>
      <c r="B56" s="41">
        <f>IF('Cronograma R. Normativo'!$A56="","",'Cronograma R. Normativo'!$B56&amp;"")</f>
        <v/>
      </c>
      <c r="C56" s="41">
        <f>IF('Cronograma R. Normativo'!$A56="","",'Cronograma R. Normativo'!$C56&amp;"")</f>
        <v/>
      </c>
      <c r="D56" s="63">
        <f>IF(OR('Cronograma R. Normativo'!$A56="",'Cronograma R. Normativo'!$D56=""),"",'Cronograma R. Normativo'!$D56)</f>
        <v/>
      </c>
      <c r="E56" s="63">
        <f>IF(OR('Cronograma R. Normativo'!$A56="",'Cronograma R. Normativo'!$E56=""),"",'Cronograma R. Normativo'!$E56)</f>
        <v/>
      </c>
      <c r="F56" s="22">
        <f>IF(OR('Cronograma R. Normativo'!$A56="",NOT(ISNUMBER('Cronograma R. Normativo'!$E56))),"",IF('Cronograma R. Normativo'!$E56&lt;InicioCiclo,"Antes del ciclo",IF('Cronograma R. Normativo'!$E56&gt;=InicioCiclo+28,"Después del ciclo","Semana "&amp;(INT(('Cronograma R. Normativo'!$E56-InicioCiclo)/7)+1))))</f>
        <v/>
      </c>
      <c r="G56" s="20">
        <f>IF(OR('Cronograma R. Normativo'!$A56="",'Cronograma R. Normativo'!$G56=""),"",'Cronograma R. Normativo'!$G56)</f>
        <v/>
      </c>
      <c r="H56" s="20">
        <f>IF(OR('Cronograma R. Normativo'!$A56="",'Cronograma R. Normativo'!$H56=""),"",'Cronograma R. Normativo'!$H56)</f>
        <v/>
      </c>
      <c r="I56" s="20">
        <f>IF(OR('Cronograma R. Normativo'!$A56="",'Cronograma R. Normativo'!$I56=""),"",'Cronograma R. Normativo'!$I56)</f>
        <v/>
      </c>
      <c r="J56" s="20">
        <f>IF(OR('Cronograma R. Normativo'!$A56="",'Cronograma R. Normativo'!$J56=""),"",'Cronograma R. Normativo'!$J56)</f>
        <v/>
      </c>
      <c r="K56" s="20">
        <f>IF('Cronograma R. Normativo'!$A56="","",'Cronograma R. Normativo'!$K56)</f>
        <v/>
      </c>
      <c r="L56" s="22">
        <f>IF('Cronograma R. Normativo'!$A56="","",IF(N('Cronograma R. Normativo'!$K56)&gt;=1,"Completado",IF(AND(ISNUMBER('Cronograma R. Normativo'!$E56),'Cronograma R. Normativo'!$E56&lt;FechaRef),"Vencida",IF(N('Cronograma R. Normativo'!$K56)&gt;0,"En curso","Pendiente"))))</f>
        <v/>
      </c>
      <c r="M56" s="41">
        <f>IF('Cronograma R. Normativo'!$A56="","",'Cronograma R. Normativo'!$M56&amp;"")</f>
        <v/>
      </c>
    </row>
    <row r="57">
      <c r="A57" s="22">
        <f>IF('Cronograma R. Normativo'!$A57="","",'Cronograma R. Normativo'!$A57)</f>
        <v/>
      </c>
      <c r="B57" s="41">
        <f>IF('Cronograma R. Normativo'!$A57="","",'Cronograma R. Normativo'!$B57&amp;"")</f>
        <v/>
      </c>
      <c r="C57" s="41">
        <f>IF('Cronograma R. Normativo'!$A57="","",'Cronograma R. Normativo'!$C57&amp;"")</f>
        <v/>
      </c>
      <c r="D57" s="63">
        <f>IF(OR('Cronograma R. Normativo'!$A57="",'Cronograma R. Normativo'!$D57=""),"",'Cronograma R. Normativo'!$D57)</f>
        <v/>
      </c>
      <c r="E57" s="63">
        <f>IF(OR('Cronograma R. Normativo'!$A57="",'Cronograma R. Normativo'!$E57=""),"",'Cronograma R. Normativo'!$E57)</f>
        <v/>
      </c>
      <c r="F57" s="22">
        <f>IF(OR('Cronograma R. Normativo'!$A57="",NOT(ISNUMBER('Cronograma R. Normativo'!$E57))),"",IF('Cronograma R. Normativo'!$E57&lt;InicioCiclo,"Antes del ciclo",IF('Cronograma R. Normativo'!$E57&gt;=InicioCiclo+28,"Después del ciclo","Semana "&amp;(INT(('Cronograma R. Normativo'!$E57-InicioCiclo)/7)+1))))</f>
        <v/>
      </c>
      <c r="G57" s="20">
        <f>IF(OR('Cronograma R. Normativo'!$A57="",'Cronograma R. Normativo'!$G57=""),"",'Cronograma R. Normativo'!$G57)</f>
        <v/>
      </c>
      <c r="H57" s="20">
        <f>IF(OR('Cronograma R. Normativo'!$A57="",'Cronograma R. Normativo'!$H57=""),"",'Cronograma R. Normativo'!$H57)</f>
        <v/>
      </c>
      <c r="I57" s="20">
        <f>IF(OR('Cronograma R. Normativo'!$A57="",'Cronograma R. Normativo'!$I57=""),"",'Cronograma R. Normativo'!$I57)</f>
        <v/>
      </c>
      <c r="J57" s="20">
        <f>IF(OR('Cronograma R. Normativo'!$A57="",'Cronograma R. Normativo'!$J57=""),"",'Cronograma R. Normativo'!$J57)</f>
        <v/>
      </c>
      <c r="K57" s="20">
        <f>IF('Cronograma R. Normativo'!$A57="","",'Cronograma R. Normativo'!$K57)</f>
        <v/>
      </c>
      <c r="L57" s="22">
        <f>IF('Cronograma R. Normativo'!$A57="","",IF(N('Cronograma R. Normativo'!$K57)&gt;=1,"Completado",IF(AND(ISNUMBER('Cronograma R. Normativo'!$E57),'Cronograma R. Normativo'!$E57&lt;FechaRef),"Vencida",IF(N('Cronograma R. Normativo'!$K57)&gt;0,"En curso","Pendiente"))))</f>
        <v/>
      </c>
      <c r="M57" s="41">
        <f>IF('Cronograma R. Normativo'!$A57="","",'Cronograma R. Normativo'!$M57&amp;"")</f>
        <v/>
      </c>
    </row>
    <row r="58">
      <c r="A58" s="22">
        <f>IF('Cronograma R. Normativo'!$A58="","",'Cronograma R. Normativo'!$A58)</f>
        <v/>
      </c>
      <c r="B58" s="41">
        <f>IF('Cronograma R. Normativo'!$A58="","",'Cronograma R. Normativo'!$B58&amp;"")</f>
        <v/>
      </c>
      <c r="C58" s="41">
        <f>IF('Cronograma R. Normativo'!$A58="","",'Cronograma R. Normativo'!$C58&amp;"")</f>
        <v/>
      </c>
      <c r="D58" s="63">
        <f>IF(OR('Cronograma R. Normativo'!$A58="",'Cronograma R. Normativo'!$D58=""),"",'Cronograma R. Normativo'!$D58)</f>
        <v/>
      </c>
      <c r="E58" s="63">
        <f>IF(OR('Cronograma R. Normativo'!$A58="",'Cronograma R. Normativo'!$E58=""),"",'Cronograma R. Normativo'!$E58)</f>
        <v/>
      </c>
      <c r="F58" s="22">
        <f>IF(OR('Cronograma R. Normativo'!$A58="",NOT(ISNUMBER('Cronograma R. Normativo'!$E58))),"",IF('Cronograma R. Normativo'!$E58&lt;InicioCiclo,"Antes del ciclo",IF('Cronograma R. Normativo'!$E58&gt;=InicioCiclo+28,"Después del ciclo","Semana "&amp;(INT(('Cronograma R. Normativo'!$E58-InicioCiclo)/7)+1))))</f>
        <v/>
      </c>
      <c r="G58" s="20">
        <f>IF(OR('Cronograma R. Normativo'!$A58="",'Cronograma R. Normativo'!$G58=""),"",'Cronograma R. Normativo'!$G58)</f>
        <v/>
      </c>
      <c r="H58" s="20">
        <f>IF(OR('Cronograma R. Normativo'!$A58="",'Cronograma R. Normativo'!$H58=""),"",'Cronograma R. Normativo'!$H58)</f>
        <v/>
      </c>
      <c r="I58" s="20">
        <f>IF(OR('Cronograma R. Normativo'!$A58="",'Cronograma R. Normativo'!$I58=""),"",'Cronograma R. Normativo'!$I58)</f>
        <v/>
      </c>
      <c r="J58" s="20">
        <f>IF(OR('Cronograma R. Normativo'!$A58="",'Cronograma R. Normativo'!$J58=""),"",'Cronograma R. Normativo'!$J58)</f>
        <v/>
      </c>
      <c r="K58" s="20">
        <f>IF('Cronograma R. Normativo'!$A58="","",'Cronograma R. Normativo'!$K58)</f>
        <v/>
      </c>
      <c r="L58" s="22">
        <f>IF('Cronograma R. Normativo'!$A58="","",IF(N('Cronograma R. Normativo'!$K58)&gt;=1,"Completado",IF(AND(ISNUMBER('Cronograma R. Normativo'!$E58),'Cronograma R. Normativo'!$E58&lt;FechaRef),"Vencida",IF(N('Cronograma R. Normativo'!$K58)&gt;0,"En curso","Pendiente"))))</f>
        <v/>
      </c>
      <c r="M58" s="41">
        <f>IF('Cronograma R. Normativo'!$A58="","",'Cronograma R. Normativo'!$M58&amp;"")</f>
        <v/>
      </c>
    </row>
    <row r="59">
      <c r="A59" s="22">
        <f>IF('Cronograma R. Normativo'!$A59="","",'Cronograma R. Normativo'!$A59)</f>
        <v/>
      </c>
      <c r="B59" s="41">
        <f>IF('Cronograma R. Normativo'!$A59="","",'Cronograma R. Normativo'!$B59&amp;"")</f>
        <v/>
      </c>
      <c r="C59" s="41">
        <f>IF('Cronograma R. Normativo'!$A59="","",'Cronograma R. Normativo'!$C59&amp;"")</f>
        <v/>
      </c>
      <c r="D59" s="63">
        <f>IF(OR('Cronograma R. Normativo'!$A59="",'Cronograma R. Normativo'!$D59=""),"",'Cronograma R. Normativo'!$D59)</f>
        <v/>
      </c>
      <c r="E59" s="63">
        <f>IF(OR('Cronograma R. Normativo'!$A59="",'Cronograma R. Normativo'!$E59=""),"",'Cronograma R. Normativo'!$E59)</f>
        <v/>
      </c>
      <c r="F59" s="22">
        <f>IF(OR('Cronograma R. Normativo'!$A59="",NOT(ISNUMBER('Cronograma R. Normativo'!$E59))),"",IF('Cronograma R. Normativo'!$E59&lt;InicioCiclo,"Antes del ciclo",IF('Cronograma R. Normativo'!$E59&gt;=InicioCiclo+28,"Después del ciclo","Semana "&amp;(INT(('Cronograma R. Normativo'!$E59-InicioCiclo)/7)+1))))</f>
        <v/>
      </c>
      <c r="G59" s="20">
        <f>IF(OR('Cronograma R. Normativo'!$A59="",'Cronograma R. Normativo'!$G59=""),"",'Cronograma R. Normativo'!$G59)</f>
        <v/>
      </c>
      <c r="H59" s="20">
        <f>IF(OR('Cronograma R. Normativo'!$A59="",'Cronograma R. Normativo'!$H59=""),"",'Cronograma R. Normativo'!$H59)</f>
        <v/>
      </c>
      <c r="I59" s="20">
        <f>IF(OR('Cronograma R. Normativo'!$A59="",'Cronograma R. Normativo'!$I59=""),"",'Cronograma R. Normativo'!$I59)</f>
        <v/>
      </c>
      <c r="J59" s="20">
        <f>IF(OR('Cronograma R. Normativo'!$A59="",'Cronograma R. Normativo'!$J59=""),"",'Cronograma R. Normativo'!$J59)</f>
        <v/>
      </c>
      <c r="K59" s="20">
        <f>IF('Cronograma R. Normativo'!$A59="","",'Cronograma R. Normativo'!$K59)</f>
        <v/>
      </c>
      <c r="L59" s="22">
        <f>IF('Cronograma R. Normativo'!$A59="","",IF(N('Cronograma R. Normativo'!$K59)&gt;=1,"Completado",IF(AND(ISNUMBER('Cronograma R. Normativo'!$E59),'Cronograma R. Normativo'!$E59&lt;FechaRef),"Vencida",IF(N('Cronograma R. Normativo'!$K59)&gt;0,"En curso","Pendiente"))))</f>
        <v/>
      </c>
      <c r="M59" s="41">
        <f>IF('Cronograma R. Normativo'!$A59="","",'Cronograma R. Normativo'!$M59&amp;"")</f>
        <v/>
      </c>
    </row>
    <row r="60">
      <c r="A60" s="22">
        <f>IF('Cronograma R. Normativo'!$A60="","",'Cronograma R. Normativo'!$A60)</f>
        <v/>
      </c>
      <c r="B60" s="41">
        <f>IF('Cronograma R. Normativo'!$A60="","",'Cronograma R. Normativo'!$B60&amp;"")</f>
        <v/>
      </c>
      <c r="C60" s="41">
        <f>IF('Cronograma R. Normativo'!$A60="","",'Cronograma R. Normativo'!$C60&amp;"")</f>
        <v/>
      </c>
      <c r="D60" s="63">
        <f>IF(OR('Cronograma R. Normativo'!$A60="",'Cronograma R. Normativo'!$D60=""),"",'Cronograma R. Normativo'!$D60)</f>
        <v/>
      </c>
      <c r="E60" s="63">
        <f>IF(OR('Cronograma R. Normativo'!$A60="",'Cronograma R. Normativo'!$E60=""),"",'Cronograma R. Normativo'!$E60)</f>
        <v/>
      </c>
      <c r="F60" s="22">
        <f>IF(OR('Cronograma R. Normativo'!$A60="",NOT(ISNUMBER('Cronograma R. Normativo'!$E60))),"",IF('Cronograma R. Normativo'!$E60&lt;InicioCiclo,"Antes del ciclo",IF('Cronograma R. Normativo'!$E60&gt;=InicioCiclo+28,"Después del ciclo","Semana "&amp;(INT(('Cronograma R. Normativo'!$E60-InicioCiclo)/7)+1))))</f>
        <v/>
      </c>
      <c r="G60" s="20">
        <f>IF(OR('Cronograma R. Normativo'!$A60="",'Cronograma R. Normativo'!$G60=""),"",'Cronograma R. Normativo'!$G60)</f>
        <v/>
      </c>
      <c r="H60" s="20">
        <f>IF(OR('Cronograma R. Normativo'!$A60="",'Cronograma R. Normativo'!$H60=""),"",'Cronograma R. Normativo'!$H60)</f>
        <v/>
      </c>
      <c r="I60" s="20">
        <f>IF(OR('Cronograma R. Normativo'!$A60="",'Cronograma R. Normativo'!$I60=""),"",'Cronograma R. Normativo'!$I60)</f>
        <v/>
      </c>
      <c r="J60" s="20">
        <f>IF(OR('Cronograma R. Normativo'!$A60="",'Cronograma R. Normativo'!$J60=""),"",'Cronograma R. Normativo'!$J60)</f>
        <v/>
      </c>
      <c r="K60" s="20">
        <f>IF('Cronograma R. Normativo'!$A60="","",'Cronograma R. Normativo'!$K60)</f>
        <v/>
      </c>
      <c r="L60" s="22">
        <f>IF('Cronograma R. Normativo'!$A60="","",IF(N('Cronograma R. Normativo'!$K60)&gt;=1,"Completado",IF(AND(ISNUMBER('Cronograma R. Normativo'!$E60),'Cronograma R. Normativo'!$E60&lt;FechaRef),"Vencida",IF(N('Cronograma R. Normativo'!$K60)&gt;0,"En curso","Pendiente"))))</f>
        <v/>
      </c>
      <c r="M60" s="41">
        <f>IF('Cronograma R. Normativo'!$A60="","",'Cronograma R. Normativo'!$M60&amp;"")</f>
        <v/>
      </c>
    </row>
    <row r="61">
      <c r="A61" s="22">
        <f>IF('Cronograma R. Normativo'!$A61="","",'Cronograma R. Normativo'!$A61)</f>
        <v/>
      </c>
      <c r="B61" s="41">
        <f>IF('Cronograma R. Normativo'!$A61="","",'Cronograma R. Normativo'!$B61&amp;"")</f>
        <v/>
      </c>
      <c r="C61" s="41">
        <f>IF('Cronograma R. Normativo'!$A61="","",'Cronograma R. Normativo'!$C61&amp;"")</f>
        <v/>
      </c>
      <c r="D61" s="63">
        <f>IF(OR('Cronograma R. Normativo'!$A61="",'Cronograma R. Normativo'!$D61=""),"",'Cronograma R. Normativo'!$D61)</f>
        <v/>
      </c>
      <c r="E61" s="63">
        <f>IF(OR('Cronograma R. Normativo'!$A61="",'Cronograma R. Normativo'!$E61=""),"",'Cronograma R. Normativo'!$E61)</f>
        <v/>
      </c>
      <c r="F61" s="22">
        <f>IF(OR('Cronograma R. Normativo'!$A61="",NOT(ISNUMBER('Cronograma R. Normativo'!$E61))),"",IF('Cronograma R. Normativo'!$E61&lt;InicioCiclo,"Antes del ciclo",IF('Cronograma R. Normativo'!$E61&gt;=InicioCiclo+28,"Después del ciclo","Semana "&amp;(INT(('Cronograma R. Normativo'!$E61-InicioCiclo)/7)+1))))</f>
        <v/>
      </c>
      <c r="G61" s="20">
        <f>IF(OR('Cronograma R. Normativo'!$A61="",'Cronograma R. Normativo'!$G61=""),"",'Cronograma R. Normativo'!$G61)</f>
        <v/>
      </c>
      <c r="H61" s="20">
        <f>IF(OR('Cronograma R. Normativo'!$A61="",'Cronograma R. Normativo'!$H61=""),"",'Cronograma R. Normativo'!$H61)</f>
        <v/>
      </c>
      <c r="I61" s="20">
        <f>IF(OR('Cronograma R. Normativo'!$A61="",'Cronograma R. Normativo'!$I61=""),"",'Cronograma R. Normativo'!$I61)</f>
        <v/>
      </c>
      <c r="J61" s="20">
        <f>IF(OR('Cronograma R. Normativo'!$A61="",'Cronograma R. Normativo'!$J61=""),"",'Cronograma R. Normativo'!$J61)</f>
        <v/>
      </c>
      <c r="K61" s="20">
        <f>IF('Cronograma R. Normativo'!$A61="","",'Cronograma R. Normativo'!$K61)</f>
        <v/>
      </c>
      <c r="L61" s="22">
        <f>IF('Cronograma R. Normativo'!$A61="","",IF(N('Cronograma R. Normativo'!$K61)&gt;=1,"Completado",IF(AND(ISNUMBER('Cronograma R. Normativo'!$E61),'Cronograma R. Normativo'!$E61&lt;FechaRef),"Vencida",IF(N('Cronograma R. Normativo'!$K61)&gt;0,"En curso","Pendiente"))))</f>
        <v/>
      </c>
      <c r="M61" s="41">
        <f>IF('Cronograma R. Normativo'!$A61="","",'Cronograma R. Normativo'!$M61&amp;"")</f>
        <v/>
      </c>
    </row>
    <row r="62">
      <c r="A62" s="22">
        <f>IF('Cronograma R. Normativo'!$A62="","",'Cronograma R. Normativo'!$A62)</f>
        <v/>
      </c>
      <c r="B62" s="41">
        <f>IF('Cronograma R. Normativo'!$A62="","",'Cronograma R. Normativo'!$B62&amp;"")</f>
        <v/>
      </c>
      <c r="C62" s="41">
        <f>IF('Cronograma R. Normativo'!$A62="","",'Cronograma R. Normativo'!$C62&amp;"")</f>
        <v/>
      </c>
      <c r="D62" s="63">
        <f>IF(OR('Cronograma R. Normativo'!$A62="",'Cronograma R. Normativo'!$D62=""),"",'Cronograma R. Normativo'!$D62)</f>
        <v/>
      </c>
      <c r="E62" s="63">
        <f>IF(OR('Cronograma R. Normativo'!$A62="",'Cronograma R. Normativo'!$E62=""),"",'Cronograma R. Normativo'!$E62)</f>
        <v/>
      </c>
      <c r="F62" s="22">
        <f>IF(OR('Cronograma R. Normativo'!$A62="",NOT(ISNUMBER('Cronograma R. Normativo'!$E62))),"",IF('Cronograma R. Normativo'!$E62&lt;InicioCiclo,"Antes del ciclo",IF('Cronograma R. Normativo'!$E62&gt;=InicioCiclo+28,"Después del ciclo","Semana "&amp;(INT(('Cronograma R. Normativo'!$E62-InicioCiclo)/7)+1))))</f>
        <v/>
      </c>
      <c r="G62" s="20">
        <f>IF(OR('Cronograma R. Normativo'!$A62="",'Cronograma R. Normativo'!$G62=""),"",'Cronograma R. Normativo'!$G62)</f>
        <v/>
      </c>
      <c r="H62" s="20">
        <f>IF(OR('Cronograma R. Normativo'!$A62="",'Cronograma R. Normativo'!$H62=""),"",'Cronograma R. Normativo'!$H62)</f>
        <v/>
      </c>
      <c r="I62" s="20">
        <f>IF(OR('Cronograma R. Normativo'!$A62="",'Cronograma R. Normativo'!$I62=""),"",'Cronograma R. Normativo'!$I62)</f>
        <v/>
      </c>
      <c r="J62" s="20">
        <f>IF(OR('Cronograma R. Normativo'!$A62="",'Cronograma R. Normativo'!$J62=""),"",'Cronograma R. Normativo'!$J62)</f>
        <v/>
      </c>
      <c r="K62" s="20">
        <f>IF('Cronograma R. Normativo'!$A62="","",'Cronograma R. Normativo'!$K62)</f>
        <v/>
      </c>
      <c r="L62" s="22">
        <f>IF('Cronograma R. Normativo'!$A62="","",IF(N('Cronograma R. Normativo'!$K62)&gt;=1,"Completado",IF(AND(ISNUMBER('Cronograma R. Normativo'!$E62),'Cronograma R. Normativo'!$E62&lt;FechaRef),"Vencida",IF(N('Cronograma R. Normativo'!$K62)&gt;0,"En curso","Pendiente"))))</f>
        <v/>
      </c>
      <c r="M62" s="41">
        <f>IF('Cronograma R. Normativo'!$A62="","",'Cronograma R. Normativo'!$M62&amp;"")</f>
        <v/>
      </c>
    </row>
    <row r="63">
      <c r="A63" s="22">
        <f>IF('Cronograma R. Normativo'!$A63="","",'Cronograma R. Normativo'!$A63)</f>
        <v/>
      </c>
      <c r="B63" s="41">
        <f>IF('Cronograma R. Normativo'!$A63="","",'Cronograma R. Normativo'!$B63&amp;"")</f>
        <v/>
      </c>
      <c r="C63" s="41">
        <f>IF('Cronograma R. Normativo'!$A63="","",'Cronograma R. Normativo'!$C63&amp;"")</f>
        <v/>
      </c>
      <c r="D63" s="63">
        <f>IF(OR('Cronograma R. Normativo'!$A63="",'Cronograma R. Normativo'!$D63=""),"",'Cronograma R. Normativo'!$D63)</f>
        <v/>
      </c>
      <c r="E63" s="63">
        <f>IF(OR('Cronograma R. Normativo'!$A63="",'Cronograma R. Normativo'!$E63=""),"",'Cronograma R. Normativo'!$E63)</f>
        <v/>
      </c>
      <c r="F63" s="22">
        <f>IF(OR('Cronograma R. Normativo'!$A63="",NOT(ISNUMBER('Cronograma R. Normativo'!$E63))),"",IF('Cronograma R. Normativo'!$E63&lt;InicioCiclo,"Antes del ciclo",IF('Cronograma R. Normativo'!$E63&gt;=InicioCiclo+28,"Después del ciclo","Semana "&amp;(INT(('Cronograma R. Normativo'!$E63-InicioCiclo)/7)+1))))</f>
        <v/>
      </c>
      <c r="G63" s="20">
        <f>IF(OR('Cronograma R. Normativo'!$A63="",'Cronograma R. Normativo'!$G63=""),"",'Cronograma R. Normativo'!$G63)</f>
        <v/>
      </c>
      <c r="H63" s="20">
        <f>IF(OR('Cronograma R. Normativo'!$A63="",'Cronograma R. Normativo'!$H63=""),"",'Cronograma R. Normativo'!$H63)</f>
        <v/>
      </c>
      <c r="I63" s="20">
        <f>IF(OR('Cronograma R. Normativo'!$A63="",'Cronograma R. Normativo'!$I63=""),"",'Cronograma R. Normativo'!$I63)</f>
        <v/>
      </c>
      <c r="J63" s="20">
        <f>IF(OR('Cronograma R. Normativo'!$A63="",'Cronograma R. Normativo'!$J63=""),"",'Cronograma R. Normativo'!$J63)</f>
        <v/>
      </c>
      <c r="K63" s="20">
        <f>IF('Cronograma R. Normativo'!$A63="","",'Cronograma R. Normativo'!$K63)</f>
        <v/>
      </c>
      <c r="L63" s="22">
        <f>IF('Cronograma R. Normativo'!$A63="","",IF(N('Cronograma R. Normativo'!$K63)&gt;=1,"Completado",IF(AND(ISNUMBER('Cronograma R. Normativo'!$E63),'Cronograma R. Normativo'!$E63&lt;FechaRef),"Vencida",IF(N('Cronograma R. Normativo'!$K63)&gt;0,"En curso","Pendiente"))))</f>
        <v/>
      </c>
      <c r="M63" s="41">
        <f>IF('Cronograma R. Normativo'!$A63="","",'Cronograma R. Normativo'!$M63&amp;"")</f>
        <v/>
      </c>
    </row>
    <row r="64">
      <c r="A64" s="22">
        <f>IF('Cronograma R. Normativo'!$A64="","",'Cronograma R. Normativo'!$A64)</f>
        <v/>
      </c>
      <c r="B64" s="41">
        <f>IF('Cronograma R. Normativo'!$A64="","",'Cronograma R. Normativo'!$B64&amp;"")</f>
        <v/>
      </c>
      <c r="C64" s="41">
        <f>IF('Cronograma R. Normativo'!$A64="","",'Cronograma R. Normativo'!$C64&amp;"")</f>
        <v/>
      </c>
      <c r="D64" s="63">
        <f>IF(OR('Cronograma R. Normativo'!$A64="",'Cronograma R. Normativo'!$D64=""),"",'Cronograma R. Normativo'!$D64)</f>
        <v/>
      </c>
      <c r="E64" s="63">
        <f>IF(OR('Cronograma R. Normativo'!$A64="",'Cronograma R. Normativo'!$E64=""),"",'Cronograma R. Normativo'!$E64)</f>
        <v/>
      </c>
      <c r="F64" s="22">
        <f>IF(OR('Cronograma R. Normativo'!$A64="",NOT(ISNUMBER('Cronograma R. Normativo'!$E64))),"",IF('Cronograma R. Normativo'!$E64&lt;InicioCiclo,"Antes del ciclo",IF('Cronograma R. Normativo'!$E64&gt;=InicioCiclo+28,"Después del ciclo","Semana "&amp;(INT(('Cronograma R. Normativo'!$E64-InicioCiclo)/7)+1))))</f>
        <v/>
      </c>
      <c r="G64" s="20">
        <f>IF(OR('Cronograma R. Normativo'!$A64="",'Cronograma R. Normativo'!$G64=""),"",'Cronograma R. Normativo'!$G64)</f>
        <v/>
      </c>
      <c r="H64" s="20">
        <f>IF(OR('Cronograma R. Normativo'!$A64="",'Cronograma R. Normativo'!$H64=""),"",'Cronograma R. Normativo'!$H64)</f>
        <v/>
      </c>
      <c r="I64" s="20">
        <f>IF(OR('Cronograma R. Normativo'!$A64="",'Cronograma R. Normativo'!$I64=""),"",'Cronograma R. Normativo'!$I64)</f>
        <v/>
      </c>
      <c r="J64" s="20">
        <f>IF(OR('Cronograma R. Normativo'!$A64="",'Cronograma R. Normativo'!$J64=""),"",'Cronograma R. Normativo'!$J64)</f>
        <v/>
      </c>
      <c r="K64" s="20">
        <f>IF('Cronograma R. Normativo'!$A64="","",'Cronograma R. Normativo'!$K64)</f>
        <v/>
      </c>
      <c r="L64" s="22">
        <f>IF('Cronograma R. Normativo'!$A64="","",IF(N('Cronograma R. Normativo'!$K64)&gt;=1,"Completado",IF(AND(ISNUMBER('Cronograma R. Normativo'!$E64),'Cronograma R. Normativo'!$E64&lt;FechaRef),"Vencida",IF(N('Cronograma R. Normativo'!$K64)&gt;0,"En curso","Pendiente"))))</f>
        <v/>
      </c>
      <c r="M64" s="41">
        <f>IF('Cronograma R. Normativo'!$A64="","",'Cronograma R. Normativo'!$M64&amp;"")</f>
        <v/>
      </c>
    </row>
    <row r="65">
      <c r="A65" s="22">
        <f>IF('Cronograma R. Normativo'!$A65="","",'Cronograma R. Normativo'!$A65)</f>
        <v/>
      </c>
      <c r="B65" s="41">
        <f>IF('Cronograma R. Normativo'!$A65="","",'Cronograma R. Normativo'!$B65&amp;"")</f>
        <v/>
      </c>
      <c r="C65" s="41">
        <f>IF('Cronograma R. Normativo'!$A65="","",'Cronograma R. Normativo'!$C65&amp;"")</f>
        <v/>
      </c>
      <c r="D65" s="63">
        <f>IF(OR('Cronograma R. Normativo'!$A65="",'Cronograma R. Normativo'!$D65=""),"",'Cronograma R. Normativo'!$D65)</f>
        <v/>
      </c>
      <c r="E65" s="63">
        <f>IF(OR('Cronograma R. Normativo'!$A65="",'Cronograma R. Normativo'!$E65=""),"",'Cronograma R. Normativo'!$E65)</f>
        <v/>
      </c>
      <c r="F65" s="22">
        <f>IF(OR('Cronograma R. Normativo'!$A65="",NOT(ISNUMBER('Cronograma R. Normativo'!$E65))),"",IF('Cronograma R. Normativo'!$E65&lt;InicioCiclo,"Antes del ciclo",IF('Cronograma R. Normativo'!$E65&gt;=InicioCiclo+28,"Después del ciclo","Semana "&amp;(INT(('Cronograma R. Normativo'!$E65-InicioCiclo)/7)+1))))</f>
        <v/>
      </c>
      <c r="G65" s="20">
        <f>IF(OR('Cronograma R. Normativo'!$A65="",'Cronograma R. Normativo'!$G65=""),"",'Cronograma R. Normativo'!$G65)</f>
        <v/>
      </c>
      <c r="H65" s="20">
        <f>IF(OR('Cronograma R. Normativo'!$A65="",'Cronograma R. Normativo'!$H65=""),"",'Cronograma R. Normativo'!$H65)</f>
        <v/>
      </c>
      <c r="I65" s="20">
        <f>IF(OR('Cronograma R. Normativo'!$A65="",'Cronograma R. Normativo'!$I65=""),"",'Cronograma R. Normativo'!$I65)</f>
        <v/>
      </c>
      <c r="J65" s="20">
        <f>IF(OR('Cronograma R. Normativo'!$A65="",'Cronograma R. Normativo'!$J65=""),"",'Cronograma R. Normativo'!$J65)</f>
        <v/>
      </c>
      <c r="K65" s="20">
        <f>IF('Cronograma R. Normativo'!$A65="","",'Cronograma R. Normativo'!$K65)</f>
        <v/>
      </c>
      <c r="L65" s="22">
        <f>IF('Cronograma R. Normativo'!$A65="","",IF(N('Cronograma R. Normativo'!$K65)&gt;=1,"Completado",IF(AND(ISNUMBER('Cronograma R. Normativo'!$E65),'Cronograma R. Normativo'!$E65&lt;FechaRef),"Vencida",IF(N('Cronograma R. Normativo'!$K65)&gt;0,"En curso","Pendiente"))))</f>
        <v/>
      </c>
      <c r="M65" s="41">
        <f>IF('Cronograma R. Normativo'!$A65="","",'Cronograma R. Normativo'!$M65&amp;"")</f>
        <v/>
      </c>
    </row>
    <row r="66">
      <c r="A66" s="22">
        <f>IF('Cronograma R. Normativo'!$A66="","",'Cronograma R. Normativo'!$A66)</f>
        <v/>
      </c>
      <c r="B66" s="41">
        <f>IF('Cronograma R. Normativo'!$A66="","",'Cronograma R. Normativo'!$B66&amp;"")</f>
        <v/>
      </c>
      <c r="C66" s="41">
        <f>IF('Cronograma R. Normativo'!$A66="","",'Cronograma R. Normativo'!$C66&amp;"")</f>
        <v/>
      </c>
      <c r="D66" s="63">
        <f>IF(OR('Cronograma R. Normativo'!$A66="",'Cronograma R. Normativo'!$D66=""),"",'Cronograma R. Normativo'!$D66)</f>
        <v/>
      </c>
      <c r="E66" s="63">
        <f>IF(OR('Cronograma R. Normativo'!$A66="",'Cronograma R. Normativo'!$E66=""),"",'Cronograma R. Normativo'!$E66)</f>
        <v/>
      </c>
      <c r="F66" s="22">
        <f>IF(OR('Cronograma R. Normativo'!$A66="",NOT(ISNUMBER('Cronograma R. Normativo'!$E66))),"",IF('Cronograma R. Normativo'!$E66&lt;InicioCiclo,"Antes del ciclo",IF('Cronograma R. Normativo'!$E66&gt;=InicioCiclo+28,"Después del ciclo","Semana "&amp;(INT(('Cronograma R. Normativo'!$E66-InicioCiclo)/7)+1))))</f>
        <v/>
      </c>
      <c r="G66" s="20">
        <f>IF(OR('Cronograma R. Normativo'!$A66="",'Cronograma R. Normativo'!$G66=""),"",'Cronograma R. Normativo'!$G66)</f>
        <v/>
      </c>
      <c r="H66" s="20">
        <f>IF(OR('Cronograma R. Normativo'!$A66="",'Cronograma R. Normativo'!$H66=""),"",'Cronograma R. Normativo'!$H66)</f>
        <v/>
      </c>
      <c r="I66" s="20">
        <f>IF(OR('Cronograma R. Normativo'!$A66="",'Cronograma R. Normativo'!$I66=""),"",'Cronograma R. Normativo'!$I66)</f>
        <v/>
      </c>
      <c r="J66" s="20">
        <f>IF(OR('Cronograma R. Normativo'!$A66="",'Cronograma R. Normativo'!$J66=""),"",'Cronograma R. Normativo'!$J66)</f>
        <v/>
      </c>
      <c r="K66" s="20">
        <f>IF('Cronograma R. Normativo'!$A66="","",'Cronograma R. Normativo'!$K66)</f>
        <v/>
      </c>
      <c r="L66" s="22">
        <f>IF('Cronograma R. Normativo'!$A66="","",IF(N('Cronograma R. Normativo'!$K66)&gt;=1,"Completado",IF(AND(ISNUMBER('Cronograma R. Normativo'!$E66),'Cronograma R. Normativo'!$E66&lt;FechaRef),"Vencida",IF(N('Cronograma R. Normativo'!$K66)&gt;0,"En curso","Pendiente"))))</f>
        <v/>
      </c>
      <c r="M66" s="41">
        <f>IF('Cronograma R. Normativo'!$A66="","",'Cronograma R. Normativo'!$M66&amp;"")</f>
        <v/>
      </c>
    </row>
    <row r="67">
      <c r="A67" s="22">
        <f>IF('Cronograma R. Normativo'!$A67="","",'Cronograma R. Normativo'!$A67)</f>
        <v/>
      </c>
      <c r="B67" s="41">
        <f>IF('Cronograma R. Normativo'!$A67="","",'Cronograma R. Normativo'!$B67&amp;"")</f>
        <v/>
      </c>
      <c r="C67" s="41">
        <f>IF('Cronograma R. Normativo'!$A67="","",'Cronograma R. Normativo'!$C67&amp;"")</f>
        <v/>
      </c>
      <c r="D67" s="63">
        <f>IF(OR('Cronograma R. Normativo'!$A67="",'Cronograma R. Normativo'!$D67=""),"",'Cronograma R. Normativo'!$D67)</f>
        <v/>
      </c>
      <c r="E67" s="63">
        <f>IF(OR('Cronograma R. Normativo'!$A67="",'Cronograma R. Normativo'!$E67=""),"",'Cronograma R. Normativo'!$E67)</f>
        <v/>
      </c>
      <c r="F67" s="22">
        <f>IF(OR('Cronograma R. Normativo'!$A67="",NOT(ISNUMBER('Cronograma R. Normativo'!$E67))),"",IF('Cronograma R. Normativo'!$E67&lt;InicioCiclo,"Antes del ciclo",IF('Cronograma R. Normativo'!$E67&gt;=InicioCiclo+28,"Después del ciclo","Semana "&amp;(INT(('Cronograma R. Normativo'!$E67-InicioCiclo)/7)+1))))</f>
        <v/>
      </c>
      <c r="G67" s="20">
        <f>IF(OR('Cronograma R. Normativo'!$A67="",'Cronograma R. Normativo'!$G67=""),"",'Cronograma R. Normativo'!$G67)</f>
        <v/>
      </c>
      <c r="H67" s="20">
        <f>IF(OR('Cronograma R. Normativo'!$A67="",'Cronograma R. Normativo'!$H67=""),"",'Cronograma R. Normativo'!$H67)</f>
        <v/>
      </c>
      <c r="I67" s="20">
        <f>IF(OR('Cronograma R. Normativo'!$A67="",'Cronograma R. Normativo'!$I67=""),"",'Cronograma R. Normativo'!$I67)</f>
        <v/>
      </c>
      <c r="J67" s="20">
        <f>IF(OR('Cronograma R. Normativo'!$A67="",'Cronograma R. Normativo'!$J67=""),"",'Cronograma R. Normativo'!$J67)</f>
        <v/>
      </c>
      <c r="K67" s="20">
        <f>IF('Cronograma R. Normativo'!$A67="","",'Cronograma R. Normativo'!$K67)</f>
        <v/>
      </c>
      <c r="L67" s="22">
        <f>IF('Cronograma R. Normativo'!$A67="","",IF(N('Cronograma R. Normativo'!$K67)&gt;=1,"Completado",IF(AND(ISNUMBER('Cronograma R. Normativo'!$E67),'Cronograma R. Normativo'!$E67&lt;FechaRef),"Vencida",IF(N('Cronograma R. Normativo'!$K67)&gt;0,"En curso","Pendiente"))))</f>
        <v/>
      </c>
      <c r="M67" s="41">
        <f>IF('Cronograma R. Normativo'!$A67="","",'Cronograma R. Normativo'!$M67&amp;"")</f>
        <v/>
      </c>
    </row>
    <row r="68">
      <c r="A68" s="22">
        <f>IF('Cronograma R. Normativo'!$A68="","",'Cronograma R. Normativo'!$A68)</f>
        <v/>
      </c>
      <c r="B68" s="41">
        <f>IF('Cronograma R. Normativo'!$A68="","",'Cronograma R. Normativo'!$B68&amp;"")</f>
        <v/>
      </c>
      <c r="C68" s="41">
        <f>IF('Cronograma R. Normativo'!$A68="","",'Cronograma R. Normativo'!$C68&amp;"")</f>
        <v/>
      </c>
      <c r="D68" s="63">
        <f>IF(OR('Cronograma R. Normativo'!$A68="",'Cronograma R. Normativo'!$D68=""),"",'Cronograma R. Normativo'!$D68)</f>
        <v/>
      </c>
      <c r="E68" s="63">
        <f>IF(OR('Cronograma R. Normativo'!$A68="",'Cronograma R. Normativo'!$E68=""),"",'Cronograma R. Normativo'!$E68)</f>
        <v/>
      </c>
      <c r="F68" s="22">
        <f>IF(OR('Cronograma R. Normativo'!$A68="",NOT(ISNUMBER('Cronograma R. Normativo'!$E68))),"",IF('Cronograma R. Normativo'!$E68&lt;InicioCiclo,"Antes del ciclo",IF('Cronograma R. Normativo'!$E68&gt;=InicioCiclo+28,"Después del ciclo","Semana "&amp;(INT(('Cronograma R. Normativo'!$E68-InicioCiclo)/7)+1))))</f>
        <v/>
      </c>
      <c r="G68" s="20">
        <f>IF(OR('Cronograma R. Normativo'!$A68="",'Cronograma R. Normativo'!$G68=""),"",'Cronograma R. Normativo'!$G68)</f>
        <v/>
      </c>
      <c r="H68" s="20">
        <f>IF(OR('Cronograma R. Normativo'!$A68="",'Cronograma R. Normativo'!$H68=""),"",'Cronograma R. Normativo'!$H68)</f>
        <v/>
      </c>
      <c r="I68" s="20">
        <f>IF(OR('Cronograma R. Normativo'!$A68="",'Cronograma R. Normativo'!$I68=""),"",'Cronograma R. Normativo'!$I68)</f>
        <v/>
      </c>
      <c r="J68" s="20">
        <f>IF(OR('Cronograma R. Normativo'!$A68="",'Cronograma R. Normativo'!$J68=""),"",'Cronograma R. Normativo'!$J68)</f>
        <v/>
      </c>
      <c r="K68" s="20">
        <f>IF('Cronograma R. Normativo'!$A68="","",'Cronograma R. Normativo'!$K68)</f>
        <v/>
      </c>
      <c r="L68" s="22">
        <f>IF('Cronograma R. Normativo'!$A68="","",IF(N('Cronograma R. Normativo'!$K68)&gt;=1,"Completado",IF(AND(ISNUMBER('Cronograma R. Normativo'!$E68),'Cronograma R. Normativo'!$E68&lt;FechaRef),"Vencida",IF(N('Cronograma R. Normativo'!$K68)&gt;0,"En curso","Pendiente"))))</f>
        <v/>
      </c>
      <c r="M68" s="41">
        <f>IF('Cronograma R. Normativo'!$A68="","",'Cronograma R. Normativo'!$M68&amp;"")</f>
        <v/>
      </c>
    </row>
    <row r="69">
      <c r="A69" s="22">
        <f>IF('Cronograma R. Normativo'!$A69="","",'Cronograma R. Normativo'!$A69)</f>
        <v/>
      </c>
      <c r="B69" s="41">
        <f>IF('Cronograma R. Normativo'!$A69="","",'Cronograma R. Normativo'!$B69&amp;"")</f>
        <v/>
      </c>
      <c r="C69" s="41">
        <f>IF('Cronograma R. Normativo'!$A69="","",'Cronograma R. Normativo'!$C69&amp;"")</f>
        <v/>
      </c>
      <c r="D69" s="63">
        <f>IF(OR('Cronograma R. Normativo'!$A69="",'Cronograma R. Normativo'!$D69=""),"",'Cronograma R. Normativo'!$D69)</f>
        <v/>
      </c>
      <c r="E69" s="63">
        <f>IF(OR('Cronograma R. Normativo'!$A69="",'Cronograma R. Normativo'!$E69=""),"",'Cronograma R. Normativo'!$E69)</f>
        <v/>
      </c>
      <c r="F69" s="22">
        <f>IF(OR('Cronograma R. Normativo'!$A69="",NOT(ISNUMBER('Cronograma R. Normativo'!$E69))),"",IF('Cronograma R. Normativo'!$E69&lt;InicioCiclo,"Antes del ciclo",IF('Cronograma R. Normativo'!$E69&gt;=InicioCiclo+28,"Después del ciclo","Semana "&amp;(INT(('Cronograma R. Normativo'!$E69-InicioCiclo)/7)+1))))</f>
        <v/>
      </c>
      <c r="G69" s="20">
        <f>IF(OR('Cronograma R. Normativo'!$A69="",'Cronograma R. Normativo'!$G69=""),"",'Cronograma R. Normativo'!$G69)</f>
        <v/>
      </c>
      <c r="H69" s="20">
        <f>IF(OR('Cronograma R. Normativo'!$A69="",'Cronograma R. Normativo'!$H69=""),"",'Cronograma R. Normativo'!$H69)</f>
        <v/>
      </c>
      <c r="I69" s="20">
        <f>IF(OR('Cronograma R. Normativo'!$A69="",'Cronograma R. Normativo'!$I69=""),"",'Cronograma R. Normativo'!$I69)</f>
        <v/>
      </c>
      <c r="J69" s="20">
        <f>IF(OR('Cronograma R. Normativo'!$A69="",'Cronograma R. Normativo'!$J69=""),"",'Cronograma R. Normativo'!$J69)</f>
        <v/>
      </c>
      <c r="K69" s="20">
        <f>IF('Cronograma R. Normativo'!$A69="","",'Cronograma R. Normativo'!$K69)</f>
        <v/>
      </c>
      <c r="L69" s="22">
        <f>IF('Cronograma R. Normativo'!$A69="","",IF(N('Cronograma R. Normativo'!$K69)&gt;=1,"Completado",IF(AND(ISNUMBER('Cronograma R. Normativo'!$E69),'Cronograma R. Normativo'!$E69&lt;FechaRef),"Vencida",IF(N('Cronograma R. Normativo'!$K69)&gt;0,"En curso","Pendiente"))))</f>
        <v/>
      </c>
      <c r="M69" s="41">
        <f>IF('Cronograma R. Normativo'!$A69="","",'Cronograma R. Normativo'!$M69&amp;"")</f>
        <v/>
      </c>
    </row>
    <row r="70">
      <c r="A70" s="22">
        <f>IF('Cronograma R. Normativo'!$A70="","",'Cronograma R. Normativo'!$A70)</f>
        <v/>
      </c>
      <c r="B70" s="41">
        <f>IF('Cronograma R. Normativo'!$A70="","",'Cronograma R. Normativo'!$B70&amp;"")</f>
        <v/>
      </c>
      <c r="C70" s="41">
        <f>IF('Cronograma R. Normativo'!$A70="","",'Cronograma R. Normativo'!$C70&amp;"")</f>
        <v/>
      </c>
      <c r="D70" s="63">
        <f>IF(OR('Cronograma R. Normativo'!$A70="",'Cronograma R. Normativo'!$D70=""),"",'Cronograma R. Normativo'!$D70)</f>
        <v/>
      </c>
      <c r="E70" s="63">
        <f>IF(OR('Cronograma R. Normativo'!$A70="",'Cronograma R. Normativo'!$E70=""),"",'Cronograma R. Normativo'!$E70)</f>
        <v/>
      </c>
      <c r="F70" s="22">
        <f>IF(OR('Cronograma R. Normativo'!$A70="",NOT(ISNUMBER('Cronograma R. Normativo'!$E70))),"",IF('Cronograma R. Normativo'!$E70&lt;InicioCiclo,"Antes del ciclo",IF('Cronograma R. Normativo'!$E70&gt;=InicioCiclo+28,"Después del ciclo","Semana "&amp;(INT(('Cronograma R. Normativo'!$E70-InicioCiclo)/7)+1))))</f>
        <v/>
      </c>
      <c r="G70" s="20">
        <f>IF(OR('Cronograma R. Normativo'!$A70="",'Cronograma R. Normativo'!$G70=""),"",'Cronograma R. Normativo'!$G70)</f>
        <v/>
      </c>
      <c r="H70" s="20">
        <f>IF(OR('Cronograma R. Normativo'!$A70="",'Cronograma R. Normativo'!$H70=""),"",'Cronograma R. Normativo'!$H70)</f>
        <v/>
      </c>
      <c r="I70" s="20">
        <f>IF(OR('Cronograma R. Normativo'!$A70="",'Cronograma R. Normativo'!$I70=""),"",'Cronograma R. Normativo'!$I70)</f>
        <v/>
      </c>
      <c r="J70" s="20">
        <f>IF(OR('Cronograma R. Normativo'!$A70="",'Cronograma R. Normativo'!$J70=""),"",'Cronograma R. Normativo'!$J70)</f>
        <v/>
      </c>
      <c r="K70" s="20">
        <f>IF('Cronograma R. Normativo'!$A70="","",'Cronograma R. Normativo'!$K70)</f>
        <v/>
      </c>
      <c r="L70" s="22">
        <f>IF('Cronograma R. Normativo'!$A70="","",IF(N('Cronograma R. Normativo'!$K70)&gt;=1,"Completado",IF(AND(ISNUMBER('Cronograma R. Normativo'!$E70),'Cronograma R. Normativo'!$E70&lt;FechaRef),"Vencida",IF(N('Cronograma R. Normativo'!$K70)&gt;0,"En curso","Pendiente"))))</f>
        <v/>
      </c>
      <c r="M70" s="41">
        <f>IF('Cronograma R. Normativo'!$A70="","",'Cronograma R. Normativo'!$M70&amp;"")</f>
        <v/>
      </c>
    </row>
    <row r="71">
      <c r="A71" s="22">
        <f>IF('Cronograma R. Normativo'!$A71="","",'Cronograma R. Normativo'!$A71)</f>
        <v/>
      </c>
      <c r="B71" s="41">
        <f>IF('Cronograma R. Normativo'!$A71="","",'Cronograma R. Normativo'!$B71&amp;"")</f>
        <v/>
      </c>
      <c r="C71" s="41">
        <f>IF('Cronograma R. Normativo'!$A71="","",'Cronograma R. Normativo'!$C71&amp;"")</f>
        <v/>
      </c>
      <c r="D71" s="63">
        <f>IF(OR('Cronograma R. Normativo'!$A71="",'Cronograma R. Normativo'!$D71=""),"",'Cronograma R. Normativo'!$D71)</f>
        <v/>
      </c>
      <c r="E71" s="63">
        <f>IF(OR('Cronograma R. Normativo'!$A71="",'Cronograma R. Normativo'!$E71=""),"",'Cronograma R. Normativo'!$E71)</f>
        <v/>
      </c>
      <c r="F71" s="22">
        <f>IF(OR('Cronograma R. Normativo'!$A71="",NOT(ISNUMBER('Cronograma R. Normativo'!$E71))),"",IF('Cronograma R. Normativo'!$E71&lt;InicioCiclo,"Antes del ciclo",IF('Cronograma R. Normativo'!$E71&gt;=InicioCiclo+28,"Después del ciclo","Semana "&amp;(INT(('Cronograma R. Normativo'!$E71-InicioCiclo)/7)+1))))</f>
        <v/>
      </c>
      <c r="G71" s="20">
        <f>IF(OR('Cronograma R. Normativo'!$A71="",'Cronograma R. Normativo'!$G71=""),"",'Cronograma R. Normativo'!$G71)</f>
        <v/>
      </c>
      <c r="H71" s="20">
        <f>IF(OR('Cronograma R. Normativo'!$A71="",'Cronograma R. Normativo'!$H71=""),"",'Cronograma R. Normativo'!$H71)</f>
        <v/>
      </c>
      <c r="I71" s="20">
        <f>IF(OR('Cronograma R. Normativo'!$A71="",'Cronograma R. Normativo'!$I71=""),"",'Cronograma R. Normativo'!$I71)</f>
        <v/>
      </c>
      <c r="J71" s="20">
        <f>IF(OR('Cronograma R. Normativo'!$A71="",'Cronograma R. Normativo'!$J71=""),"",'Cronograma R. Normativo'!$J71)</f>
        <v/>
      </c>
      <c r="K71" s="20">
        <f>IF('Cronograma R. Normativo'!$A71="","",'Cronograma R. Normativo'!$K71)</f>
        <v/>
      </c>
      <c r="L71" s="22">
        <f>IF('Cronograma R. Normativo'!$A71="","",IF(N('Cronograma R. Normativo'!$K71)&gt;=1,"Completado",IF(AND(ISNUMBER('Cronograma R. Normativo'!$E71),'Cronograma R. Normativo'!$E71&lt;FechaRef),"Vencida",IF(N('Cronograma R. Normativo'!$K71)&gt;0,"En curso","Pendiente"))))</f>
        <v/>
      </c>
      <c r="M71" s="41">
        <f>IF('Cronograma R. Normativo'!$A71="","",'Cronograma R. Normativo'!$M71&amp;"")</f>
        <v/>
      </c>
    </row>
    <row r="72">
      <c r="A72" s="22">
        <f>IF('Cronograma R. Normativo'!$A72="","",'Cronograma R. Normativo'!$A72)</f>
        <v/>
      </c>
      <c r="B72" s="41">
        <f>IF('Cronograma R. Normativo'!$A72="","",'Cronograma R. Normativo'!$B72&amp;"")</f>
        <v/>
      </c>
      <c r="C72" s="41">
        <f>IF('Cronograma R. Normativo'!$A72="","",'Cronograma R. Normativo'!$C72&amp;"")</f>
        <v/>
      </c>
      <c r="D72" s="63">
        <f>IF(OR('Cronograma R. Normativo'!$A72="",'Cronograma R. Normativo'!$D72=""),"",'Cronograma R. Normativo'!$D72)</f>
        <v/>
      </c>
      <c r="E72" s="63">
        <f>IF(OR('Cronograma R. Normativo'!$A72="",'Cronograma R. Normativo'!$E72=""),"",'Cronograma R. Normativo'!$E72)</f>
        <v/>
      </c>
      <c r="F72" s="22">
        <f>IF(OR('Cronograma R. Normativo'!$A72="",NOT(ISNUMBER('Cronograma R. Normativo'!$E72))),"",IF('Cronograma R. Normativo'!$E72&lt;InicioCiclo,"Antes del ciclo",IF('Cronograma R. Normativo'!$E72&gt;=InicioCiclo+28,"Después del ciclo","Semana "&amp;(INT(('Cronograma R. Normativo'!$E72-InicioCiclo)/7)+1))))</f>
        <v/>
      </c>
      <c r="G72" s="20">
        <f>IF(OR('Cronograma R. Normativo'!$A72="",'Cronograma R. Normativo'!$G72=""),"",'Cronograma R. Normativo'!$G72)</f>
        <v/>
      </c>
      <c r="H72" s="20">
        <f>IF(OR('Cronograma R. Normativo'!$A72="",'Cronograma R. Normativo'!$H72=""),"",'Cronograma R. Normativo'!$H72)</f>
        <v/>
      </c>
      <c r="I72" s="20">
        <f>IF(OR('Cronograma R. Normativo'!$A72="",'Cronograma R. Normativo'!$I72=""),"",'Cronograma R. Normativo'!$I72)</f>
        <v/>
      </c>
      <c r="J72" s="20">
        <f>IF(OR('Cronograma R. Normativo'!$A72="",'Cronograma R. Normativo'!$J72=""),"",'Cronograma R. Normativo'!$J72)</f>
        <v/>
      </c>
      <c r="K72" s="20">
        <f>IF('Cronograma R. Normativo'!$A72="","",'Cronograma R. Normativo'!$K72)</f>
        <v/>
      </c>
      <c r="L72" s="22">
        <f>IF('Cronograma R. Normativo'!$A72="","",IF(N('Cronograma R. Normativo'!$K72)&gt;=1,"Completado",IF(AND(ISNUMBER('Cronograma R. Normativo'!$E72),'Cronograma R. Normativo'!$E72&lt;FechaRef),"Vencida",IF(N('Cronograma R. Normativo'!$K72)&gt;0,"En curso","Pendiente"))))</f>
        <v/>
      </c>
      <c r="M72" s="41">
        <f>IF('Cronograma R. Normativo'!$A72="","",'Cronograma R. Normativo'!$M72&amp;"")</f>
        <v/>
      </c>
    </row>
    <row r="73">
      <c r="A73" s="22">
        <f>IF('Cronograma R. Normativo'!$A73="","",'Cronograma R. Normativo'!$A73)</f>
        <v/>
      </c>
      <c r="B73" s="41">
        <f>IF('Cronograma R. Normativo'!$A73="","",'Cronograma R. Normativo'!$B73&amp;"")</f>
        <v/>
      </c>
      <c r="C73" s="41">
        <f>IF('Cronograma R. Normativo'!$A73="","",'Cronograma R. Normativo'!$C73&amp;"")</f>
        <v/>
      </c>
      <c r="D73" s="63">
        <f>IF(OR('Cronograma R. Normativo'!$A73="",'Cronograma R. Normativo'!$D73=""),"",'Cronograma R. Normativo'!$D73)</f>
        <v/>
      </c>
      <c r="E73" s="63">
        <f>IF(OR('Cronograma R. Normativo'!$A73="",'Cronograma R. Normativo'!$E73=""),"",'Cronograma R. Normativo'!$E73)</f>
        <v/>
      </c>
      <c r="F73" s="22">
        <f>IF(OR('Cronograma R. Normativo'!$A73="",NOT(ISNUMBER('Cronograma R. Normativo'!$E73))),"",IF('Cronograma R. Normativo'!$E73&lt;InicioCiclo,"Antes del ciclo",IF('Cronograma R. Normativo'!$E73&gt;=InicioCiclo+28,"Después del ciclo","Semana "&amp;(INT(('Cronograma R. Normativo'!$E73-InicioCiclo)/7)+1))))</f>
        <v/>
      </c>
      <c r="G73" s="20">
        <f>IF(OR('Cronograma R. Normativo'!$A73="",'Cronograma R. Normativo'!$G73=""),"",'Cronograma R. Normativo'!$G73)</f>
        <v/>
      </c>
      <c r="H73" s="20">
        <f>IF(OR('Cronograma R. Normativo'!$A73="",'Cronograma R. Normativo'!$H73=""),"",'Cronograma R. Normativo'!$H73)</f>
        <v/>
      </c>
      <c r="I73" s="20">
        <f>IF(OR('Cronograma R. Normativo'!$A73="",'Cronograma R. Normativo'!$I73=""),"",'Cronograma R. Normativo'!$I73)</f>
        <v/>
      </c>
      <c r="J73" s="20">
        <f>IF(OR('Cronograma R. Normativo'!$A73="",'Cronograma R. Normativo'!$J73=""),"",'Cronograma R. Normativo'!$J73)</f>
        <v/>
      </c>
      <c r="K73" s="20">
        <f>IF('Cronograma R. Normativo'!$A73="","",'Cronograma R. Normativo'!$K73)</f>
        <v/>
      </c>
      <c r="L73" s="22">
        <f>IF('Cronograma R. Normativo'!$A73="","",IF(N('Cronograma R. Normativo'!$K73)&gt;=1,"Completado",IF(AND(ISNUMBER('Cronograma R. Normativo'!$E73),'Cronograma R. Normativo'!$E73&lt;FechaRef),"Vencida",IF(N('Cronograma R. Normativo'!$K73)&gt;0,"En curso","Pendiente"))))</f>
        <v/>
      </c>
      <c r="M73" s="41">
        <f>IF('Cronograma R. Normativo'!$A73="","",'Cronograma R. Normativo'!$M73&amp;"")</f>
        <v/>
      </c>
    </row>
    <row r="74">
      <c r="A74" s="22">
        <f>IF('Cronograma R. Normativo'!$A74="","",'Cronograma R. Normativo'!$A74)</f>
        <v/>
      </c>
      <c r="B74" s="41">
        <f>IF('Cronograma R. Normativo'!$A74="","",'Cronograma R. Normativo'!$B74&amp;"")</f>
        <v/>
      </c>
      <c r="C74" s="41">
        <f>IF('Cronograma R. Normativo'!$A74="","",'Cronograma R. Normativo'!$C74&amp;"")</f>
        <v/>
      </c>
      <c r="D74" s="63">
        <f>IF(OR('Cronograma R. Normativo'!$A74="",'Cronograma R. Normativo'!$D74=""),"",'Cronograma R. Normativo'!$D74)</f>
        <v/>
      </c>
      <c r="E74" s="63">
        <f>IF(OR('Cronograma R. Normativo'!$A74="",'Cronograma R. Normativo'!$E74=""),"",'Cronograma R. Normativo'!$E74)</f>
        <v/>
      </c>
      <c r="F74" s="22">
        <f>IF(OR('Cronograma R. Normativo'!$A74="",NOT(ISNUMBER('Cronograma R. Normativo'!$E74))),"",IF('Cronograma R. Normativo'!$E74&lt;InicioCiclo,"Antes del ciclo",IF('Cronograma R. Normativo'!$E74&gt;=InicioCiclo+28,"Después del ciclo","Semana "&amp;(INT(('Cronograma R. Normativo'!$E74-InicioCiclo)/7)+1))))</f>
        <v/>
      </c>
      <c r="G74" s="20">
        <f>IF(OR('Cronograma R. Normativo'!$A74="",'Cronograma R. Normativo'!$G74=""),"",'Cronograma R. Normativo'!$G74)</f>
        <v/>
      </c>
      <c r="H74" s="20">
        <f>IF(OR('Cronograma R. Normativo'!$A74="",'Cronograma R. Normativo'!$H74=""),"",'Cronograma R. Normativo'!$H74)</f>
        <v/>
      </c>
      <c r="I74" s="20">
        <f>IF(OR('Cronograma R. Normativo'!$A74="",'Cronograma R. Normativo'!$I74=""),"",'Cronograma R. Normativo'!$I74)</f>
        <v/>
      </c>
      <c r="J74" s="20">
        <f>IF(OR('Cronograma R. Normativo'!$A74="",'Cronograma R. Normativo'!$J74=""),"",'Cronograma R. Normativo'!$J74)</f>
        <v/>
      </c>
      <c r="K74" s="20">
        <f>IF('Cronograma R. Normativo'!$A74="","",'Cronograma R. Normativo'!$K74)</f>
        <v/>
      </c>
      <c r="L74" s="22">
        <f>IF('Cronograma R. Normativo'!$A74="","",IF(N('Cronograma R. Normativo'!$K74)&gt;=1,"Completado",IF(AND(ISNUMBER('Cronograma R. Normativo'!$E74),'Cronograma R. Normativo'!$E74&lt;FechaRef),"Vencida",IF(N('Cronograma R. Normativo'!$K74)&gt;0,"En curso","Pendiente"))))</f>
        <v/>
      </c>
      <c r="M74" s="41">
        <f>IF('Cronograma R. Normativo'!$A74="","",'Cronograma R. Normativo'!$M74&amp;"")</f>
        <v/>
      </c>
    </row>
    <row r="75">
      <c r="A75" s="22">
        <f>IF('Cronograma R. Normativo'!$A75="","",'Cronograma R. Normativo'!$A75)</f>
        <v/>
      </c>
      <c r="B75" s="41">
        <f>IF('Cronograma R. Normativo'!$A75="","",'Cronograma R. Normativo'!$B75&amp;"")</f>
        <v/>
      </c>
      <c r="C75" s="41">
        <f>IF('Cronograma R. Normativo'!$A75="","",'Cronograma R. Normativo'!$C75&amp;"")</f>
        <v/>
      </c>
      <c r="D75" s="63">
        <f>IF(OR('Cronograma R. Normativo'!$A75="",'Cronograma R. Normativo'!$D75=""),"",'Cronograma R. Normativo'!$D75)</f>
        <v/>
      </c>
      <c r="E75" s="63">
        <f>IF(OR('Cronograma R. Normativo'!$A75="",'Cronograma R. Normativo'!$E75=""),"",'Cronograma R. Normativo'!$E75)</f>
        <v/>
      </c>
      <c r="F75" s="22">
        <f>IF(OR('Cronograma R. Normativo'!$A75="",NOT(ISNUMBER('Cronograma R. Normativo'!$E75))),"",IF('Cronograma R. Normativo'!$E75&lt;InicioCiclo,"Antes del ciclo",IF('Cronograma R. Normativo'!$E75&gt;=InicioCiclo+28,"Después del ciclo","Semana "&amp;(INT(('Cronograma R. Normativo'!$E75-InicioCiclo)/7)+1))))</f>
        <v/>
      </c>
      <c r="G75" s="20">
        <f>IF(OR('Cronograma R. Normativo'!$A75="",'Cronograma R. Normativo'!$G75=""),"",'Cronograma R. Normativo'!$G75)</f>
        <v/>
      </c>
      <c r="H75" s="20">
        <f>IF(OR('Cronograma R. Normativo'!$A75="",'Cronograma R. Normativo'!$H75=""),"",'Cronograma R. Normativo'!$H75)</f>
        <v/>
      </c>
      <c r="I75" s="20">
        <f>IF(OR('Cronograma R. Normativo'!$A75="",'Cronograma R. Normativo'!$I75=""),"",'Cronograma R. Normativo'!$I75)</f>
        <v/>
      </c>
      <c r="J75" s="20">
        <f>IF(OR('Cronograma R. Normativo'!$A75="",'Cronograma R. Normativo'!$J75=""),"",'Cronograma R. Normativo'!$J75)</f>
        <v/>
      </c>
      <c r="K75" s="20">
        <f>IF('Cronograma R. Normativo'!$A75="","",'Cronograma R. Normativo'!$K75)</f>
        <v/>
      </c>
      <c r="L75" s="22">
        <f>IF('Cronograma R. Normativo'!$A75="","",IF(N('Cronograma R. Normativo'!$K75)&gt;=1,"Completado",IF(AND(ISNUMBER('Cronograma R. Normativo'!$E75),'Cronograma R. Normativo'!$E75&lt;FechaRef),"Vencida",IF(N('Cronograma R. Normativo'!$K75)&gt;0,"En curso","Pendiente"))))</f>
        <v/>
      </c>
      <c r="M75" s="41">
        <f>IF('Cronograma R. Normativo'!$A75="","",'Cronograma R. Normativo'!$M75&amp;"")</f>
        <v/>
      </c>
    </row>
    <row r="76">
      <c r="A76" s="22">
        <f>IF('Cronograma R. Normativo'!$A76="","",'Cronograma R. Normativo'!$A76)</f>
        <v/>
      </c>
      <c r="B76" s="41">
        <f>IF('Cronograma R. Normativo'!$A76="","",'Cronograma R. Normativo'!$B76&amp;"")</f>
        <v/>
      </c>
      <c r="C76" s="41">
        <f>IF('Cronograma R. Normativo'!$A76="","",'Cronograma R. Normativo'!$C76&amp;"")</f>
        <v/>
      </c>
      <c r="D76" s="63">
        <f>IF(OR('Cronograma R. Normativo'!$A76="",'Cronograma R. Normativo'!$D76=""),"",'Cronograma R. Normativo'!$D76)</f>
        <v/>
      </c>
      <c r="E76" s="63">
        <f>IF(OR('Cronograma R. Normativo'!$A76="",'Cronograma R. Normativo'!$E76=""),"",'Cronograma R. Normativo'!$E76)</f>
        <v/>
      </c>
      <c r="F76" s="22">
        <f>IF(OR('Cronograma R. Normativo'!$A76="",NOT(ISNUMBER('Cronograma R. Normativo'!$E76))),"",IF('Cronograma R. Normativo'!$E76&lt;InicioCiclo,"Antes del ciclo",IF('Cronograma R. Normativo'!$E76&gt;=InicioCiclo+28,"Después del ciclo","Semana "&amp;(INT(('Cronograma R. Normativo'!$E76-InicioCiclo)/7)+1))))</f>
        <v/>
      </c>
      <c r="G76" s="20">
        <f>IF(OR('Cronograma R. Normativo'!$A76="",'Cronograma R. Normativo'!$G76=""),"",'Cronograma R. Normativo'!$G76)</f>
        <v/>
      </c>
      <c r="H76" s="20">
        <f>IF(OR('Cronograma R. Normativo'!$A76="",'Cronograma R. Normativo'!$H76=""),"",'Cronograma R. Normativo'!$H76)</f>
        <v/>
      </c>
      <c r="I76" s="20">
        <f>IF(OR('Cronograma R. Normativo'!$A76="",'Cronograma R. Normativo'!$I76=""),"",'Cronograma R. Normativo'!$I76)</f>
        <v/>
      </c>
      <c r="J76" s="20">
        <f>IF(OR('Cronograma R. Normativo'!$A76="",'Cronograma R. Normativo'!$J76=""),"",'Cronograma R. Normativo'!$J76)</f>
        <v/>
      </c>
      <c r="K76" s="20">
        <f>IF('Cronograma R. Normativo'!$A76="","",'Cronograma R. Normativo'!$K76)</f>
        <v/>
      </c>
      <c r="L76" s="22">
        <f>IF('Cronograma R. Normativo'!$A76="","",IF(N('Cronograma R. Normativo'!$K76)&gt;=1,"Completado",IF(AND(ISNUMBER('Cronograma R. Normativo'!$E76),'Cronograma R. Normativo'!$E76&lt;FechaRef),"Vencida",IF(N('Cronograma R. Normativo'!$K76)&gt;0,"En curso","Pendiente"))))</f>
        <v/>
      </c>
      <c r="M76" s="41">
        <f>IF('Cronograma R. Normativo'!$A76="","",'Cronograma R. Normativo'!$M76&amp;"")</f>
        <v/>
      </c>
    </row>
    <row r="77">
      <c r="A77" s="22">
        <f>IF('Cronograma R. Normativo'!$A77="","",'Cronograma R. Normativo'!$A77)</f>
        <v/>
      </c>
      <c r="B77" s="41">
        <f>IF('Cronograma R. Normativo'!$A77="","",'Cronograma R. Normativo'!$B77&amp;"")</f>
        <v/>
      </c>
      <c r="C77" s="41">
        <f>IF('Cronograma R. Normativo'!$A77="","",'Cronograma R. Normativo'!$C77&amp;"")</f>
        <v/>
      </c>
      <c r="D77" s="63">
        <f>IF(OR('Cronograma R. Normativo'!$A77="",'Cronograma R. Normativo'!$D77=""),"",'Cronograma R. Normativo'!$D77)</f>
        <v/>
      </c>
      <c r="E77" s="63">
        <f>IF(OR('Cronograma R. Normativo'!$A77="",'Cronograma R. Normativo'!$E77=""),"",'Cronograma R. Normativo'!$E77)</f>
        <v/>
      </c>
      <c r="F77" s="22">
        <f>IF(OR('Cronograma R. Normativo'!$A77="",NOT(ISNUMBER('Cronograma R. Normativo'!$E77))),"",IF('Cronograma R. Normativo'!$E77&lt;InicioCiclo,"Antes del ciclo",IF('Cronograma R. Normativo'!$E77&gt;=InicioCiclo+28,"Después del ciclo","Semana "&amp;(INT(('Cronograma R. Normativo'!$E77-InicioCiclo)/7)+1))))</f>
        <v/>
      </c>
      <c r="G77" s="20">
        <f>IF(OR('Cronograma R. Normativo'!$A77="",'Cronograma R. Normativo'!$G77=""),"",'Cronograma R. Normativo'!$G77)</f>
        <v/>
      </c>
      <c r="H77" s="20">
        <f>IF(OR('Cronograma R. Normativo'!$A77="",'Cronograma R. Normativo'!$H77=""),"",'Cronograma R. Normativo'!$H77)</f>
        <v/>
      </c>
      <c r="I77" s="20">
        <f>IF(OR('Cronograma R. Normativo'!$A77="",'Cronograma R. Normativo'!$I77=""),"",'Cronograma R. Normativo'!$I77)</f>
        <v/>
      </c>
      <c r="J77" s="20">
        <f>IF(OR('Cronograma R. Normativo'!$A77="",'Cronograma R. Normativo'!$J77=""),"",'Cronograma R. Normativo'!$J77)</f>
        <v/>
      </c>
      <c r="K77" s="20">
        <f>IF('Cronograma R. Normativo'!$A77="","",'Cronograma R. Normativo'!$K77)</f>
        <v/>
      </c>
      <c r="L77" s="22">
        <f>IF('Cronograma R. Normativo'!$A77="","",IF(N('Cronograma R. Normativo'!$K77)&gt;=1,"Completado",IF(AND(ISNUMBER('Cronograma R. Normativo'!$E77),'Cronograma R. Normativo'!$E77&lt;FechaRef),"Vencida",IF(N('Cronograma R. Normativo'!$K77)&gt;0,"En curso","Pendiente"))))</f>
        <v/>
      </c>
      <c r="M77" s="41">
        <f>IF('Cronograma R. Normativo'!$A77="","",'Cronograma R. Normativo'!$M77&amp;"")</f>
        <v/>
      </c>
    </row>
    <row r="78">
      <c r="A78" s="22">
        <f>IF('Cronograma R. Normativo'!$A78="","",'Cronograma R. Normativo'!$A78)</f>
        <v/>
      </c>
      <c r="B78" s="41">
        <f>IF('Cronograma R. Normativo'!$A78="","",'Cronograma R. Normativo'!$B78&amp;"")</f>
        <v/>
      </c>
      <c r="C78" s="41">
        <f>IF('Cronograma R. Normativo'!$A78="","",'Cronograma R. Normativo'!$C78&amp;"")</f>
        <v/>
      </c>
      <c r="D78" s="63">
        <f>IF(OR('Cronograma R. Normativo'!$A78="",'Cronograma R. Normativo'!$D78=""),"",'Cronograma R. Normativo'!$D78)</f>
        <v/>
      </c>
      <c r="E78" s="63">
        <f>IF(OR('Cronograma R. Normativo'!$A78="",'Cronograma R. Normativo'!$E78=""),"",'Cronograma R. Normativo'!$E78)</f>
        <v/>
      </c>
      <c r="F78" s="22">
        <f>IF(OR('Cronograma R. Normativo'!$A78="",NOT(ISNUMBER('Cronograma R. Normativo'!$E78))),"",IF('Cronograma R. Normativo'!$E78&lt;InicioCiclo,"Antes del ciclo",IF('Cronograma R. Normativo'!$E78&gt;=InicioCiclo+28,"Después del ciclo","Semana "&amp;(INT(('Cronograma R. Normativo'!$E78-InicioCiclo)/7)+1))))</f>
        <v/>
      </c>
      <c r="G78" s="20">
        <f>IF(OR('Cronograma R. Normativo'!$A78="",'Cronograma R. Normativo'!$G78=""),"",'Cronograma R. Normativo'!$G78)</f>
        <v/>
      </c>
      <c r="H78" s="20">
        <f>IF(OR('Cronograma R. Normativo'!$A78="",'Cronograma R. Normativo'!$H78=""),"",'Cronograma R. Normativo'!$H78)</f>
        <v/>
      </c>
      <c r="I78" s="20">
        <f>IF(OR('Cronograma R. Normativo'!$A78="",'Cronograma R. Normativo'!$I78=""),"",'Cronograma R. Normativo'!$I78)</f>
        <v/>
      </c>
      <c r="J78" s="20">
        <f>IF(OR('Cronograma R. Normativo'!$A78="",'Cronograma R. Normativo'!$J78=""),"",'Cronograma R. Normativo'!$J78)</f>
        <v/>
      </c>
      <c r="K78" s="20">
        <f>IF('Cronograma R. Normativo'!$A78="","",'Cronograma R. Normativo'!$K78)</f>
        <v/>
      </c>
      <c r="L78" s="22">
        <f>IF('Cronograma R. Normativo'!$A78="","",IF(N('Cronograma R. Normativo'!$K78)&gt;=1,"Completado",IF(AND(ISNUMBER('Cronograma R. Normativo'!$E78),'Cronograma R. Normativo'!$E78&lt;FechaRef),"Vencida",IF(N('Cronograma R. Normativo'!$K78)&gt;0,"En curso","Pendiente"))))</f>
        <v/>
      </c>
      <c r="M78" s="41">
        <f>IF('Cronograma R. Normativo'!$A78="","",'Cronograma R. Normativo'!$M78&amp;"")</f>
        <v/>
      </c>
    </row>
    <row r="79">
      <c r="A79" s="22">
        <f>IF('Cronograma R. Normativo'!$A79="","",'Cronograma R. Normativo'!$A79)</f>
        <v/>
      </c>
      <c r="B79" s="41">
        <f>IF('Cronograma R. Normativo'!$A79="","",'Cronograma R. Normativo'!$B79&amp;"")</f>
        <v/>
      </c>
      <c r="C79" s="41">
        <f>IF('Cronograma R. Normativo'!$A79="","",'Cronograma R. Normativo'!$C79&amp;"")</f>
        <v/>
      </c>
      <c r="D79" s="63">
        <f>IF(OR('Cronograma R. Normativo'!$A79="",'Cronograma R. Normativo'!$D79=""),"",'Cronograma R. Normativo'!$D79)</f>
        <v/>
      </c>
      <c r="E79" s="63">
        <f>IF(OR('Cronograma R. Normativo'!$A79="",'Cronograma R. Normativo'!$E79=""),"",'Cronograma R. Normativo'!$E79)</f>
        <v/>
      </c>
      <c r="F79" s="22">
        <f>IF(OR('Cronograma R. Normativo'!$A79="",NOT(ISNUMBER('Cronograma R. Normativo'!$E79))),"",IF('Cronograma R. Normativo'!$E79&lt;InicioCiclo,"Antes del ciclo",IF('Cronograma R. Normativo'!$E79&gt;=InicioCiclo+28,"Después del ciclo","Semana "&amp;(INT(('Cronograma R. Normativo'!$E79-InicioCiclo)/7)+1))))</f>
        <v/>
      </c>
      <c r="G79" s="20">
        <f>IF(OR('Cronograma R. Normativo'!$A79="",'Cronograma R. Normativo'!$G79=""),"",'Cronograma R. Normativo'!$G79)</f>
        <v/>
      </c>
      <c r="H79" s="20">
        <f>IF(OR('Cronograma R. Normativo'!$A79="",'Cronograma R. Normativo'!$H79=""),"",'Cronograma R. Normativo'!$H79)</f>
        <v/>
      </c>
      <c r="I79" s="20">
        <f>IF(OR('Cronograma R. Normativo'!$A79="",'Cronograma R. Normativo'!$I79=""),"",'Cronograma R. Normativo'!$I79)</f>
        <v/>
      </c>
      <c r="J79" s="20">
        <f>IF(OR('Cronograma R. Normativo'!$A79="",'Cronograma R. Normativo'!$J79=""),"",'Cronograma R. Normativo'!$J79)</f>
        <v/>
      </c>
      <c r="K79" s="20">
        <f>IF('Cronograma R. Normativo'!$A79="","",'Cronograma R. Normativo'!$K79)</f>
        <v/>
      </c>
      <c r="L79" s="22">
        <f>IF('Cronograma R. Normativo'!$A79="","",IF(N('Cronograma R. Normativo'!$K79)&gt;=1,"Completado",IF(AND(ISNUMBER('Cronograma R. Normativo'!$E79),'Cronograma R. Normativo'!$E79&lt;FechaRef),"Vencida",IF(N('Cronograma R. Normativo'!$K79)&gt;0,"En curso","Pendiente"))))</f>
        <v/>
      </c>
      <c r="M79" s="41">
        <f>IF('Cronograma R. Normativo'!$A79="","",'Cronograma R. Normativo'!$M79&amp;"")</f>
        <v/>
      </c>
    </row>
    <row r="80">
      <c r="A80" s="22">
        <f>IF('Cronograma R. Normativo'!$A80="","",'Cronograma R. Normativo'!$A80)</f>
        <v/>
      </c>
      <c r="B80" s="41">
        <f>IF('Cronograma R. Normativo'!$A80="","",'Cronograma R. Normativo'!$B80&amp;"")</f>
        <v/>
      </c>
      <c r="C80" s="41">
        <f>IF('Cronograma R. Normativo'!$A80="","",'Cronograma R. Normativo'!$C80&amp;"")</f>
        <v/>
      </c>
      <c r="D80" s="63">
        <f>IF(OR('Cronograma R. Normativo'!$A80="",'Cronograma R. Normativo'!$D80=""),"",'Cronograma R. Normativo'!$D80)</f>
        <v/>
      </c>
      <c r="E80" s="63">
        <f>IF(OR('Cronograma R. Normativo'!$A80="",'Cronograma R. Normativo'!$E80=""),"",'Cronograma R. Normativo'!$E80)</f>
        <v/>
      </c>
      <c r="F80" s="22">
        <f>IF(OR('Cronograma R. Normativo'!$A80="",NOT(ISNUMBER('Cronograma R. Normativo'!$E80))),"",IF('Cronograma R. Normativo'!$E80&lt;InicioCiclo,"Antes del ciclo",IF('Cronograma R. Normativo'!$E80&gt;=InicioCiclo+28,"Después del ciclo","Semana "&amp;(INT(('Cronograma R. Normativo'!$E80-InicioCiclo)/7)+1))))</f>
        <v/>
      </c>
      <c r="G80" s="20">
        <f>IF(OR('Cronograma R. Normativo'!$A80="",'Cronograma R. Normativo'!$G80=""),"",'Cronograma R. Normativo'!$G80)</f>
        <v/>
      </c>
      <c r="H80" s="20">
        <f>IF(OR('Cronograma R. Normativo'!$A80="",'Cronograma R. Normativo'!$H80=""),"",'Cronograma R. Normativo'!$H80)</f>
        <v/>
      </c>
      <c r="I80" s="20">
        <f>IF(OR('Cronograma R. Normativo'!$A80="",'Cronograma R. Normativo'!$I80=""),"",'Cronograma R. Normativo'!$I80)</f>
        <v/>
      </c>
      <c r="J80" s="20">
        <f>IF(OR('Cronograma R. Normativo'!$A80="",'Cronograma R. Normativo'!$J80=""),"",'Cronograma R. Normativo'!$J80)</f>
        <v/>
      </c>
      <c r="K80" s="20">
        <f>IF('Cronograma R. Normativo'!$A80="","",'Cronograma R. Normativo'!$K80)</f>
        <v/>
      </c>
      <c r="L80" s="22">
        <f>IF('Cronograma R. Normativo'!$A80="","",IF(N('Cronograma R. Normativo'!$K80)&gt;=1,"Completado",IF(AND(ISNUMBER('Cronograma R. Normativo'!$E80),'Cronograma R. Normativo'!$E80&lt;FechaRef),"Vencida",IF(N('Cronograma R. Normativo'!$K80)&gt;0,"En curso","Pendiente"))))</f>
        <v/>
      </c>
      <c r="M80" s="41">
        <f>IF('Cronograma R. Normativo'!$A80="","",'Cronograma R. Normativo'!$M80&amp;"")</f>
        <v/>
      </c>
    </row>
    <row r="81">
      <c r="A81" s="22">
        <f>IF('Cronograma R. Normativo'!$A81="","",'Cronograma R. Normativo'!$A81)</f>
        <v/>
      </c>
      <c r="B81" s="41">
        <f>IF('Cronograma R. Normativo'!$A81="","",'Cronograma R. Normativo'!$B81&amp;"")</f>
        <v/>
      </c>
      <c r="C81" s="41">
        <f>IF('Cronograma R. Normativo'!$A81="","",'Cronograma R. Normativo'!$C81&amp;"")</f>
        <v/>
      </c>
      <c r="D81" s="63">
        <f>IF(OR('Cronograma R. Normativo'!$A81="",'Cronograma R. Normativo'!$D81=""),"",'Cronograma R. Normativo'!$D81)</f>
        <v/>
      </c>
      <c r="E81" s="63">
        <f>IF(OR('Cronograma R. Normativo'!$A81="",'Cronograma R. Normativo'!$E81=""),"",'Cronograma R. Normativo'!$E81)</f>
        <v/>
      </c>
      <c r="F81" s="22">
        <f>IF(OR('Cronograma R. Normativo'!$A81="",NOT(ISNUMBER('Cronograma R. Normativo'!$E81))),"",IF('Cronograma R. Normativo'!$E81&lt;InicioCiclo,"Antes del ciclo",IF('Cronograma R. Normativo'!$E81&gt;=InicioCiclo+28,"Después del ciclo","Semana "&amp;(INT(('Cronograma R. Normativo'!$E81-InicioCiclo)/7)+1))))</f>
        <v/>
      </c>
      <c r="G81" s="20">
        <f>IF(OR('Cronograma R. Normativo'!$A81="",'Cronograma R. Normativo'!$G81=""),"",'Cronograma R. Normativo'!$G81)</f>
        <v/>
      </c>
      <c r="H81" s="20">
        <f>IF(OR('Cronograma R. Normativo'!$A81="",'Cronograma R. Normativo'!$H81=""),"",'Cronograma R. Normativo'!$H81)</f>
        <v/>
      </c>
      <c r="I81" s="20">
        <f>IF(OR('Cronograma R. Normativo'!$A81="",'Cronograma R. Normativo'!$I81=""),"",'Cronograma R. Normativo'!$I81)</f>
        <v/>
      </c>
      <c r="J81" s="20">
        <f>IF(OR('Cronograma R. Normativo'!$A81="",'Cronograma R. Normativo'!$J81=""),"",'Cronograma R. Normativo'!$J81)</f>
        <v/>
      </c>
      <c r="K81" s="20">
        <f>IF('Cronograma R. Normativo'!$A81="","",'Cronograma R. Normativo'!$K81)</f>
        <v/>
      </c>
      <c r="L81" s="22">
        <f>IF('Cronograma R. Normativo'!$A81="","",IF(N('Cronograma R. Normativo'!$K81)&gt;=1,"Completado",IF(AND(ISNUMBER('Cronograma R. Normativo'!$E81),'Cronograma R. Normativo'!$E81&lt;FechaRef),"Vencida",IF(N('Cronograma R. Normativo'!$K81)&gt;0,"En curso","Pendiente"))))</f>
        <v/>
      </c>
      <c r="M81" s="41">
        <f>IF('Cronograma R. Normativo'!$A81="","",'Cronograma R. Normativo'!$M81&amp;"")</f>
        <v/>
      </c>
    </row>
    <row r="82">
      <c r="A82" s="22">
        <f>IF('Cronograma R. Normativo'!$A82="","",'Cronograma R. Normativo'!$A82)</f>
        <v/>
      </c>
      <c r="B82" s="41">
        <f>IF('Cronograma R. Normativo'!$A82="","",'Cronograma R. Normativo'!$B82&amp;"")</f>
        <v/>
      </c>
      <c r="C82" s="41">
        <f>IF('Cronograma R. Normativo'!$A82="","",'Cronograma R. Normativo'!$C82&amp;"")</f>
        <v/>
      </c>
      <c r="D82" s="63">
        <f>IF(OR('Cronograma R. Normativo'!$A82="",'Cronograma R. Normativo'!$D82=""),"",'Cronograma R. Normativo'!$D82)</f>
        <v/>
      </c>
      <c r="E82" s="63">
        <f>IF(OR('Cronograma R. Normativo'!$A82="",'Cronograma R. Normativo'!$E82=""),"",'Cronograma R. Normativo'!$E82)</f>
        <v/>
      </c>
      <c r="F82" s="22">
        <f>IF(OR('Cronograma R. Normativo'!$A82="",NOT(ISNUMBER('Cronograma R. Normativo'!$E82))),"",IF('Cronograma R. Normativo'!$E82&lt;InicioCiclo,"Antes del ciclo",IF('Cronograma R. Normativo'!$E82&gt;=InicioCiclo+28,"Después del ciclo","Semana "&amp;(INT(('Cronograma R. Normativo'!$E82-InicioCiclo)/7)+1))))</f>
        <v/>
      </c>
      <c r="G82" s="20">
        <f>IF(OR('Cronograma R. Normativo'!$A82="",'Cronograma R. Normativo'!$G82=""),"",'Cronograma R. Normativo'!$G82)</f>
        <v/>
      </c>
      <c r="H82" s="20">
        <f>IF(OR('Cronograma R. Normativo'!$A82="",'Cronograma R. Normativo'!$H82=""),"",'Cronograma R. Normativo'!$H82)</f>
        <v/>
      </c>
      <c r="I82" s="20">
        <f>IF(OR('Cronograma R. Normativo'!$A82="",'Cronograma R. Normativo'!$I82=""),"",'Cronograma R. Normativo'!$I82)</f>
        <v/>
      </c>
      <c r="J82" s="20">
        <f>IF(OR('Cronograma R. Normativo'!$A82="",'Cronograma R. Normativo'!$J82=""),"",'Cronograma R. Normativo'!$J82)</f>
        <v/>
      </c>
      <c r="K82" s="20">
        <f>IF('Cronograma R. Normativo'!$A82="","",'Cronograma R. Normativo'!$K82)</f>
        <v/>
      </c>
      <c r="L82" s="22">
        <f>IF('Cronograma R. Normativo'!$A82="","",IF(N('Cronograma R. Normativo'!$K82)&gt;=1,"Completado",IF(AND(ISNUMBER('Cronograma R. Normativo'!$E82),'Cronograma R. Normativo'!$E82&lt;FechaRef),"Vencida",IF(N('Cronograma R. Normativo'!$K82)&gt;0,"En curso","Pendiente"))))</f>
        <v/>
      </c>
      <c r="M82" s="41">
        <f>IF('Cronograma R. Normativo'!$A82="","",'Cronograma R. Normativo'!$M82&amp;"")</f>
        <v/>
      </c>
    </row>
    <row r="83">
      <c r="A83" s="22">
        <f>IF('Cronograma R. Normativo'!$A83="","",'Cronograma R. Normativo'!$A83)</f>
        <v/>
      </c>
      <c r="B83" s="41">
        <f>IF('Cronograma R. Normativo'!$A83="","",'Cronograma R. Normativo'!$B83&amp;"")</f>
        <v/>
      </c>
      <c r="C83" s="41">
        <f>IF('Cronograma R. Normativo'!$A83="","",'Cronograma R. Normativo'!$C83&amp;"")</f>
        <v/>
      </c>
      <c r="D83" s="63">
        <f>IF(OR('Cronograma R. Normativo'!$A83="",'Cronograma R. Normativo'!$D83=""),"",'Cronograma R. Normativo'!$D83)</f>
        <v/>
      </c>
      <c r="E83" s="63">
        <f>IF(OR('Cronograma R. Normativo'!$A83="",'Cronograma R. Normativo'!$E83=""),"",'Cronograma R. Normativo'!$E83)</f>
        <v/>
      </c>
      <c r="F83" s="22">
        <f>IF(OR('Cronograma R. Normativo'!$A83="",NOT(ISNUMBER('Cronograma R. Normativo'!$E83))),"",IF('Cronograma R. Normativo'!$E83&lt;InicioCiclo,"Antes del ciclo",IF('Cronograma R. Normativo'!$E83&gt;=InicioCiclo+28,"Después del ciclo","Semana "&amp;(INT(('Cronograma R. Normativo'!$E83-InicioCiclo)/7)+1))))</f>
        <v/>
      </c>
      <c r="G83" s="20">
        <f>IF(OR('Cronograma R. Normativo'!$A83="",'Cronograma R. Normativo'!$G83=""),"",'Cronograma R. Normativo'!$G83)</f>
        <v/>
      </c>
      <c r="H83" s="20">
        <f>IF(OR('Cronograma R. Normativo'!$A83="",'Cronograma R. Normativo'!$H83=""),"",'Cronograma R. Normativo'!$H83)</f>
        <v/>
      </c>
      <c r="I83" s="20">
        <f>IF(OR('Cronograma R. Normativo'!$A83="",'Cronograma R. Normativo'!$I83=""),"",'Cronograma R. Normativo'!$I83)</f>
        <v/>
      </c>
      <c r="J83" s="20">
        <f>IF(OR('Cronograma R. Normativo'!$A83="",'Cronograma R. Normativo'!$J83=""),"",'Cronograma R. Normativo'!$J83)</f>
        <v/>
      </c>
      <c r="K83" s="20">
        <f>IF('Cronograma R. Normativo'!$A83="","",'Cronograma R. Normativo'!$K83)</f>
        <v/>
      </c>
      <c r="L83" s="22">
        <f>IF('Cronograma R. Normativo'!$A83="","",IF(N('Cronograma R. Normativo'!$K83)&gt;=1,"Completado",IF(AND(ISNUMBER('Cronograma R. Normativo'!$E83),'Cronograma R. Normativo'!$E83&lt;FechaRef),"Vencida",IF(N('Cronograma R. Normativo'!$K83)&gt;0,"En curso","Pendiente"))))</f>
        <v/>
      </c>
      <c r="M83" s="41">
        <f>IF('Cronograma R. Normativo'!$A83="","",'Cronograma R. Normativo'!$M83&amp;"")</f>
        <v/>
      </c>
    </row>
    <row r="84">
      <c r="A84" s="22">
        <f>IF('Cronograma R. Normativo'!$A84="","",'Cronograma R. Normativo'!$A84)</f>
        <v/>
      </c>
      <c r="B84" s="41">
        <f>IF('Cronograma R. Normativo'!$A84="","",'Cronograma R. Normativo'!$B84&amp;"")</f>
        <v/>
      </c>
      <c r="C84" s="41">
        <f>IF('Cronograma R. Normativo'!$A84="","",'Cronograma R. Normativo'!$C84&amp;"")</f>
        <v/>
      </c>
      <c r="D84" s="63">
        <f>IF(OR('Cronograma R. Normativo'!$A84="",'Cronograma R. Normativo'!$D84=""),"",'Cronograma R. Normativo'!$D84)</f>
        <v/>
      </c>
      <c r="E84" s="63">
        <f>IF(OR('Cronograma R. Normativo'!$A84="",'Cronograma R. Normativo'!$E84=""),"",'Cronograma R. Normativo'!$E84)</f>
        <v/>
      </c>
      <c r="F84" s="22">
        <f>IF(OR('Cronograma R. Normativo'!$A84="",NOT(ISNUMBER('Cronograma R. Normativo'!$E84))),"",IF('Cronograma R. Normativo'!$E84&lt;InicioCiclo,"Antes del ciclo",IF('Cronograma R. Normativo'!$E84&gt;=InicioCiclo+28,"Después del ciclo","Semana "&amp;(INT(('Cronograma R. Normativo'!$E84-InicioCiclo)/7)+1))))</f>
        <v/>
      </c>
      <c r="G84" s="20">
        <f>IF(OR('Cronograma R. Normativo'!$A84="",'Cronograma R. Normativo'!$G84=""),"",'Cronograma R. Normativo'!$G84)</f>
        <v/>
      </c>
      <c r="H84" s="20">
        <f>IF(OR('Cronograma R. Normativo'!$A84="",'Cronograma R. Normativo'!$H84=""),"",'Cronograma R. Normativo'!$H84)</f>
        <v/>
      </c>
      <c r="I84" s="20">
        <f>IF(OR('Cronograma R. Normativo'!$A84="",'Cronograma R. Normativo'!$I84=""),"",'Cronograma R. Normativo'!$I84)</f>
        <v/>
      </c>
      <c r="J84" s="20">
        <f>IF(OR('Cronograma R. Normativo'!$A84="",'Cronograma R. Normativo'!$J84=""),"",'Cronograma R. Normativo'!$J84)</f>
        <v/>
      </c>
      <c r="K84" s="20">
        <f>IF('Cronograma R. Normativo'!$A84="","",'Cronograma R. Normativo'!$K84)</f>
        <v/>
      </c>
      <c r="L84" s="22">
        <f>IF('Cronograma R. Normativo'!$A84="","",IF(N('Cronograma R. Normativo'!$K84)&gt;=1,"Completado",IF(AND(ISNUMBER('Cronograma R. Normativo'!$E84),'Cronograma R. Normativo'!$E84&lt;FechaRef),"Vencida",IF(N('Cronograma R. Normativo'!$K84)&gt;0,"En curso","Pendiente"))))</f>
        <v/>
      </c>
      <c r="M84" s="41">
        <f>IF('Cronograma R. Normativo'!$A84="","",'Cronograma R. Normativo'!$M84&amp;"")</f>
        <v/>
      </c>
    </row>
    <row r="85">
      <c r="A85" s="22">
        <f>IF('Cronograma R. Normativo'!$A85="","",'Cronograma R. Normativo'!$A85)</f>
        <v/>
      </c>
      <c r="B85" s="41">
        <f>IF('Cronograma R. Normativo'!$A85="","",'Cronograma R. Normativo'!$B85&amp;"")</f>
        <v/>
      </c>
      <c r="C85" s="41">
        <f>IF('Cronograma R. Normativo'!$A85="","",'Cronograma R. Normativo'!$C85&amp;"")</f>
        <v/>
      </c>
      <c r="D85" s="63">
        <f>IF(OR('Cronograma R. Normativo'!$A85="",'Cronograma R. Normativo'!$D85=""),"",'Cronograma R. Normativo'!$D85)</f>
        <v/>
      </c>
      <c r="E85" s="63">
        <f>IF(OR('Cronograma R. Normativo'!$A85="",'Cronograma R. Normativo'!$E85=""),"",'Cronograma R. Normativo'!$E85)</f>
        <v/>
      </c>
      <c r="F85" s="22">
        <f>IF(OR('Cronograma R. Normativo'!$A85="",NOT(ISNUMBER('Cronograma R. Normativo'!$E85))),"",IF('Cronograma R. Normativo'!$E85&lt;InicioCiclo,"Antes del ciclo",IF('Cronograma R. Normativo'!$E85&gt;=InicioCiclo+28,"Después del ciclo","Semana "&amp;(INT(('Cronograma R. Normativo'!$E85-InicioCiclo)/7)+1))))</f>
        <v/>
      </c>
      <c r="G85" s="20">
        <f>IF(OR('Cronograma R. Normativo'!$A85="",'Cronograma R. Normativo'!$G85=""),"",'Cronograma R. Normativo'!$G85)</f>
        <v/>
      </c>
      <c r="H85" s="20">
        <f>IF(OR('Cronograma R. Normativo'!$A85="",'Cronograma R. Normativo'!$H85=""),"",'Cronograma R. Normativo'!$H85)</f>
        <v/>
      </c>
      <c r="I85" s="20">
        <f>IF(OR('Cronograma R. Normativo'!$A85="",'Cronograma R. Normativo'!$I85=""),"",'Cronograma R. Normativo'!$I85)</f>
        <v/>
      </c>
      <c r="J85" s="20">
        <f>IF(OR('Cronograma R. Normativo'!$A85="",'Cronograma R. Normativo'!$J85=""),"",'Cronograma R. Normativo'!$J85)</f>
        <v/>
      </c>
      <c r="K85" s="20">
        <f>IF('Cronograma R. Normativo'!$A85="","",'Cronograma R. Normativo'!$K85)</f>
        <v/>
      </c>
      <c r="L85" s="22">
        <f>IF('Cronograma R. Normativo'!$A85="","",IF(N('Cronograma R. Normativo'!$K85)&gt;=1,"Completado",IF(AND(ISNUMBER('Cronograma R. Normativo'!$E85),'Cronograma R. Normativo'!$E85&lt;FechaRef),"Vencida",IF(N('Cronograma R. Normativo'!$K85)&gt;0,"En curso","Pendiente"))))</f>
        <v/>
      </c>
      <c r="M85" s="41">
        <f>IF('Cronograma R. Normativo'!$A85="","",'Cronograma R. Normativo'!$M85&amp;"")</f>
        <v/>
      </c>
    </row>
    <row r="86">
      <c r="A86" s="22">
        <f>IF('Cronograma R. Normativo'!$A86="","",'Cronograma R. Normativo'!$A86)</f>
        <v/>
      </c>
      <c r="B86" s="41">
        <f>IF('Cronograma R. Normativo'!$A86="","",'Cronograma R. Normativo'!$B86&amp;"")</f>
        <v/>
      </c>
      <c r="C86" s="41">
        <f>IF('Cronograma R. Normativo'!$A86="","",'Cronograma R. Normativo'!$C86&amp;"")</f>
        <v/>
      </c>
      <c r="D86" s="63">
        <f>IF(OR('Cronograma R. Normativo'!$A86="",'Cronograma R. Normativo'!$D86=""),"",'Cronograma R. Normativo'!$D86)</f>
        <v/>
      </c>
      <c r="E86" s="63">
        <f>IF(OR('Cronograma R. Normativo'!$A86="",'Cronograma R. Normativo'!$E86=""),"",'Cronograma R. Normativo'!$E86)</f>
        <v/>
      </c>
      <c r="F86" s="22">
        <f>IF(OR('Cronograma R. Normativo'!$A86="",NOT(ISNUMBER('Cronograma R. Normativo'!$E86))),"",IF('Cronograma R. Normativo'!$E86&lt;InicioCiclo,"Antes del ciclo",IF('Cronograma R. Normativo'!$E86&gt;=InicioCiclo+28,"Después del ciclo","Semana "&amp;(INT(('Cronograma R. Normativo'!$E86-InicioCiclo)/7)+1))))</f>
        <v/>
      </c>
      <c r="G86" s="20">
        <f>IF(OR('Cronograma R. Normativo'!$A86="",'Cronograma R. Normativo'!$G86=""),"",'Cronograma R. Normativo'!$G86)</f>
        <v/>
      </c>
      <c r="H86" s="20">
        <f>IF(OR('Cronograma R. Normativo'!$A86="",'Cronograma R. Normativo'!$H86=""),"",'Cronograma R. Normativo'!$H86)</f>
        <v/>
      </c>
      <c r="I86" s="20">
        <f>IF(OR('Cronograma R. Normativo'!$A86="",'Cronograma R. Normativo'!$I86=""),"",'Cronograma R. Normativo'!$I86)</f>
        <v/>
      </c>
      <c r="J86" s="20">
        <f>IF(OR('Cronograma R. Normativo'!$A86="",'Cronograma R. Normativo'!$J86=""),"",'Cronograma R. Normativo'!$J86)</f>
        <v/>
      </c>
      <c r="K86" s="20">
        <f>IF('Cronograma R. Normativo'!$A86="","",'Cronograma R. Normativo'!$K86)</f>
        <v/>
      </c>
      <c r="L86" s="22">
        <f>IF('Cronograma R. Normativo'!$A86="","",IF(N('Cronograma R. Normativo'!$K86)&gt;=1,"Completado",IF(AND(ISNUMBER('Cronograma R. Normativo'!$E86),'Cronograma R. Normativo'!$E86&lt;FechaRef),"Vencida",IF(N('Cronograma R. Normativo'!$K86)&gt;0,"En curso","Pendiente"))))</f>
        <v/>
      </c>
      <c r="M86" s="41">
        <f>IF('Cronograma R. Normativo'!$A86="","",'Cronograma R. Normativo'!$M86&amp;"")</f>
        <v/>
      </c>
    </row>
    <row r="87">
      <c r="A87" s="22">
        <f>IF('Cronograma R. Normativo'!$A87="","",'Cronograma R. Normativo'!$A87)</f>
        <v/>
      </c>
      <c r="B87" s="41">
        <f>IF('Cronograma R. Normativo'!$A87="","",'Cronograma R. Normativo'!$B87&amp;"")</f>
        <v/>
      </c>
      <c r="C87" s="41">
        <f>IF('Cronograma R. Normativo'!$A87="","",'Cronograma R. Normativo'!$C87&amp;"")</f>
        <v/>
      </c>
      <c r="D87" s="63">
        <f>IF(OR('Cronograma R. Normativo'!$A87="",'Cronograma R. Normativo'!$D87=""),"",'Cronograma R. Normativo'!$D87)</f>
        <v/>
      </c>
      <c r="E87" s="63">
        <f>IF(OR('Cronograma R. Normativo'!$A87="",'Cronograma R. Normativo'!$E87=""),"",'Cronograma R. Normativo'!$E87)</f>
        <v/>
      </c>
      <c r="F87" s="22">
        <f>IF(OR('Cronograma R. Normativo'!$A87="",NOT(ISNUMBER('Cronograma R. Normativo'!$E87))),"",IF('Cronograma R. Normativo'!$E87&lt;InicioCiclo,"Antes del ciclo",IF('Cronograma R. Normativo'!$E87&gt;=InicioCiclo+28,"Después del ciclo","Semana "&amp;(INT(('Cronograma R. Normativo'!$E87-InicioCiclo)/7)+1))))</f>
        <v/>
      </c>
      <c r="G87" s="20">
        <f>IF(OR('Cronograma R. Normativo'!$A87="",'Cronograma R. Normativo'!$G87=""),"",'Cronograma R. Normativo'!$G87)</f>
        <v/>
      </c>
      <c r="H87" s="20">
        <f>IF(OR('Cronograma R. Normativo'!$A87="",'Cronograma R. Normativo'!$H87=""),"",'Cronograma R. Normativo'!$H87)</f>
        <v/>
      </c>
      <c r="I87" s="20">
        <f>IF(OR('Cronograma R. Normativo'!$A87="",'Cronograma R. Normativo'!$I87=""),"",'Cronograma R. Normativo'!$I87)</f>
        <v/>
      </c>
      <c r="J87" s="20">
        <f>IF(OR('Cronograma R. Normativo'!$A87="",'Cronograma R. Normativo'!$J87=""),"",'Cronograma R. Normativo'!$J87)</f>
        <v/>
      </c>
      <c r="K87" s="20">
        <f>IF('Cronograma R. Normativo'!$A87="","",'Cronograma R. Normativo'!$K87)</f>
        <v/>
      </c>
      <c r="L87" s="22">
        <f>IF('Cronograma R. Normativo'!$A87="","",IF(N('Cronograma R. Normativo'!$K87)&gt;=1,"Completado",IF(AND(ISNUMBER('Cronograma R. Normativo'!$E87),'Cronograma R. Normativo'!$E87&lt;FechaRef),"Vencida",IF(N('Cronograma R. Normativo'!$K87)&gt;0,"En curso","Pendiente"))))</f>
        <v/>
      </c>
      <c r="M87" s="41">
        <f>IF('Cronograma R. Normativo'!$A87="","",'Cronograma R. Normativo'!$M87&amp;"")</f>
        <v/>
      </c>
    </row>
    <row r="88">
      <c r="A88" s="22">
        <f>IF('Cronograma R. Normativo'!$A88="","",'Cronograma R. Normativo'!$A88)</f>
        <v/>
      </c>
      <c r="B88" s="41">
        <f>IF('Cronograma R. Normativo'!$A88="","",'Cronograma R. Normativo'!$B88&amp;"")</f>
        <v/>
      </c>
      <c r="C88" s="41">
        <f>IF('Cronograma R. Normativo'!$A88="","",'Cronograma R. Normativo'!$C88&amp;"")</f>
        <v/>
      </c>
      <c r="D88" s="63">
        <f>IF(OR('Cronograma R. Normativo'!$A88="",'Cronograma R. Normativo'!$D88=""),"",'Cronograma R. Normativo'!$D88)</f>
        <v/>
      </c>
      <c r="E88" s="63">
        <f>IF(OR('Cronograma R. Normativo'!$A88="",'Cronograma R. Normativo'!$E88=""),"",'Cronograma R. Normativo'!$E88)</f>
        <v/>
      </c>
      <c r="F88" s="22">
        <f>IF(OR('Cronograma R. Normativo'!$A88="",NOT(ISNUMBER('Cronograma R. Normativo'!$E88))),"",IF('Cronograma R. Normativo'!$E88&lt;InicioCiclo,"Antes del ciclo",IF('Cronograma R. Normativo'!$E88&gt;=InicioCiclo+28,"Después del ciclo","Semana "&amp;(INT(('Cronograma R. Normativo'!$E88-InicioCiclo)/7)+1))))</f>
        <v/>
      </c>
      <c r="G88" s="20">
        <f>IF(OR('Cronograma R. Normativo'!$A88="",'Cronograma R. Normativo'!$G88=""),"",'Cronograma R. Normativo'!$G88)</f>
        <v/>
      </c>
      <c r="H88" s="20">
        <f>IF(OR('Cronograma R. Normativo'!$A88="",'Cronograma R. Normativo'!$H88=""),"",'Cronograma R. Normativo'!$H88)</f>
        <v/>
      </c>
      <c r="I88" s="20">
        <f>IF(OR('Cronograma R. Normativo'!$A88="",'Cronograma R. Normativo'!$I88=""),"",'Cronograma R. Normativo'!$I88)</f>
        <v/>
      </c>
      <c r="J88" s="20">
        <f>IF(OR('Cronograma R. Normativo'!$A88="",'Cronograma R. Normativo'!$J88=""),"",'Cronograma R. Normativo'!$J88)</f>
        <v/>
      </c>
      <c r="K88" s="20">
        <f>IF('Cronograma R. Normativo'!$A88="","",'Cronograma R. Normativo'!$K88)</f>
        <v/>
      </c>
      <c r="L88" s="22">
        <f>IF('Cronograma R. Normativo'!$A88="","",IF(N('Cronograma R. Normativo'!$K88)&gt;=1,"Completado",IF(AND(ISNUMBER('Cronograma R. Normativo'!$E88),'Cronograma R. Normativo'!$E88&lt;FechaRef),"Vencida",IF(N('Cronograma R. Normativo'!$K88)&gt;0,"En curso","Pendiente"))))</f>
        <v/>
      </c>
      <c r="M88" s="41">
        <f>IF('Cronograma R. Normativo'!$A88="","",'Cronograma R. Normativo'!$M88&amp;"")</f>
        <v/>
      </c>
    </row>
    <row r="89">
      <c r="A89" s="22">
        <f>IF('Cronograma R. Normativo'!$A89="","",'Cronograma R. Normativo'!$A89)</f>
        <v/>
      </c>
      <c r="B89" s="41">
        <f>IF('Cronograma R. Normativo'!$A89="","",'Cronograma R. Normativo'!$B89&amp;"")</f>
        <v/>
      </c>
      <c r="C89" s="41">
        <f>IF('Cronograma R. Normativo'!$A89="","",'Cronograma R. Normativo'!$C89&amp;"")</f>
        <v/>
      </c>
      <c r="D89" s="63">
        <f>IF(OR('Cronograma R. Normativo'!$A89="",'Cronograma R. Normativo'!$D89=""),"",'Cronograma R. Normativo'!$D89)</f>
        <v/>
      </c>
      <c r="E89" s="63">
        <f>IF(OR('Cronograma R. Normativo'!$A89="",'Cronograma R. Normativo'!$E89=""),"",'Cronograma R. Normativo'!$E89)</f>
        <v/>
      </c>
      <c r="F89" s="22">
        <f>IF(OR('Cronograma R. Normativo'!$A89="",NOT(ISNUMBER('Cronograma R. Normativo'!$E89))),"",IF('Cronograma R. Normativo'!$E89&lt;InicioCiclo,"Antes del ciclo",IF('Cronograma R. Normativo'!$E89&gt;=InicioCiclo+28,"Después del ciclo","Semana "&amp;(INT(('Cronograma R. Normativo'!$E89-InicioCiclo)/7)+1))))</f>
        <v/>
      </c>
      <c r="G89" s="20">
        <f>IF(OR('Cronograma R. Normativo'!$A89="",'Cronograma R. Normativo'!$G89=""),"",'Cronograma R. Normativo'!$G89)</f>
        <v/>
      </c>
      <c r="H89" s="20">
        <f>IF(OR('Cronograma R. Normativo'!$A89="",'Cronograma R. Normativo'!$H89=""),"",'Cronograma R. Normativo'!$H89)</f>
        <v/>
      </c>
      <c r="I89" s="20">
        <f>IF(OR('Cronograma R. Normativo'!$A89="",'Cronograma R. Normativo'!$I89=""),"",'Cronograma R. Normativo'!$I89)</f>
        <v/>
      </c>
      <c r="J89" s="20">
        <f>IF(OR('Cronograma R. Normativo'!$A89="",'Cronograma R. Normativo'!$J89=""),"",'Cronograma R. Normativo'!$J89)</f>
        <v/>
      </c>
      <c r="K89" s="20">
        <f>IF('Cronograma R. Normativo'!$A89="","",'Cronograma R. Normativo'!$K89)</f>
        <v/>
      </c>
      <c r="L89" s="22">
        <f>IF('Cronograma R. Normativo'!$A89="","",IF(N('Cronograma R. Normativo'!$K89)&gt;=1,"Completado",IF(AND(ISNUMBER('Cronograma R. Normativo'!$E89),'Cronograma R. Normativo'!$E89&lt;FechaRef),"Vencida",IF(N('Cronograma R. Normativo'!$K89)&gt;0,"En curso","Pendiente"))))</f>
        <v/>
      </c>
      <c r="M89" s="41">
        <f>IF('Cronograma R. Normativo'!$A89="","",'Cronograma R. Normativo'!$M89&amp;"")</f>
        <v/>
      </c>
    </row>
    <row r="90">
      <c r="A90" s="22">
        <f>IF('Cronograma R. Normativo'!$A90="","",'Cronograma R. Normativo'!$A90)</f>
        <v/>
      </c>
      <c r="B90" s="41">
        <f>IF('Cronograma R. Normativo'!$A90="","",'Cronograma R. Normativo'!$B90&amp;"")</f>
        <v/>
      </c>
      <c r="C90" s="41">
        <f>IF('Cronograma R. Normativo'!$A90="","",'Cronograma R. Normativo'!$C90&amp;"")</f>
        <v/>
      </c>
      <c r="D90" s="63">
        <f>IF(OR('Cronograma R. Normativo'!$A90="",'Cronograma R. Normativo'!$D90=""),"",'Cronograma R. Normativo'!$D90)</f>
        <v/>
      </c>
      <c r="E90" s="63">
        <f>IF(OR('Cronograma R. Normativo'!$A90="",'Cronograma R. Normativo'!$E90=""),"",'Cronograma R. Normativo'!$E90)</f>
        <v/>
      </c>
      <c r="F90" s="22">
        <f>IF(OR('Cronograma R. Normativo'!$A90="",NOT(ISNUMBER('Cronograma R. Normativo'!$E90))),"",IF('Cronograma R. Normativo'!$E90&lt;InicioCiclo,"Antes del ciclo",IF('Cronograma R. Normativo'!$E90&gt;=InicioCiclo+28,"Después del ciclo","Semana "&amp;(INT(('Cronograma R. Normativo'!$E90-InicioCiclo)/7)+1))))</f>
        <v/>
      </c>
      <c r="G90" s="20">
        <f>IF(OR('Cronograma R. Normativo'!$A90="",'Cronograma R. Normativo'!$G90=""),"",'Cronograma R. Normativo'!$G90)</f>
        <v/>
      </c>
      <c r="H90" s="20">
        <f>IF(OR('Cronograma R. Normativo'!$A90="",'Cronograma R. Normativo'!$H90=""),"",'Cronograma R. Normativo'!$H90)</f>
        <v/>
      </c>
      <c r="I90" s="20">
        <f>IF(OR('Cronograma R. Normativo'!$A90="",'Cronograma R. Normativo'!$I90=""),"",'Cronograma R. Normativo'!$I90)</f>
        <v/>
      </c>
      <c r="J90" s="20">
        <f>IF(OR('Cronograma R. Normativo'!$A90="",'Cronograma R. Normativo'!$J90=""),"",'Cronograma R. Normativo'!$J90)</f>
        <v/>
      </c>
      <c r="K90" s="20">
        <f>IF('Cronograma R. Normativo'!$A90="","",'Cronograma R. Normativo'!$K90)</f>
        <v/>
      </c>
      <c r="L90" s="22">
        <f>IF('Cronograma R. Normativo'!$A90="","",IF(N('Cronograma R. Normativo'!$K90)&gt;=1,"Completado",IF(AND(ISNUMBER('Cronograma R. Normativo'!$E90),'Cronograma R. Normativo'!$E90&lt;FechaRef),"Vencida",IF(N('Cronograma R. Normativo'!$K90)&gt;0,"En curso","Pendiente"))))</f>
        <v/>
      </c>
      <c r="M90" s="41">
        <f>IF('Cronograma R. Normativo'!$A90="","",'Cronograma R. Normativo'!$M90&amp;"")</f>
        <v/>
      </c>
    </row>
    <row r="91">
      <c r="A91" s="22">
        <f>IF('Cronograma R. Normativo'!$A91="","",'Cronograma R. Normativo'!$A91)</f>
        <v/>
      </c>
      <c r="B91" s="41">
        <f>IF('Cronograma R. Normativo'!$A91="","",'Cronograma R. Normativo'!$B91&amp;"")</f>
        <v/>
      </c>
      <c r="C91" s="41">
        <f>IF('Cronograma R. Normativo'!$A91="","",'Cronograma R. Normativo'!$C91&amp;"")</f>
        <v/>
      </c>
      <c r="D91" s="63">
        <f>IF(OR('Cronograma R. Normativo'!$A91="",'Cronograma R. Normativo'!$D91=""),"",'Cronograma R. Normativo'!$D91)</f>
        <v/>
      </c>
      <c r="E91" s="63">
        <f>IF(OR('Cronograma R. Normativo'!$A91="",'Cronograma R. Normativo'!$E91=""),"",'Cronograma R. Normativo'!$E91)</f>
        <v/>
      </c>
      <c r="F91" s="22">
        <f>IF(OR('Cronograma R. Normativo'!$A91="",NOT(ISNUMBER('Cronograma R. Normativo'!$E91))),"",IF('Cronograma R. Normativo'!$E91&lt;InicioCiclo,"Antes del ciclo",IF('Cronograma R. Normativo'!$E91&gt;=InicioCiclo+28,"Después del ciclo","Semana "&amp;(INT(('Cronograma R. Normativo'!$E91-InicioCiclo)/7)+1))))</f>
        <v/>
      </c>
      <c r="G91" s="20">
        <f>IF(OR('Cronograma R. Normativo'!$A91="",'Cronograma R. Normativo'!$G91=""),"",'Cronograma R. Normativo'!$G91)</f>
        <v/>
      </c>
      <c r="H91" s="20">
        <f>IF(OR('Cronograma R. Normativo'!$A91="",'Cronograma R. Normativo'!$H91=""),"",'Cronograma R. Normativo'!$H91)</f>
        <v/>
      </c>
      <c r="I91" s="20">
        <f>IF(OR('Cronograma R. Normativo'!$A91="",'Cronograma R. Normativo'!$I91=""),"",'Cronograma R. Normativo'!$I91)</f>
        <v/>
      </c>
      <c r="J91" s="20">
        <f>IF(OR('Cronograma R. Normativo'!$A91="",'Cronograma R. Normativo'!$J91=""),"",'Cronograma R. Normativo'!$J91)</f>
        <v/>
      </c>
      <c r="K91" s="20">
        <f>IF('Cronograma R. Normativo'!$A91="","",'Cronograma R. Normativo'!$K91)</f>
        <v/>
      </c>
      <c r="L91" s="22">
        <f>IF('Cronograma R. Normativo'!$A91="","",IF(N('Cronograma R. Normativo'!$K91)&gt;=1,"Completado",IF(AND(ISNUMBER('Cronograma R. Normativo'!$E91),'Cronograma R. Normativo'!$E91&lt;FechaRef),"Vencida",IF(N('Cronograma R. Normativo'!$K91)&gt;0,"En curso","Pendiente"))))</f>
        <v/>
      </c>
      <c r="M91" s="41">
        <f>IF('Cronograma R. Normativo'!$A91="","",'Cronograma R. Normativo'!$M91&amp;"")</f>
        <v/>
      </c>
    </row>
    <row r="92">
      <c r="A92" s="22">
        <f>IF('Cronograma R. Normativo'!$A92="","",'Cronograma R. Normativo'!$A92)</f>
        <v/>
      </c>
      <c r="B92" s="41">
        <f>IF('Cronograma R. Normativo'!$A92="","",'Cronograma R. Normativo'!$B92&amp;"")</f>
        <v/>
      </c>
      <c r="C92" s="41">
        <f>IF('Cronograma R. Normativo'!$A92="","",'Cronograma R. Normativo'!$C92&amp;"")</f>
        <v/>
      </c>
      <c r="D92" s="63">
        <f>IF(OR('Cronograma R. Normativo'!$A92="",'Cronograma R. Normativo'!$D92=""),"",'Cronograma R. Normativo'!$D92)</f>
        <v/>
      </c>
      <c r="E92" s="63">
        <f>IF(OR('Cronograma R. Normativo'!$A92="",'Cronograma R. Normativo'!$E92=""),"",'Cronograma R. Normativo'!$E92)</f>
        <v/>
      </c>
      <c r="F92" s="22">
        <f>IF(OR('Cronograma R. Normativo'!$A92="",NOT(ISNUMBER('Cronograma R. Normativo'!$E92))),"",IF('Cronograma R. Normativo'!$E92&lt;InicioCiclo,"Antes del ciclo",IF('Cronograma R. Normativo'!$E92&gt;=InicioCiclo+28,"Después del ciclo","Semana "&amp;(INT(('Cronograma R. Normativo'!$E92-InicioCiclo)/7)+1))))</f>
        <v/>
      </c>
      <c r="G92" s="20">
        <f>IF(OR('Cronograma R. Normativo'!$A92="",'Cronograma R. Normativo'!$G92=""),"",'Cronograma R. Normativo'!$G92)</f>
        <v/>
      </c>
      <c r="H92" s="20">
        <f>IF(OR('Cronograma R. Normativo'!$A92="",'Cronograma R. Normativo'!$H92=""),"",'Cronograma R. Normativo'!$H92)</f>
        <v/>
      </c>
      <c r="I92" s="20">
        <f>IF(OR('Cronograma R. Normativo'!$A92="",'Cronograma R. Normativo'!$I92=""),"",'Cronograma R. Normativo'!$I92)</f>
        <v/>
      </c>
      <c r="J92" s="20">
        <f>IF(OR('Cronograma R. Normativo'!$A92="",'Cronograma R. Normativo'!$J92=""),"",'Cronograma R. Normativo'!$J92)</f>
        <v/>
      </c>
      <c r="K92" s="20">
        <f>IF('Cronograma R. Normativo'!$A92="","",'Cronograma R. Normativo'!$K92)</f>
        <v/>
      </c>
      <c r="L92" s="22">
        <f>IF('Cronograma R. Normativo'!$A92="","",IF(N('Cronograma R. Normativo'!$K92)&gt;=1,"Completado",IF(AND(ISNUMBER('Cronograma R. Normativo'!$E92),'Cronograma R. Normativo'!$E92&lt;FechaRef),"Vencida",IF(N('Cronograma R. Normativo'!$K92)&gt;0,"En curso","Pendiente"))))</f>
        <v/>
      </c>
      <c r="M92" s="41">
        <f>IF('Cronograma R. Normativo'!$A92="","",'Cronograma R. Normativo'!$M92&amp;"")</f>
        <v/>
      </c>
    </row>
    <row r="93">
      <c r="A93" s="22">
        <f>IF('Cronograma R. Normativo'!$A93="","",'Cronograma R. Normativo'!$A93)</f>
        <v/>
      </c>
      <c r="B93" s="41">
        <f>IF('Cronograma R. Normativo'!$A93="","",'Cronograma R. Normativo'!$B93&amp;"")</f>
        <v/>
      </c>
      <c r="C93" s="41">
        <f>IF('Cronograma R. Normativo'!$A93="","",'Cronograma R. Normativo'!$C93&amp;"")</f>
        <v/>
      </c>
      <c r="D93" s="63">
        <f>IF(OR('Cronograma R. Normativo'!$A93="",'Cronograma R. Normativo'!$D93=""),"",'Cronograma R. Normativo'!$D93)</f>
        <v/>
      </c>
      <c r="E93" s="63">
        <f>IF(OR('Cronograma R. Normativo'!$A93="",'Cronograma R. Normativo'!$E93=""),"",'Cronograma R. Normativo'!$E93)</f>
        <v/>
      </c>
      <c r="F93" s="22">
        <f>IF(OR('Cronograma R. Normativo'!$A93="",NOT(ISNUMBER('Cronograma R. Normativo'!$E93))),"",IF('Cronograma R. Normativo'!$E93&lt;InicioCiclo,"Antes del ciclo",IF('Cronograma R. Normativo'!$E93&gt;=InicioCiclo+28,"Después del ciclo","Semana "&amp;(INT(('Cronograma R. Normativo'!$E93-InicioCiclo)/7)+1))))</f>
        <v/>
      </c>
      <c r="G93" s="20">
        <f>IF(OR('Cronograma R. Normativo'!$A93="",'Cronograma R. Normativo'!$G93=""),"",'Cronograma R. Normativo'!$G93)</f>
        <v/>
      </c>
      <c r="H93" s="20">
        <f>IF(OR('Cronograma R. Normativo'!$A93="",'Cronograma R. Normativo'!$H93=""),"",'Cronograma R. Normativo'!$H93)</f>
        <v/>
      </c>
      <c r="I93" s="20">
        <f>IF(OR('Cronograma R. Normativo'!$A93="",'Cronograma R. Normativo'!$I93=""),"",'Cronograma R. Normativo'!$I93)</f>
        <v/>
      </c>
      <c r="J93" s="20">
        <f>IF(OR('Cronograma R. Normativo'!$A93="",'Cronograma R. Normativo'!$J93=""),"",'Cronograma R. Normativo'!$J93)</f>
        <v/>
      </c>
      <c r="K93" s="20">
        <f>IF('Cronograma R. Normativo'!$A93="","",'Cronograma R. Normativo'!$K93)</f>
        <v/>
      </c>
      <c r="L93" s="22">
        <f>IF('Cronograma R. Normativo'!$A93="","",IF(N('Cronograma R. Normativo'!$K93)&gt;=1,"Completado",IF(AND(ISNUMBER('Cronograma R. Normativo'!$E93),'Cronograma R. Normativo'!$E93&lt;FechaRef),"Vencida",IF(N('Cronograma R. Normativo'!$K93)&gt;0,"En curso","Pendiente"))))</f>
        <v/>
      </c>
      <c r="M93" s="41">
        <f>IF('Cronograma R. Normativo'!$A93="","",'Cronograma R. Normativo'!$M93&amp;"")</f>
        <v/>
      </c>
    </row>
    <row r="94">
      <c r="A94" s="22">
        <f>IF('Cronograma R. Normativo'!$A94="","",'Cronograma R. Normativo'!$A94)</f>
        <v/>
      </c>
      <c r="B94" s="41">
        <f>IF('Cronograma R. Normativo'!$A94="","",'Cronograma R. Normativo'!$B94&amp;"")</f>
        <v/>
      </c>
      <c r="C94" s="41">
        <f>IF('Cronograma R. Normativo'!$A94="","",'Cronograma R. Normativo'!$C94&amp;"")</f>
        <v/>
      </c>
      <c r="D94" s="63">
        <f>IF(OR('Cronograma R. Normativo'!$A94="",'Cronograma R. Normativo'!$D94=""),"",'Cronograma R. Normativo'!$D94)</f>
        <v/>
      </c>
      <c r="E94" s="63">
        <f>IF(OR('Cronograma R. Normativo'!$A94="",'Cronograma R. Normativo'!$E94=""),"",'Cronograma R. Normativo'!$E94)</f>
        <v/>
      </c>
      <c r="F94" s="22">
        <f>IF(OR('Cronograma R. Normativo'!$A94="",NOT(ISNUMBER('Cronograma R. Normativo'!$E94))),"",IF('Cronograma R. Normativo'!$E94&lt;InicioCiclo,"Antes del ciclo",IF('Cronograma R. Normativo'!$E94&gt;=InicioCiclo+28,"Después del ciclo","Semana "&amp;(INT(('Cronograma R. Normativo'!$E94-InicioCiclo)/7)+1))))</f>
        <v/>
      </c>
      <c r="G94" s="20">
        <f>IF(OR('Cronograma R. Normativo'!$A94="",'Cronograma R. Normativo'!$G94=""),"",'Cronograma R. Normativo'!$G94)</f>
        <v/>
      </c>
      <c r="H94" s="20">
        <f>IF(OR('Cronograma R. Normativo'!$A94="",'Cronograma R. Normativo'!$H94=""),"",'Cronograma R. Normativo'!$H94)</f>
        <v/>
      </c>
      <c r="I94" s="20">
        <f>IF(OR('Cronograma R. Normativo'!$A94="",'Cronograma R. Normativo'!$I94=""),"",'Cronograma R. Normativo'!$I94)</f>
        <v/>
      </c>
      <c r="J94" s="20">
        <f>IF(OR('Cronograma R. Normativo'!$A94="",'Cronograma R. Normativo'!$J94=""),"",'Cronograma R. Normativo'!$J94)</f>
        <v/>
      </c>
      <c r="K94" s="20">
        <f>IF('Cronograma R. Normativo'!$A94="","",'Cronograma R. Normativo'!$K94)</f>
        <v/>
      </c>
      <c r="L94" s="22">
        <f>IF('Cronograma R. Normativo'!$A94="","",IF(N('Cronograma R. Normativo'!$K94)&gt;=1,"Completado",IF(AND(ISNUMBER('Cronograma R. Normativo'!$E94),'Cronograma R. Normativo'!$E94&lt;FechaRef),"Vencida",IF(N('Cronograma R. Normativo'!$K94)&gt;0,"En curso","Pendiente"))))</f>
        <v/>
      </c>
      <c r="M94" s="41">
        <f>IF('Cronograma R. Normativo'!$A94="","",'Cronograma R. Normativo'!$M94&amp;"")</f>
        <v/>
      </c>
    </row>
    <row r="95">
      <c r="A95" s="22">
        <f>IF('Cronograma R. Normativo'!$A95="","",'Cronograma R. Normativo'!$A95)</f>
        <v/>
      </c>
      <c r="B95" s="41">
        <f>IF('Cronograma R. Normativo'!$A95="","",'Cronograma R. Normativo'!$B95&amp;"")</f>
        <v/>
      </c>
      <c r="C95" s="41">
        <f>IF('Cronograma R. Normativo'!$A95="","",'Cronograma R. Normativo'!$C95&amp;"")</f>
        <v/>
      </c>
      <c r="D95" s="63">
        <f>IF(OR('Cronograma R. Normativo'!$A95="",'Cronograma R. Normativo'!$D95=""),"",'Cronograma R. Normativo'!$D95)</f>
        <v/>
      </c>
      <c r="E95" s="63">
        <f>IF(OR('Cronograma R. Normativo'!$A95="",'Cronograma R. Normativo'!$E95=""),"",'Cronograma R. Normativo'!$E95)</f>
        <v/>
      </c>
      <c r="F95" s="22">
        <f>IF(OR('Cronograma R. Normativo'!$A95="",NOT(ISNUMBER('Cronograma R. Normativo'!$E95))),"",IF('Cronograma R. Normativo'!$E95&lt;InicioCiclo,"Antes del ciclo",IF('Cronograma R. Normativo'!$E95&gt;=InicioCiclo+28,"Después del ciclo","Semana "&amp;(INT(('Cronograma R. Normativo'!$E95-InicioCiclo)/7)+1))))</f>
        <v/>
      </c>
      <c r="G95" s="20">
        <f>IF(OR('Cronograma R. Normativo'!$A95="",'Cronograma R. Normativo'!$G95=""),"",'Cronograma R. Normativo'!$G95)</f>
        <v/>
      </c>
      <c r="H95" s="20">
        <f>IF(OR('Cronograma R. Normativo'!$A95="",'Cronograma R. Normativo'!$H95=""),"",'Cronograma R. Normativo'!$H95)</f>
        <v/>
      </c>
      <c r="I95" s="20">
        <f>IF(OR('Cronograma R. Normativo'!$A95="",'Cronograma R. Normativo'!$I95=""),"",'Cronograma R. Normativo'!$I95)</f>
        <v/>
      </c>
      <c r="J95" s="20">
        <f>IF(OR('Cronograma R. Normativo'!$A95="",'Cronograma R. Normativo'!$J95=""),"",'Cronograma R. Normativo'!$J95)</f>
        <v/>
      </c>
      <c r="K95" s="20">
        <f>IF('Cronograma R. Normativo'!$A95="","",'Cronograma R. Normativo'!$K95)</f>
        <v/>
      </c>
      <c r="L95" s="22">
        <f>IF('Cronograma R. Normativo'!$A95="","",IF(N('Cronograma R. Normativo'!$K95)&gt;=1,"Completado",IF(AND(ISNUMBER('Cronograma R. Normativo'!$E95),'Cronograma R. Normativo'!$E95&lt;FechaRef),"Vencida",IF(N('Cronograma R. Normativo'!$K95)&gt;0,"En curso","Pendiente"))))</f>
        <v/>
      </c>
      <c r="M95" s="41">
        <f>IF('Cronograma R. Normativo'!$A95="","",'Cronograma R. Normativo'!$M95&amp;"")</f>
        <v/>
      </c>
    </row>
    <row r="96">
      <c r="A96" s="22">
        <f>IF('Cronograma R. Normativo'!$A96="","",'Cronograma R. Normativo'!$A96)</f>
        <v/>
      </c>
      <c r="B96" s="41">
        <f>IF('Cronograma R. Normativo'!$A96="","",'Cronograma R. Normativo'!$B96&amp;"")</f>
        <v/>
      </c>
      <c r="C96" s="41">
        <f>IF('Cronograma R. Normativo'!$A96="","",'Cronograma R. Normativo'!$C96&amp;"")</f>
        <v/>
      </c>
      <c r="D96" s="63">
        <f>IF(OR('Cronograma R. Normativo'!$A96="",'Cronograma R. Normativo'!$D96=""),"",'Cronograma R. Normativo'!$D96)</f>
        <v/>
      </c>
      <c r="E96" s="63">
        <f>IF(OR('Cronograma R. Normativo'!$A96="",'Cronograma R. Normativo'!$E96=""),"",'Cronograma R. Normativo'!$E96)</f>
        <v/>
      </c>
      <c r="F96" s="22">
        <f>IF(OR('Cronograma R. Normativo'!$A96="",NOT(ISNUMBER('Cronograma R. Normativo'!$E96))),"",IF('Cronograma R. Normativo'!$E96&lt;InicioCiclo,"Antes del ciclo",IF('Cronograma R. Normativo'!$E96&gt;=InicioCiclo+28,"Después del ciclo","Semana "&amp;(INT(('Cronograma R. Normativo'!$E96-InicioCiclo)/7)+1))))</f>
        <v/>
      </c>
      <c r="G96" s="20">
        <f>IF(OR('Cronograma R. Normativo'!$A96="",'Cronograma R. Normativo'!$G96=""),"",'Cronograma R. Normativo'!$G96)</f>
        <v/>
      </c>
      <c r="H96" s="20">
        <f>IF(OR('Cronograma R. Normativo'!$A96="",'Cronograma R. Normativo'!$H96=""),"",'Cronograma R. Normativo'!$H96)</f>
        <v/>
      </c>
      <c r="I96" s="20">
        <f>IF(OR('Cronograma R. Normativo'!$A96="",'Cronograma R. Normativo'!$I96=""),"",'Cronograma R. Normativo'!$I96)</f>
        <v/>
      </c>
      <c r="J96" s="20">
        <f>IF(OR('Cronograma R. Normativo'!$A96="",'Cronograma R. Normativo'!$J96=""),"",'Cronograma R. Normativo'!$J96)</f>
        <v/>
      </c>
      <c r="K96" s="20">
        <f>IF('Cronograma R. Normativo'!$A96="","",'Cronograma R. Normativo'!$K96)</f>
        <v/>
      </c>
      <c r="L96" s="22">
        <f>IF('Cronograma R. Normativo'!$A96="","",IF(N('Cronograma R. Normativo'!$K96)&gt;=1,"Completado",IF(AND(ISNUMBER('Cronograma R. Normativo'!$E96),'Cronograma R. Normativo'!$E96&lt;FechaRef),"Vencida",IF(N('Cronograma R. Normativo'!$K96)&gt;0,"En curso","Pendiente"))))</f>
        <v/>
      </c>
      <c r="M96" s="41">
        <f>IF('Cronograma R. Normativo'!$A96="","",'Cronograma R. Normativo'!$M96&amp;"")</f>
        <v/>
      </c>
    </row>
    <row r="97">
      <c r="A97" s="22">
        <f>IF('Cronograma R. Normativo'!$A97="","",'Cronograma R. Normativo'!$A97)</f>
        <v/>
      </c>
      <c r="B97" s="41">
        <f>IF('Cronograma R. Normativo'!$A97="","",'Cronograma R. Normativo'!$B97&amp;"")</f>
        <v/>
      </c>
      <c r="C97" s="41">
        <f>IF('Cronograma R. Normativo'!$A97="","",'Cronograma R. Normativo'!$C97&amp;"")</f>
        <v/>
      </c>
      <c r="D97" s="63">
        <f>IF(OR('Cronograma R. Normativo'!$A97="",'Cronograma R. Normativo'!$D97=""),"",'Cronograma R. Normativo'!$D97)</f>
        <v/>
      </c>
      <c r="E97" s="63">
        <f>IF(OR('Cronograma R. Normativo'!$A97="",'Cronograma R. Normativo'!$E97=""),"",'Cronograma R. Normativo'!$E97)</f>
        <v/>
      </c>
      <c r="F97" s="22">
        <f>IF(OR('Cronograma R. Normativo'!$A97="",NOT(ISNUMBER('Cronograma R. Normativo'!$E97))),"",IF('Cronograma R. Normativo'!$E97&lt;InicioCiclo,"Antes del ciclo",IF('Cronograma R. Normativo'!$E97&gt;=InicioCiclo+28,"Después del ciclo","Semana "&amp;(INT(('Cronograma R. Normativo'!$E97-InicioCiclo)/7)+1))))</f>
        <v/>
      </c>
      <c r="G97" s="20">
        <f>IF(OR('Cronograma R. Normativo'!$A97="",'Cronograma R. Normativo'!$G97=""),"",'Cronograma R. Normativo'!$G97)</f>
        <v/>
      </c>
      <c r="H97" s="20">
        <f>IF(OR('Cronograma R. Normativo'!$A97="",'Cronograma R. Normativo'!$H97=""),"",'Cronograma R. Normativo'!$H97)</f>
        <v/>
      </c>
      <c r="I97" s="20">
        <f>IF(OR('Cronograma R. Normativo'!$A97="",'Cronograma R. Normativo'!$I97=""),"",'Cronograma R. Normativo'!$I97)</f>
        <v/>
      </c>
      <c r="J97" s="20">
        <f>IF(OR('Cronograma R. Normativo'!$A97="",'Cronograma R. Normativo'!$J97=""),"",'Cronograma R. Normativo'!$J97)</f>
        <v/>
      </c>
      <c r="K97" s="20">
        <f>IF('Cronograma R. Normativo'!$A97="","",'Cronograma R. Normativo'!$K97)</f>
        <v/>
      </c>
      <c r="L97" s="22">
        <f>IF('Cronograma R. Normativo'!$A97="","",IF(N('Cronograma R. Normativo'!$K97)&gt;=1,"Completado",IF(AND(ISNUMBER('Cronograma R. Normativo'!$E97),'Cronograma R. Normativo'!$E97&lt;FechaRef),"Vencida",IF(N('Cronograma R. Normativo'!$K97)&gt;0,"En curso","Pendiente"))))</f>
        <v/>
      </c>
      <c r="M97" s="41">
        <f>IF('Cronograma R. Normativo'!$A97="","",'Cronograma R. Normativo'!$M97&amp;"")</f>
        <v/>
      </c>
    </row>
    <row r="98">
      <c r="A98" s="22">
        <f>IF('Cronograma R. Normativo'!$A98="","",'Cronograma R. Normativo'!$A98)</f>
        <v/>
      </c>
      <c r="B98" s="41">
        <f>IF('Cronograma R. Normativo'!$A98="","",'Cronograma R. Normativo'!$B98&amp;"")</f>
        <v/>
      </c>
      <c r="C98" s="41">
        <f>IF('Cronograma R. Normativo'!$A98="","",'Cronograma R. Normativo'!$C98&amp;"")</f>
        <v/>
      </c>
      <c r="D98" s="63">
        <f>IF(OR('Cronograma R. Normativo'!$A98="",'Cronograma R. Normativo'!$D98=""),"",'Cronograma R. Normativo'!$D98)</f>
        <v/>
      </c>
      <c r="E98" s="63">
        <f>IF(OR('Cronograma R. Normativo'!$A98="",'Cronograma R. Normativo'!$E98=""),"",'Cronograma R. Normativo'!$E98)</f>
        <v/>
      </c>
      <c r="F98" s="22">
        <f>IF(OR('Cronograma R. Normativo'!$A98="",NOT(ISNUMBER('Cronograma R. Normativo'!$E98))),"",IF('Cronograma R. Normativo'!$E98&lt;InicioCiclo,"Antes del ciclo",IF('Cronograma R. Normativo'!$E98&gt;=InicioCiclo+28,"Después del ciclo","Semana "&amp;(INT(('Cronograma R. Normativo'!$E98-InicioCiclo)/7)+1))))</f>
        <v/>
      </c>
      <c r="G98" s="20">
        <f>IF(OR('Cronograma R. Normativo'!$A98="",'Cronograma R. Normativo'!$G98=""),"",'Cronograma R. Normativo'!$G98)</f>
        <v/>
      </c>
      <c r="H98" s="20">
        <f>IF(OR('Cronograma R. Normativo'!$A98="",'Cronograma R. Normativo'!$H98=""),"",'Cronograma R. Normativo'!$H98)</f>
        <v/>
      </c>
      <c r="I98" s="20">
        <f>IF(OR('Cronograma R. Normativo'!$A98="",'Cronograma R. Normativo'!$I98=""),"",'Cronograma R. Normativo'!$I98)</f>
        <v/>
      </c>
      <c r="J98" s="20">
        <f>IF(OR('Cronograma R. Normativo'!$A98="",'Cronograma R. Normativo'!$J98=""),"",'Cronograma R. Normativo'!$J98)</f>
        <v/>
      </c>
      <c r="K98" s="20">
        <f>IF('Cronograma R. Normativo'!$A98="","",'Cronograma R. Normativo'!$K98)</f>
        <v/>
      </c>
      <c r="L98" s="22">
        <f>IF('Cronograma R. Normativo'!$A98="","",IF(N('Cronograma R. Normativo'!$K98)&gt;=1,"Completado",IF(AND(ISNUMBER('Cronograma R. Normativo'!$E98),'Cronograma R. Normativo'!$E98&lt;FechaRef),"Vencida",IF(N('Cronograma R. Normativo'!$K98)&gt;0,"En curso","Pendiente"))))</f>
        <v/>
      </c>
      <c r="M98" s="41">
        <f>IF('Cronograma R. Normativo'!$A98="","",'Cronograma R. Normativo'!$M98&amp;"")</f>
        <v/>
      </c>
    </row>
    <row r="99">
      <c r="A99" s="22">
        <f>IF('Cronograma R. Normativo'!$A99="","",'Cronograma R. Normativo'!$A99)</f>
        <v/>
      </c>
      <c r="B99" s="41">
        <f>IF('Cronograma R. Normativo'!$A99="","",'Cronograma R. Normativo'!$B99&amp;"")</f>
        <v/>
      </c>
      <c r="C99" s="41">
        <f>IF('Cronograma R. Normativo'!$A99="","",'Cronograma R. Normativo'!$C99&amp;"")</f>
        <v/>
      </c>
      <c r="D99" s="63">
        <f>IF(OR('Cronograma R. Normativo'!$A99="",'Cronograma R. Normativo'!$D99=""),"",'Cronograma R. Normativo'!$D99)</f>
        <v/>
      </c>
      <c r="E99" s="63">
        <f>IF(OR('Cronograma R. Normativo'!$A99="",'Cronograma R. Normativo'!$E99=""),"",'Cronograma R. Normativo'!$E99)</f>
        <v/>
      </c>
      <c r="F99" s="22">
        <f>IF(OR('Cronograma R. Normativo'!$A99="",NOT(ISNUMBER('Cronograma R. Normativo'!$E99))),"",IF('Cronograma R. Normativo'!$E99&lt;InicioCiclo,"Antes del ciclo",IF('Cronograma R. Normativo'!$E99&gt;=InicioCiclo+28,"Después del ciclo","Semana "&amp;(INT(('Cronograma R. Normativo'!$E99-InicioCiclo)/7)+1))))</f>
        <v/>
      </c>
      <c r="G99" s="20">
        <f>IF(OR('Cronograma R. Normativo'!$A99="",'Cronograma R. Normativo'!$G99=""),"",'Cronograma R. Normativo'!$G99)</f>
        <v/>
      </c>
      <c r="H99" s="20">
        <f>IF(OR('Cronograma R. Normativo'!$A99="",'Cronograma R. Normativo'!$H99=""),"",'Cronograma R. Normativo'!$H99)</f>
        <v/>
      </c>
      <c r="I99" s="20">
        <f>IF(OR('Cronograma R. Normativo'!$A99="",'Cronograma R. Normativo'!$I99=""),"",'Cronograma R. Normativo'!$I99)</f>
        <v/>
      </c>
      <c r="J99" s="20">
        <f>IF(OR('Cronograma R. Normativo'!$A99="",'Cronograma R. Normativo'!$J99=""),"",'Cronograma R. Normativo'!$J99)</f>
        <v/>
      </c>
      <c r="K99" s="20">
        <f>IF('Cronograma R. Normativo'!$A99="","",'Cronograma R. Normativo'!$K99)</f>
        <v/>
      </c>
      <c r="L99" s="22">
        <f>IF('Cronograma R. Normativo'!$A99="","",IF(N('Cronograma R. Normativo'!$K99)&gt;=1,"Completado",IF(AND(ISNUMBER('Cronograma R. Normativo'!$E99),'Cronograma R. Normativo'!$E99&lt;FechaRef),"Vencida",IF(N('Cronograma R. Normativo'!$K99)&gt;0,"En curso","Pendiente"))))</f>
        <v/>
      </c>
      <c r="M99" s="41">
        <f>IF('Cronograma R. Normativo'!$A99="","",'Cronograma R. Normativo'!$M99&amp;"")</f>
        <v/>
      </c>
    </row>
    <row r="100">
      <c r="A100" s="22">
        <f>IF('Cronograma R. Normativo'!$A100="","",'Cronograma R. Normativo'!$A100)</f>
        <v/>
      </c>
      <c r="B100" s="41">
        <f>IF('Cronograma R. Normativo'!$A100="","",'Cronograma R. Normativo'!$B100&amp;"")</f>
        <v/>
      </c>
      <c r="C100" s="41">
        <f>IF('Cronograma R. Normativo'!$A100="","",'Cronograma R. Normativo'!$C100&amp;"")</f>
        <v/>
      </c>
      <c r="D100" s="63">
        <f>IF(OR('Cronograma R. Normativo'!$A100="",'Cronograma R. Normativo'!$D100=""),"",'Cronograma R. Normativo'!$D100)</f>
        <v/>
      </c>
      <c r="E100" s="63">
        <f>IF(OR('Cronograma R. Normativo'!$A100="",'Cronograma R. Normativo'!$E100=""),"",'Cronograma R. Normativo'!$E100)</f>
        <v/>
      </c>
      <c r="F100" s="22">
        <f>IF(OR('Cronograma R. Normativo'!$A100="",NOT(ISNUMBER('Cronograma R. Normativo'!$E100))),"",IF('Cronograma R. Normativo'!$E100&lt;InicioCiclo,"Antes del ciclo",IF('Cronograma R. Normativo'!$E100&gt;=InicioCiclo+28,"Después del ciclo","Semana "&amp;(INT(('Cronograma R. Normativo'!$E100-InicioCiclo)/7)+1))))</f>
        <v/>
      </c>
      <c r="G100" s="20">
        <f>IF(OR('Cronograma R. Normativo'!$A100="",'Cronograma R. Normativo'!$G100=""),"",'Cronograma R. Normativo'!$G100)</f>
        <v/>
      </c>
      <c r="H100" s="20">
        <f>IF(OR('Cronograma R. Normativo'!$A100="",'Cronograma R. Normativo'!$H100=""),"",'Cronograma R. Normativo'!$H100)</f>
        <v/>
      </c>
      <c r="I100" s="20">
        <f>IF(OR('Cronograma R. Normativo'!$A100="",'Cronograma R. Normativo'!$I100=""),"",'Cronograma R. Normativo'!$I100)</f>
        <v/>
      </c>
      <c r="J100" s="20">
        <f>IF(OR('Cronograma R. Normativo'!$A100="",'Cronograma R. Normativo'!$J100=""),"",'Cronograma R. Normativo'!$J100)</f>
        <v/>
      </c>
      <c r="K100" s="20">
        <f>IF('Cronograma R. Normativo'!$A100="","",'Cronograma R. Normativo'!$K100)</f>
        <v/>
      </c>
      <c r="L100" s="22">
        <f>IF('Cronograma R. Normativo'!$A100="","",IF(N('Cronograma R. Normativo'!$K100)&gt;=1,"Completado",IF(AND(ISNUMBER('Cronograma R. Normativo'!$E100),'Cronograma R. Normativo'!$E100&lt;FechaRef),"Vencida",IF(N('Cronograma R. Normativo'!$K100)&gt;0,"En curso","Pendiente"))))</f>
        <v/>
      </c>
      <c r="M100" s="41">
        <f>IF('Cronograma R. Normativo'!$A100="","",'Cronograma R. Normativo'!$M100&amp;"")</f>
        <v/>
      </c>
    </row>
    <row r="101">
      <c r="A101" s="22">
        <f>IF('Cronograma R. Normativo'!$A101="","",'Cronograma R. Normativo'!$A101)</f>
        <v/>
      </c>
      <c r="B101" s="41">
        <f>IF('Cronograma R. Normativo'!$A101="","",'Cronograma R. Normativo'!$B101&amp;"")</f>
        <v/>
      </c>
      <c r="C101" s="41">
        <f>IF('Cronograma R. Normativo'!$A101="","",'Cronograma R. Normativo'!$C101&amp;"")</f>
        <v/>
      </c>
      <c r="D101" s="63">
        <f>IF(OR('Cronograma R. Normativo'!$A101="",'Cronograma R. Normativo'!$D101=""),"",'Cronograma R. Normativo'!$D101)</f>
        <v/>
      </c>
      <c r="E101" s="63">
        <f>IF(OR('Cronograma R. Normativo'!$A101="",'Cronograma R. Normativo'!$E101=""),"",'Cronograma R. Normativo'!$E101)</f>
        <v/>
      </c>
      <c r="F101" s="22">
        <f>IF(OR('Cronograma R. Normativo'!$A101="",NOT(ISNUMBER('Cronograma R. Normativo'!$E101))),"",IF('Cronograma R. Normativo'!$E101&lt;InicioCiclo,"Antes del ciclo",IF('Cronograma R. Normativo'!$E101&gt;=InicioCiclo+28,"Después del ciclo","Semana "&amp;(INT(('Cronograma R. Normativo'!$E101-InicioCiclo)/7)+1))))</f>
        <v/>
      </c>
      <c r="G101" s="20">
        <f>IF(OR('Cronograma R. Normativo'!$A101="",'Cronograma R. Normativo'!$G101=""),"",'Cronograma R. Normativo'!$G101)</f>
        <v/>
      </c>
      <c r="H101" s="20">
        <f>IF(OR('Cronograma R. Normativo'!$A101="",'Cronograma R. Normativo'!$H101=""),"",'Cronograma R. Normativo'!$H101)</f>
        <v/>
      </c>
      <c r="I101" s="20">
        <f>IF(OR('Cronograma R. Normativo'!$A101="",'Cronograma R. Normativo'!$I101=""),"",'Cronograma R. Normativo'!$I101)</f>
        <v/>
      </c>
      <c r="J101" s="20">
        <f>IF(OR('Cronograma R. Normativo'!$A101="",'Cronograma R. Normativo'!$J101=""),"",'Cronograma R. Normativo'!$J101)</f>
        <v/>
      </c>
      <c r="K101" s="20">
        <f>IF('Cronograma R. Normativo'!$A101="","",'Cronograma R. Normativo'!$K101)</f>
        <v/>
      </c>
      <c r="L101" s="22">
        <f>IF('Cronograma R. Normativo'!$A101="","",IF(N('Cronograma R. Normativo'!$K101)&gt;=1,"Completado",IF(AND(ISNUMBER('Cronograma R. Normativo'!$E101),'Cronograma R. Normativo'!$E101&lt;FechaRef),"Vencida",IF(N('Cronograma R. Normativo'!$K101)&gt;0,"En curso","Pendiente"))))</f>
        <v/>
      </c>
      <c r="M101" s="41">
        <f>IF('Cronograma R. Normativo'!$A101="","",'Cronograma R. Normativo'!$M101&amp;"")</f>
        <v/>
      </c>
    </row>
    <row r="102">
      <c r="A102" s="22">
        <f>IF('Cronograma R. Normativo'!$A102="","",'Cronograma R. Normativo'!$A102)</f>
        <v/>
      </c>
      <c r="B102" s="41">
        <f>IF('Cronograma R. Normativo'!$A102="","",'Cronograma R. Normativo'!$B102&amp;"")</f>
        <v/>
      </c>
      <c r="C102" s="41">
        <f>IF('Cronograma R. Normativo'!$A102="","",'Cronograma R. Normativo'!$C102&amp;"")</f>
        <v/>
      </c>
      <c r="D102" s="63">
        <f>IF(OR('Cronograma R. Normativo'!$A102="",'Cronograma R. Normativo'!$D102=""),"",'Cronograma R. Normativo'!$D102)</f>
        <v/>
      </c>
      <c r="E102" s="63">
        <f>IF(OR('Cronograma R. Normativo'!$A102="",'Cronograma R. Normativo'!$E102=""),"",'Cronograma R. Normativo'!$E102)</f>
        <v/>
      </c>
      <c r="F102" s="22">
        <f>IF(OR('Cronograma R. Normativo'!$A102="",NOT(ISNUMBER('Cronograma R. Normativo'!$E102))),"",IF('Cronograma R. Normativo'!$E102&lt;InicioCiclo,"Antes del ciclo",IF('Cronograma R. Normativo'!$E102&gt;=InicioCiclo+28,"Después del ciclo","Semana "&amp;(INT(('Cronograma R. Normativo'!$E102-InicioCiclo)/7)+1))))</f>
        <v/>
      </c>
      <c r="G102" s="20">
        <f>IF(OR('Cronograma R. Normativo'!$A102="",'Cronograma R. Normativo'!$G102=""),"",'Cronograma R. Normativo'!$G102)</f>
        <v/>
      </c>
      <c r="H102" s="20">
        <f>IF(OR('Cronograma R. Normativo'!$A102="",'Cronograma R. Normativo'!$H102=""),"",'Cronograma R. Normativo'!$H102)</f>
        <v/>
      </c>
      <c r="I102" s="20">
        <f>IF(OR('Cronograma R. Normativo'!$A102="",'Cronograma R. Normativo'!$I102=""),"",'Cronograma R. Normativo'!$I102)</f>
        <v/>
      </c>
      <c r="J102" s="20">
        <f>IF(OR('Cronograma R. Normativo'!$A102="",'Cronograma R. Normativo'!$J102=""),"",'Cronograma R. Normativo'!$J102)</f>
        <v/>
      </c>
      <c r="K102" s="20">
        <f>IF('Cronograma R. Normativo'!$A102="","",'Cronograma R. Normativo'!$K102)</f>
        <v/>
      </c>
      <c r="L102" s="22">
        <f>IF('Cronograma R. Normativo'!$A102="","",IF(N('Cronograma R. Normativo'!$K102)&gt;=1,"Completado",IF(AND(ISNUMBER('Cronograma R. Normativo'!$E102),'Cronograma R. Normativo'!$E102&lt;FechaRef),"Vencida",IF(N('Cronograma R. Normativo'!$K102)&gt;0,"En curso","Pendiente"))))</f>
        <v/>
      </c>
      <c r="M102" s="41">
        <f>IF('Cronograma R. Normativo'!$A102="","",'Cronograma R. Normativo'!$M102&amp;"")</f>
        <v/>
      </c>
    </row>
    <row r="103">
      <c r="A103" s="22">
        <f>IF('Cronograma R. Normativo'!$A103="","",'Cronograma R. Normativo'!$A103)</f>
        <v/>
      </c>
      <c r="B103" s="41">
        <f>IF('Cronograma R. Normativo'!$A103="","",'Cronograma R. Normativo'!$B103&amp;"")</f>
        <v/>
      </c>
      <c r="C103" s="41">
        <f>IF('Cronograma R. Normativo'!$A103="","",'Cronograma R. Normativo'!$C103&amp;"")</f>
        <v/>
      </c>
      <c r="D103" s="63">
        <f>IF(OR('Cronograma R. Normativo'!$A103="",'Cronograma R. Normativo'!$D103=""),"",'Cronograma R. Normativo'!$D103)</f>
        <v/>
      </c>
      <c r="E103" s="63">
        <f>IF(OR('Cronograma R. Normativo'!$A103="",'Cronograma R. Normativo'!$E103=""),"",'Cronograma R. Normativo'!$E103)</f>
        <v/>
      </c>
      <c r="F103" s="22">
        <f>IF(OR('Cronograma R. Normativo'!$A103="",NOT(ISNUMBER('Cronograma R. Normativo'!$E103))),"",IF('Cronograma R. Normativo'!$E103&lt;InicioCiclo,"Antes del ciclo",IF('Cronograma R. Normativo'!$E103&gt;=InicioCiclo+28,"Después del ciclo","Semana "&amp;(INT(('Cronograma R. Normativo'!$E103-InicioCiclo)/7)+1))))</f>
        <v/>
      </c>
      <c r="G103" s="20">
        <f>IF(OR('Cronograma R. Normativo'!$A103="",'Cronograma R. Normativo'!$G103=""),"",'Cronograma R. Normativo'!$G103)</f>
        <v/>
      </c>
      <c r="H103" s="20">
        <f>IF(OR('Cronograma R. Normativo'!$A103="",'Cronograma R. Normativo'!$H103=""),"",'Cronograma R. Normativo'!$H103)</f>
        <v/>
      </c>
      <c r="I103" s="20">
        <f>IF(OR('Cronograma R. Normativo'!$A103="",'Cronograma R. Normativo'!$I103=""),"",'Cronograma R. Normativo'!$I103)</f>
        <v/>
      </c>
      <c r="J103" s="20">
        <f>IF(OR('Cronograma R. Normativo'!$A103="",'Cronograma R. Normativo'!$J103=""),"",'Cronograma R. Normativo'!$J103)</f>
        <v/>
      </c>
      <c r="K103" s="20">
        <f>IF('Cronograma R. Normativo'!$A103="","",'Cronograma R. Normativo'!$K103)</f>
        <v/>
      </c>
      <c r="L103" s="22">
        <f>IF('Cronograma R. Normativo'!$A103="","",IF(N('Cronograma R. Normativo'!$K103)&gt;=1,"Completado",IF(AND(ISNUMBER('Cronograma R. Normativo'!$E103),'Cronograma R. Normativo'!$E103&lt;FechaRef),"Vencida",IF(N('Cronograma R. Normativo'!$K103)&gt;0,"En curso","Pendiente"))))</f>
        <v/>
      </c>
      <c r="M103" s="41">
        <f>IF('Cronograma R. Normativo'!$A103="","",'Cronograma R. Normativo'!$M103&amp;"")</f>
        <v/>
      </c>
    </row>
    <row r="104">
      <c r="A104" s="22">
        <f>IF('Cronograma R. Normativo'!$A104="","",'Cronograma R. Normativo'!$A104)</f>
        <v/>
      </c>
      <c r="B104" s="41">
        <f>IF('Cronograma R. Normativo'!$A104="","",'Cronograma R. Normativo'!$B104&amp;"")</f>
        <v/>
      </c>
      <c r="C104" s="41">
        <f>IF('Cronograma R. Normativo'!$A104="","",'Cronograma R. Normativo'!$C104&amp;"")</f>
        <v/>
      </c>
      <c r="D104" s="63">
        <f>IF(OR('Cronograma R. Normativo'!$A104="",'Cronograma R. Normativo'!$D104=""),"",'Cronograma R. Normativo'!$D104)</f>
        <v/>
      </c>
      <c r="E104" s="63">
        <f>IF(OR('Cronograma R. Normativo'!$A104="",'Cronograma R. Normativo'!$E104=""),"",'Cronograma R. Normativo'!$E104)</f>
        <v/>
      </c>
      <c r="F104" s="22">
        <f>IF(OR('Cronograma R. Normativo'!$A104="",NOT(ISNUMBER('Cronograma R. Normativo'!$E104))),"",IF('Cronograma R. Normativo'!$E104&lt;InicioCiclo,"Antes del ciclo",IF('Cronograma R. Normativo'!$E104&gt;=InicioCiclo+28,"Después del ciclo","Semana "&amp;(INT(('Cronograma R. Normativo'!$E104-InicioCiclo)/7)+1))))</f>
        <v/>
      </c>
      <c r="G104" s="20">
        <f>IF(OR('Cronograma R. Normativo'!$A104="",'Cronograma R. Normativo'!$G104=""),"",'Cronograma R. Normativo'!$G104)</f>
        <v/>
      </c>
      <c r="H104" s="20">
        <f>IF(OR('Cronograma R. Normativo'!$A104="",'Cronograma R. Normativo'!$H104=""),"",'Cronograma R. Normativo'!$H104)</f>
        <v/>
      </c>
      <c r="I104" s="20">
        <f>IF(OR('Cronograma R. Normativo'!$A104="",'Cronograma R. Normativo'!$I104=""),"",'Cronograma R. Normativo'!$I104)</f>
        <v/>
      </c>
      <c r="J104" s="20">
        <f>IF(OR('Cronograma R. Normativo'!$A104="",'Cronograma R. Normativo'!$J104=""),"",'Cronograma R. Normativo'!$J104)</f>
        <v/>
      </c>
      <c r="K104" s="20">
        <f>IF('Cronograma R. Normativo'!$A104="","",'Cronograma R. Normativo'!$K104)</f>
        <v/>
      </c>
      <c r="L104" s="22">
        <f>IF('Cronograma R. Normativo'!$A104="","",IF(N('Cronograma R. Normativo'!$K104)&gt;=1,"Completado",IF(AND(ISNUMBER('Cronograma R. Normativo'!$E104),'Cronograma R. Normativo'!$E104&lt;FechaRef),"Vencida",IF(N('Cronograma R. Normativo'!$K104)&gt;0,"En curso","Pendiente"))))</f>
        <v/>
      </c>
      <c r="M104" s="41">
        <f>IF('Cronograma R. Normativo'!$A104="","",'Cronograma R. Normativo'!$M104&amp;"")</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G5:J104">
    <cfRule type="expression" priority="1" dxfId="6" stopIfTrue="1">
      <formula>AND(AND(ISNUMBER($D5),ISNUMBER($E5),$D5&lt;=InicioCiclo+7*(COLUMN(G5)-7)+6,$E5&gt;=InicioCiclo+7*(COLUMN(G5)-7)),$L5="Vencida")</formula>
    </cfRule>
    <cfRule type="expression" priority="2" dxfId="10">
      <formula>AND(ISNUMBER($D5),ISNUMBER($E5),$D5&lt;=InicioCiclo+7*(COLUMN(G5)-7)+6,$E5&gt;=InicioCiclo+7*(COLUMN(G5)-7))</formula>
    </cfRule>
  </conditionalFormatting>
  <conditionalFormatting sqref="L5:L104">
    <cfRule type="expression" priority="3" dxfId="0">
      <formula>$L5="Completado"</formula>
    </cfRule>
    <cfRule type="expression" priority="4" dxfId="6">
      <formula>$L5="Vencida"</formula>
    </cfRule>
    <cfRule type="expression" priority="5" dxfId="4">
      <formula>$L5="En curso"</formula>
    </cfRule>
    <cfRule type="expression" priority="6" dxfId="5">
      <formula>$L5="Pendiente"</formula>
    </cfRule>
  </conditionalFormatting>
  <conditionalFormatting sqref="F5:F104">
    <cfRule type="expression" priority="7" dxfId="1">
      <formula>$F5="Semana "&amp;SemanaActual</formula>
    </cfRule>
  </conditionalFormatting>
  <conditionalFormatting sqref="K5:K104">
    <cfRule type="dataBar" priority="8">
      <dataBar showValue="1">
        <cfvo type="num" val="0"/>
        <cfvo type="num" val="1"/>
        <color rgb="005B9BD5"/>
      </dataBar>
    </cfRule>
  </conditionalFormatting>
  <conditionalFormatting sqref="G4:J4">
    <cfRule type="expression" priority="9" dxfId="1">
      <formula>COLUMN(G4)-6=SemanaActual</formula>
    </cfRule>
  </conditionalFormatting>
  <conditionalFormatting sqref="G3:J3">
    <cfRule type="expression" priority="10" dxfId="1">
      <formula>COLUMN(G3)-6=SemanaActual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548235"/>
    <outlinePr summaryBelow="1" summaryRight="1"/>
    <pageSetUpPr fitToPage="1"/>
  </sheetPr>
  <dimension ref="A1:N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6" customWidth="1" min="2" max="2"/>
    <col width="22" customWidth="1" min="3" max="3"/>
    <col width="12" customWidth="1" min="4" max="4"/>
    <col width="12" customWidth="1" min="5" max="5"/>
    <col width="11" customWidth="1" min="6" max="6"/>
    <col width="11" customWidth="1" min="7" max="7"/>
    <col width="11" customWidth="1" min="8" max="8"/>
    <col width="11" customWidth="1" min="9" max="9"/>
    <col width="11" customWidth="1" min="10" max="10"/>
    <col width="12" customWidth="1" min="11" max="11"/>
    <col width="13" customWidth="1" min="12" max="12"/>
    <col width="42" customWidth="1" min="13" max="13"/>
    <col width="52" customWidth="1" min="14" max="14"/>
  </cols>
  <sheetData>
    <row r="1" ht="28" customHeight="1">
      <c r="A1" s="66" t="inlineStr">
        <is>
          <t>Cronograma – Riesgo Financiero</t>
        </is>
      </c>
      <c r="B1" s="66" t="n"/>
      <c r="C1" s="66" t="n"/>
      <c r="D1" s="66" t="n"/>
      <c r="E1" s="66" t="n"/>
      <c r="F1" s="66" t="n"/>
      <c r="G1" s="66" t="n"/>
      <c r="H1" s="66" t="n"/>
      <c r="I1" s="66" t="n"/>
      <c r="J1" s="66" t="n"/>
      <c r="K1" s="66" t="n"/>
      <c r="L1" s="66" t="n"/>
      <c r="M1" s="66" t="n"/>
      <c r="N1" s="66" t="n"/>
    </row>
    <row r="2" ht="30" customHeight="1">
      <c r="A2" s="46" t="inlineStr">
        <is>
          <t>Llene solo las celdas AMARILLAS; las GRISES se calculan solas (el N° se numera solo). En cada semana escriba el % TOTAL logrado hasta esa semana (ej. 20%, 45%, 75%, 100%). Los pesos de esta hoja deben sumar 100%. Si una actividad no se cumple, explique el motivo en Observaciones.</t>
        </is>
      </c>
      <c r="B2" s="46" t="n"/>
      <c r="C2" s="46" t="n"/>
      <c r="D2" s="46" t="n"/>
      <c r="E2" s="46" t="n"/>
      <c r="F2" s="46" t="n"/>
      <c r="G2" s="46" t="n"/>
      <c r="H2" s="46" t="n"/>
      <c r="I2" s="46" t="n"/>
      <c r="J2" s="46" t="n"/>
      <c r="K2" s="46" t="n"/>
      <c r="L2" s="46" t="n"/>
      <c r="M2" s="46" t="n"/>
      <c r="N2" s="46" t="n"/>
    </row>
    <row r="3">
      <c r="A3" s="47" t="inlineStr">
        <is>
          <t>Entrada</t>
        </is>
      </c>
      <c r="B3" s="48" t="inlineStr">
        <is>
          <t>Gris = automático</t>
        </is>
      </c>
      <c r="C3" s="49" t="inlineStr">
        <is>
          <t>Suma de pesos:</t>
        </is>
      </c>
      <c r="D3" s="50">
        <f>SUM(F5:F1000)</f>
        <v/>
      </c>
      <c r="E3" s="51">
        <f>IF(COUNTIF(N5:N1000,"?*")=0,"",IF(ABS(D3-1)&lt;=0.0001,"✔ 100%","⚠ Debe sumar 100%"))</f>
        <v/>
      </c>
      <c r="F3" s="51" t="n"/>
    </row>
    <row r="4" ht="42" customHeight="1">
      <c r="A4" s="52" t="inlineStr">
        <is>
          <t>N°</t>
        </is>
      </c>
      <c r="B4" s="67" t="inlineStr">
        <is>
          <t>Macro Actividad</t>
        </is>
      </c>
      <c r="C4" s="67" t="inlineStr">
        <is>
          <t>Responsable</t>
        </is>
      </c>
      <c r="D4" s="67" t="inlineStr">
        <is>
          <t>Fecha de inicio</t>
        </is>
      </c>
      <c r="E4" s="67" t="inlineStr">
        <is>
          <t>Fecha límite</t>
        </is>
      </c>
      <c r="F4" s="67" t="inlineStr">
        <is>
          <t>Peso de actividad (%)</t>
        </is>
      </c>
      <c r="G4" s="67" t="inlineStr">
        <is>
          <t>Avance Semana 1 (%)</t>
        </is>
      </c>
      <c r="H4" s="67" t="inlineStr">
        <is>
          <t>Avance Semana 2 (%)</t>
        </is>
      </c>
      <c r="I4" s="67" t="inlineStr">
        <is>
          <t>Avance Semana 3 (%)</t>
        </is>
      </c>
      <c r="J4" s="67" t="inlineStr">
        <is>
          <t>Avance Semana 4 (%)</t>
        </is>
      </c>
      <c r="K4" s="52" t="inlineStr">
        <is>
          <t>% de Avance Total Actual</t>
        </is>
      </c>
      <c r="L4" s="52" t="inlineStr">
        <is>
          <t>Estado</t>
        </is>
      </c>
      <c r="M4" s="67" t="inlineStr">
        <is>
          <t>Observaciones</t>
        </is>
      </c>
      <c r="N4" s="52" t="inlineStr">
        <is>
          <t>Revisión automática (alertas)</t>
        </is>
      </c>
    </row>
    <row r="5">
      <c r="A5" s="53">
        <f>IF(NOT((COUNTA($B5:$J5)+COUNTA($M5))&gt;0),"",COUNTIF($L$5:$L5,"?*"))</f>
        <v/>
      </c>
      <c r="B5" s="54" t="n"/>
      <c r="C5" s="54" t="n"/>
      <c r="D5" s="55" t="n"/>
      <c r="E5" s="55" t="n"/>
      <c r="F5" s="56" t="n"/>
      <c r="G5" s="57" t="n"/>
      <c r="H5" s="57" t="n"/>
      <c r="I5" s="57" t="n"/>
      <c r="J5" s="57" t="n"/>
      <c r="K5" s="58">
        <f>IF(NOT((COUNTA($B5:$J5)+COUNTA($M5))&gt;0),"",IFERROR(LOOKUP(2,1/(G5:J5&lt;&gt;""),G5:J5),0))</f>
        <v/>
      </c>
      <c r="L5" s="53">
        <f>IF(K5="","",IF(K5&gt;=1,"Completado",IF(K5&gt;0,"En curso","Pendiente")))</f>
        <v/>
      </c>
      <c r="M5" s="54" t="n"/>
      <c r="N5" s="59">
        <f>IF(NOT((COUNTA($B5:$J5)+COUNTA($M5))&gt;0),"",IF((IF(B5="","Macroactividad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","")&amp;IF(ABS(SUM($F$5:$F$1000)-1)&gt;0.0001,"Pesos del puesto suman "&amp;TEXT(SUM($F$5:$F$1000),"0%")&amp;"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 OK","⚠ "&amp;LEFT(IF(B5="","Macroactividad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","")&amp;IF(ABS(SUM($F$5:$F$1000)-1)&gt;0.0001,"Pesos del puesto suman "&amp;TEXT(SUM($F$5:$F$1000),"0%")&amp;"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",""),LEN(IF(B5="","Macroactividad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","")&amp;IF(ABS(SUM($F$5:$F$1000)-1)&gt;0.0001,"Pesos del puesto suman "&amp;TEXT(SUM($F$5:$F$1000),"0%")&amp;"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",""))-3)))</f>
        <v/>
      </c>
    </row>
    <row r="6">
      <c r="A6" s="53">
        <f>IF(NOT((COUNTA($B6:$J6)+COUNTA($M6))&gt;0),"",COUNTIF($L$5:$L6,"?*"))</f>
        <v/>
      </c>
      <c r="B6" s="54" t="n"/>
      <c r="C6" s="54" t="n"/>
      <c r="D6" s="55" t="n"/>
      <c r="E6" s="55" t="n"/>
      <c r="F6" s="56" t="n"/>
      <c r="G6" s="57" t="n"/>
      <c r="H6" s="57" t="n"/>
      <c r="I6" s="57" t="n"/>
      <c r="J6" s="57" t="n"/>
      <c r="K6" s="58">
        <f>IF(NOT((COUNTA($B6:$J6)+COUNTA($M6))&gt;0),"",IFERROR(LOOKUP(2,1/(G6:J6&lt;&gt;""),G6:J6),0))</f>
        <v/>
      </c>
      <c r="L6" s="53">
        <f>IF(K6="","",IF(K6&gt;=1,"Completado",IF(K6&gt;0,"En curso","Pendiente")))</f>
        <v/>
      </c>
      <c r="M6" s="54" t="n"/>
      <c r="N6" s="59">
        <f>IF(NOT((COUNTA($B6:$J6)+COUNTA($M6))&gt;0),"",IF((IF(B6="","Macroactividad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","")&amp;IF(ABS(SUM($F$5:$F$1000)-1)&gt;0.0001,"Pesos del puesto suman "&amp;TEXT(SUM($F$5:$F$1000),"0%")&amp;"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 OK","⚠ "&amp;LEFT(IF(B6="","Macroactividad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","")&amp;IF(ABS(SUM($F$5:$F$1000)-1)&gt;0.0001,"Pesos del puesto suman "&amp;TEXT(SUM($F$5:$F$1000),"0%")&amp;"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",""),LEN(IF(B6="","Macroactividad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","")&amp;IF(ABS(SUM($F$5:$F$1000)-1)&gt;0.0001,"Pesos del puesto suman "&amp;TEXT(SUM($F$5:$F$1000),"0%")&amp;"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",""))-3)))</f>
        <v/>
      </c>
    </row>
    <row r="7">
      <c r="A7" s="53">
        <f>IF(NOT((COUNTA($B7:$J7)+COUNTA($M7))&gt;0),"",COUNTIF($L$5:$L7,"?*"))</f>
        <v/>
      </c>
      <c r="B7" s="54" t="n"/>
      <c r="C7" s="54" t="n"/>
      <c r="D7" s="55" t="n"/>
      <c r="E7" s="55" t="n"/>
      <c r="F7" s="56" t="n"/>
      <c r="G7" s="57" t="n"/>
      <c r="H7" s="57" t="n"/>
      <c r="I7" s="57" t="n"/>
      <c r="J7" s="57" t="n"/>
      <c r="K7" s="58">
        <f>IF(NOT((COUNTA($B7:$J7)+COUNTA($M7))&gt;0),"",IFERROR(LOOKUP(2,1/(G7:J7&lt;&gt;""),G7:J7),0))</f>
        <v/>
      </c>
      <c r="L7" s="53">
        <f>IF(K7="","",IF(K7&gt;=1,"Completado",IF(K7&gt;0,"En curso","Pendiente")))</f>
        <v/>
      </c>
      <c r="M7" s="54" t="n"/>
      <c r="N7" s="59">
        <f>IF(NOT((COUNTA($B7:$J7)+COUNTA($M7))&gt;0),"",IF((IF(B7="","Macroactividad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","")&amp;IF(ABS(SUM($F$5:$F$1000)-1)&gt;0.0001,"Pesos del puesto suman "&amp;TEXT(SUM($F$5:$F$1000),"0%")&amp;"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 OK","⚠ "&amp;LEFT(IF(B7="","Macroactividad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","")&amp;IF(ABS(SUM($F$5:$F$1000)-1)&gt;0.0001,"Pesos del puesto suman "&amp;TEXT(SUM($F$5:$F$1000),"0%")&amp;"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",""),LEN(IF(B7="","Macroactividad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","")&amp;IF(ABS(SUM($F$5:$F$1000)-1)&gt;0.0001,"Pesos del puesto suman "&amp;TEXT(SUM($F$5:$F$1000),"0%")&amp;"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",""))-3)))</f>
        <v/>
      </c>
    </row>
    <row r="8">
      <c r="A8" s="53">
        <f>IF(NOT((COUNTA($B8:$J8)+COUNTA($M8))&gt;0),"",COUNTIF($L$5:$L8,"?*"))</f>
        <v/>
      </c>
      <c r="B8" s="54" t="n"/>
      <c r="C8" s="54" t="n"/>
      <c r="D8" s="55" t="n"/>
      <c r="E8" s="55" t="n"/>
      <c r="F8" s="56" t="n"/>
      <c r="G8" s="57" t="n"/>
      <c r="H8" s="57" t="n"/>
      <c r="I8" s="57" t="n"/>
      <c r="J8" s="57" t="n"/>
      <c r="K8" s="58">
        <f>IF(NOT((COUNTA($B8:$J8)+COUNTA($M8))&gt;0),"",IFERROR(LOOKUP(2,1/(G8:J8&lt;&gt;""),G8:J8),0))</f>
        <v/>
      </c>
      <c r="L8" s="53">
        <f>IF(K8="","",IF(K8&gt;=1,"Completado",IF(K8&gt;0,"En curso","Pendiente")))</f>
        <v/>
      </c>
      <c r="M8" s="54" t="n"/>
      <c r="N8" s="59">
        <f>IF(NOT((COUNTA($B8:$J8)+COUNTA($M8))&gt;0),"",IF((IF(B8="","Macroactividad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","")&amp;IF(ABS(SUM($F$5:$F$1000)-1)&gt;0.0001,"Pesos del puesto suman "&amp;TEXT(SUM($F$5:$F$1000),"0%")&amp;"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 OK","⚠ "&amp;LEFT(IF(B8="","Macroactividad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","")&amp;IF(ABS(SUM($F$5:$F$1000)-1)&gt;0.0001,"Pesos del puesto suman "&amp;TEXT(SUM($F$5:$F$1000),"0%")&amp;"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",""),LEN(IF(B8="","Macroactividad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","")&amp;IF(ABS(SUM($F$5:$F$1000)-1)&gt;0.0001,"Pesos del puesto suman "&amp;TEXT(SUM($F$5:$F$1000),"0%")&amp;"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",""))-3)))</f>
        <v/>
      </c>
    </row>
    <row r="9">
      <c r="A9" s="53">
        <f>IF(NOT((COUNTA($B9:$J9)+COUNTA($M9))&gt;0),"",COUNTIF($L$5:$L9,"?*"))</f>
        <v/>
      </c>
      <c r="B9" s="54" t="n"/>
      <c r="C9" s="54" t="n"/>
      <c r="D9" s="55" t="n"/>
      <c r="E9" s="55" t="n"/>
      <c r="F9" s="56" t="n"/>
      <c r="G9" s="57" t="n"/>
      <c r="H9" s="57" t="n"/>
      <c r="I9" s="57" t="n"/>
      <c r="J9" s="57" t="n"/>
      <c r="K9" s="58">
        <f>IF(NOT((COUNTA($B9:$J9)+COUNTA($M9))&gt;0),"",IFERROR(LOOKUP(2,1/(G9:J9&lt;&gt;""),G9:J9),0))</f>
        <v/>
      </c>
      <c r="L9" s="53">
        <f>IF(K9="","",IF(K9&gt;=1,"Completado",IF(K9&gt;0,"En curso","Pendiente")))</f>
        <v/>
      </c>
      <c r="M9" s="54" t="n"/>
      <c r="N9" s="59">
        <f>IF(NOT((COUNTA($B9:$J9)+COUNTA($M9))&gt;0),"",IF((IF(B9="","Macroactividad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","")&amp;IF(ABS(SUM($F$5:$F$1000)-1)&gt;0.0001,"Pesos del puesto suman "&amp;TEXT(SUM($F$5:$F$1000),"0%")&amp;"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 OK","⚠ "&amp;LEFT(IF(B9="","Macroactividad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","")&amp;IF(ABS(SUM($F$5:$F$1000)-1)&gt;0.0001,"Pesos del puesto suman "&amp;TEXT(SUM($F$5:$F$1000),"0%")&amp;"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",""),LEN(IF(B9="","Macroactividad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","")&amp;IF(ABS(SUM($F$5:$F$1000)-1)&gt;0.0001,"Pesos del puesto suman "&amp;TEXT(SUM($F$5:$F$1000),"0%")&amp;"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",""))-3)))</f>
        <v/>
      </c>
    </row>
    <row r="10">
      <c r="A10" s="53">
        <f>IF(NOT((COUNTA($B10:$J10)+COUNTA($M10))&gt;0),"",COUNTIF($L$5:$L10,"?*"))</f>
        <v/>
      </c>
      <c r="B10" s="54" t="n"/>
      <c r="C10" s="54" t="n"/>
      <c r="D10" s="55" t="n"/>
      <c r="E10" s="55" t="n"/>
      <c r="F10" s="56" t="n"/>
      <c r="G10" s="57" t="n"/>
      <c r="H10" s="57" t="n"/>
      <c r="I10" s="57" t="n"/>
      <c r="J10" s="57" t="n"/>
      <c r="K10" s="58">
        <f>IF(NOT((COUNTA($B10:$J10)+COUNTA($M10))&gt;0),"",IFERROR(LOOKUP(2,1/(G10:J10&lt;&gt;""),G10:J10),0))</f>
        <v/>
      </c>
      <c r="L10" s="53">
        <f>IF(K10="","",IF(K10&gt;=1,"Completado",IF(K10&gt;0,"En curso","Pendiente")))</f>
        <v/>
      </c>
      <c r="M10" s="54" t="n"/>
      <c r="N10" s="59">
        <f>IF(NOT((COUNTA($B10:$J10)+COUNTA($M10))&gt;0),"",IF((IF(B10="","Macroactividad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","")&amp;IF(ABS(SUM($F$5:$F$1000)-1)&gt;0.0001,"Pesos del puesto suman "&amp;TEXT(SUM($F$5:$F$1000),"0%")&amp;"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 OK","⚠ "&amp;LEFT(IF(B10="","Macroactividad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","")&amp;IF(ABS(SUM($F$5:$F$1000)-1)&gt;0.0001,"Pesos del puesto suman "&amp;TEXT(SUM($F$5:$F$1000),"0%")&amp;"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",""),LEN(IF(B10="","Macroactividad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","")&amp;IF(ABS(SUM($F$5:$F$1000)-1)&gt;0.0001,"Pesos del puesto suman "&amp;TEXT(SUM($F$5:$F$1000),"0%")&amp;"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",""))-3)))</f>
        <v/>
      </c>
    </row>
    <row r="11">
      <c r="A11" s="53">
        <f>IF(NOT((COUNTA($B11:$J11)+COUNTA($M11))&gt;0),"",COUNTIF($L$5:$L11,"?*"))</f>
        <v/>
      </c>
      <c r="B11" s="54" t="n"/>
      <c r="C11" s="54" t="n"/>
      <c r="D11" s="55" t="n"/>
      <c r="E11" s="55" t="n"/>
      <c r="F11" s="56" t="n"/>
      <c r="G11" s="57" t="n"/>
      <c r="H11" s="57" t="n"/>
      <c r="I11" s="57" t="n"/>
      <c r="J11" s="57" t="n"/>
      <c r="K11" s="58">
        <f>IF(NOT((COUNTA($B11:$J11)+COUNTA($M11))&gt;0),"",IFERROR(LOOKUP(2,1/(G11:J11&lt;&gt;""),G11:J11),0))</f>
        <v/>
      </c>
      <c r="L11" s="53">
        <f>IF(K11="","",IF(K11&gt;=1,"Completado",IF(K11&gt;0,"En curso","Pendiente")))</f>
        <v/>
      </c>
      <c r="M11" s="54" t="n"/>
      <c r="N11" s="59">
        <f>IF(NOT((COUNTA($B11:$J11)+COUNTA($M11))&gt;0),"",IF((IF(B11="","Macroactividad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","")&amp;IF(ABS(SUM($F$5:$F$1000)-1)&gt;0.0001,"Pesos del puesto suman "&amp;TEXT(SUM($F$5:$F$1000),"0%")&amp;"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 OK","⚠ "&amp;LEFT(IF(B11="","Macroactividad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","")&amp;IF(ABS(SUM($F$5:$F$1000)-1)&gt;0.0001,"Pesos del puesto suman "&amp;TEXT(SUM($F$5:$F$1000),"0%")&amp;"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",""),LEN(IF(B11="","Macroactividad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","")&amp;IF(ABS(SUM($F$5:$F$1000)-1)&gt;0.0001,"Pesos del puesto suman "&amp;TEXT(SUM($F$5:$F$1000),"0%")&amp;"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",""))-3)))</f>
        <v/>
      </c>
    </row>
    <row r="12">
      <c r="A12" s="53">
        <f>IF(NOT((COUNTA($B12:$J12)+COUNTA($M12))&gt;0),"",COUNTIF($L$5:$L12,"?*"))</f>
        <v/>
      </c>
      <c r="B12" s="54" t="n"/>
      <c r="C12" s="54" t="n"/>
      <c r="D12" s="55" t="n"/>
      <c r="E12" s="55" t="n"/>
      <c r="F12" s="56" t="n"/>
      <c r="G12" s="57" t="n"/>
      <c r="H12" s="57" t="n"/>
      <c r="I12" s="57" t="n"/>
      <c r="J12" s="57" t="n"/>
      <c r="K12" s="58">
        <f>IF(NOT((COUNTA($B12:$J12)+COUNTA($M12))&gt;0),"",IFERROR(LOOKUP(2,1/(G12:J12&lt;&gt;""),G12:J12),0))</f>
        <v/>
      </c>
      <c r="L12" s="53">
        <f>IF(K12="","",IF(K12&gt;=1,"Completado",IF(K12&gt;0,"En curso","Pendiente")))</f>
        <v/>
      </c>
      <c r="M12" s="54" t="n"/>
      <c r="N12" s="59">
        <f>IF(NOT((COUNTA($B12:$J12)+COUNTA($M12))&gt;0),"",IF((IF(B12="","Macroactividad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","")&amp;IF(ABS(SUM($F$5:$F$1000)-1)&gt;0.0001,"Pesos del puesto suman "&amp;TEXT(SUM($F$5:$F$1000),"0%")&amp;"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 OK","⚠ "&amp;LEFT(IF(B12="","Macroactividad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","")&amp;IF(ABS(SUM($F$5:$F$1000)-1)&gt;0.0001,"Pesos del puesto suman "&amp;TEXT(SUM($F$5:$F$1000),"0%")&amp;"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",""),LEN(IF(B12="","Macroactividad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","")&amp;IF(ABS(SUM($F$5:$F$1000)-1)&gt;0.0001,"Pesos del puesto suman "&amp;TEXT(SUM($F$5:$F$1000),"0%")&amp;"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",""))-3)))</f>
        <v/>
      </c>
    </row>
    <row r="13">
      <c r="A13" s="53">
        <f>IF(NOT((COUNTA($B13:$J13)+COUNTA($M13))&gt;0),"",COUNTIF($L$5:$L13,"?*"))</f>
        <v/>
      </c>
      <c r="B13" s="54" t="n"/>
      <c r="C13" s="54" t="n"/>
      <c r="D13" s="55" t="n"/>
      <c r="E13" s="55" t="n"/>
      <c r="F13" s="56" t="n"/>
      <c r="G13" s="57" t="n"/>
      <c r="H13" s="57" t="n"/>
      <c r="I13" s="57" t="n"/>
      <c r="J13" s="57" t="n"/>
      <c r="K13" s="58">
        <f>IF(NOT((COUNTA($B13:$J13)+COUNTA($M13))&gt;0),"",IFERROR(LOOKUP(2,1/(G13:J13&lt;&gt;""),G13:J13),0))</f>
        <v/>
      </c>
      <c r="L13" s="53">
        <f>IF(K13="","",IF(K13&gt;=1,"Completado",IF(K13&gt;0,"En curso","Pendiente")))</f>
        <v/>
      </c>
      <c r="M13" s="54" t="n"/>
      <c r="N13" s="59">
        <f>IF(NOT((COUNTA($B13:$J13)+COUNTA($M13))&gt;0),"",IF((IF(B13="","Macroactividad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","")&amp;IF(ABS(SUM($F$5:$F$1000)-1)&gt;0.0001,"Pesos del puesto suman "&amp;TEXT(SUM($F$5:$F$1000),"0%")&amp;"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 OK","⚠ "&amp;LEFT(IF(B13="","Macroactividad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","")&amp;IF(ABS(SUM($F$5:$F$1000)-1)&gt;0.0001,"Pesos del puesto suman "&amp;TEXT(SUM($F$5:$F$1000),"0%")&amp;"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",""),LEN(IF(B13="","Macroactividad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","")&amp;IF(ABS(SUM($F$5:$F$1000)-1)&gt;0.0001,"Pesos del puesto suman "&amp;TEXT(SUM($F$5:$F$1000),"0%")&amp;"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",""))-3)))</f>
        <v/>
      </c>
    </row>
    <row r="14">
      <c r="A14" s="53">
        <f>IF(NOT((COUNTA($B14:$J14)+COUNTA($M14))&gt;0),"",COUNTIF($L$5:$L14,"?*"))</f>
        <v/>
      </c>
      <c r="B14" s="54" t="n"/>
      <c r="C14" s="54" t="n"/>
      <c r="D14" s="55" t="n"/>
      <c r="E14" s="55" t="n"/>
      <c r="F14" s="56" t="n"/>
      <c r="G14" s="57" t="n"/>
      <c r="H14" s="57" t="n"/>
      <c r="I14" s="57" t="n"/>
      <c r="J14" s="57" t="n"/>
      <c r="K14" s="58">
        <f>IF(NOT((COUNTA($B14:$J14)+COUNTA($M14))&gt;0),"",IFERROR(LOOKUP(2,1/(G14:J14&lt;&gt;""),G14:J14),0))</f>
        <v/>
      </c>
      <c r="L14" s="53">
        <f>IF(K14="","",IF(K14&gt;=1,"Completado",IF(K14&gt;0,"En curso","Pendiente")))</f>
        <v/>
      </c>
      <c r="M14" s="54" t="n"/>
      <c r="N14" s="59">
        <f>IF(NOT((COUNTA($B14:$J14)+COUNTA($M14))&gt;0),"",IF((IF(B14="","Macroactividad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","")&amp;IF(ABS(SUM($F$5:$F$1000)-1)&gt;0.0001,"Pesos del puesto suman "&amp;TEXT(SUM($F$5:$F$1000),"0%")&amp;"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 OK","⚠ "&amp;LEFT(IF(B14="","Macroactividad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","")&amp;IF(ABS(SUM($F$5:$F$1000)-1)&gt;0.0001,"Pesos del puesto suman "&amp;TEXT(SUM($F$5:$F$1000),"0%")&amp;"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",""),LEN(IF(B14="","Macroactividad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","")&amp;IF(ABS(SUM($F$5:$F$1000)-1)&gt;0.0001,"Pesos del puesto suman "&amp;TEXT(SUM($F$5:$F$1000),"0%")&amp;"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",""))-3)))</f>
        <v/>
      </c>
    </row>
    <row r="15">
      <c r="A15" s="53">
        <f>IF(NOT((COUNTA($B15:$J15)+COUNTA($M15))&gt;0),"",COUNTIF($L$5:$L15,"?*"))</f>
        <v/>
      </c>
      <c r="B15" s="54" t="n"/>
      <c r="C15" s="54" t="n"/>
      <c r="D15" s="55" t="n"/>
      <c r="E15" s="55" t="n"/>
      <c r="F15" s="56" t="n"/>
      <c r="G15" s="57" t="n"/>
      <c r="H15" s="57" t="n"/>
      <c r="I15" s="57" t="n"/>
      <c r="J15" s="57" t="n"/>
      <c r="K15" s="58">
        <f>IF(NOT((COUNTA($B15:$J15)+COUNTA($M15))&gt;0),"",IFERROR(LOOKUP(2,1/(G15:J15&lt;&gt;""),G15:J15),0))</f>
        <v/>
      </c>
      <c r="L15" s="53">
        <f>IF(K15="","",IF(K15&gt;=1,"Completado",IF(K15&gt;0,"En curso","Pendiente")))</f>
        <v/>
      </c>
      <c r="M15" s="54" t="n"/>
      <c r="N15" s="59">
        <f>IF(NOT((COUNTA($B15:$J15)+COUNTA($M15))&gt;0),"",IF((IF(B15="","Macroactividad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","")&amp;IF(ABS(SUM($F$5:$F$1000)-1)&gt;0.0001,"Pesos del puesto suman "&amp;TEXT(SUM($F$5:$F$1000),"0%")&amp;"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 OK","⚠ "&amp;LEFT(IF(B15="","Macroactividad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","")&amp;IF(ABS(SUM($F$5:$F$1000)-1)&gt;0.0001,"Pesos del puesto suman "&amp;TEXT(SUM($F$5:$F$1000),"0%")&amp;"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",""),LEN(IF(B15="","Macroactividad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","")&amp;IF(ABS(SUM($F$5:$F$1000)-1)&gt;0.0001,"Pesos del puesto suman "&amp;TEXT(SUM($F$5:$F$1000),"0%")&amp;"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",""))-3)))</f>
        <v/>
      </c>
    </row>
    <row r="16">
      <c r="A16" s="53">
        <f>IF(NOT((COUNTA($B16:$J16)+COUNTA($M16))&gt;0),"",COUNTIF($L$5:$L16,"?*"))</f>
        <v/>
      </c>
      <c r="B16" s="54" t="n"/>
      <c r="C16" s="54" t="n"/>
      <c r="D16" s="55" t="n"/>
      <c r="E16" s="55" t="n"/>
      <c r="F16" s="56" t="n"/>
      <c r="G16" s="57" t="n"/>
      <c r="H16" s="57" t="n"/>
      <c r="I16" s="57" t="n"/>
      <c r="J16" s="57" t="n"/>
      <c r="K16" s="58">
        <f>IF(NOT((COUNTA($B16:$J16)+COUNTA($M16))&gt;0),"",IFERROR(LOOKUP(2,1/(G16:J16&lt;&gt;""),G16:J16),0))</f>
        <v/>
      </c>
      <c r="L16" s="53">
        <f>IF(K16="","",IF(K16&gt;=1,"Completado",IF(K16&gt;0,"En curso","Pendiente")))</f>
        <v/>
      </c>
      <c r="M16" s="54" t="n"/>
      <c r="N16" s="59">
        <f>IF(NOT((COUNTA($B16:$J16)+COUNTA($M16))&gt;0),"",IF((IF(B16="","Macroactividad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","")&amp;IF(ABS(SUM($F$5:$F$1000)-1)&gt;0.0001,"Pesos del puesto suman "&amp;TEXT(SUM($F$5:$F$1000),"0%")&amp;"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 OK","⚠ "&amp;LEFT(IF(B16="","Macroactividad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","")&amp;IF(ABS(SUM($F$5:$F$1000)-1)&gt;0.0001,"Pesos del puesto suman "&amp;TEXT(SUM($F$5:$F$1000),"0%")&amp;"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",""),LEN(IF(B16="","Macroactividad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","")&amp;IF(ABS(SUM($F$5:$F$1000)-1)&gt;0.0001,"Pesos del puesto suman "&amp;TEXT(SUM($F$5:$F$1000),"0%")&amp;"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",""))-3)))</f>
        <v/>
      </c>
    </row>
    <row r="17">
      <c r="A17" s="53">
        <f>IF(NOT((COUNTA($B17:$J17)+COUNTA($M17))&gt;0),"",COUNTIF($L$5:$L17,"?*"))</f>
        <v/>
      </c>
      <c r="B17" s="54" t="n"/>
      <c r="C17" s="54" t="n"/>
      <c r="D17" s="55" t="n"/>
      <c r="E17" s="55" t="n"/>
      <c r="F17" s="56" t="n"/>
      <c r="G17" s="57" t="n"/>
      <c r="H17" s="57" t="n"/>
      <c r="I17" s="57" t="n"/>
      <c r="J17" s="57" t="n"/>
      <c r="K17" s="58">
        <f>IF(NOT((COUNTA($B17:$J17)+COUNTA($M17))&gt;0),"",IFERROR(LOOKUP(2,1/(G17:J17&lt;&gt;""),G17:J17),0))</f>
        <v/>
      </c>
      <c r="L17" s="53">
        <f>IF(K17="","",IF(K17&gt;=1,"Completado",IF(K17&gt;0,"En curso","Pendiente")))</f>
        <v/>
      </c>
      <c r="M17" s="54" t="n"/>
      <c r="N17" s="59">
        <f>IF(NOT((COUNTA($B17:$J17)+COUNTA($M17))&gt;0),"",IF((IF(B17="","Macroactividad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","")&amp;IF(ABS(SUM($F$5:$F$1000)-1)&gt;0.0001,"Pesos del puesto suman "&amp;TEXT(SUM($F$5:$F$1000),"0%")&amp;"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 OK","⚠ "&amp;LEFT(IF(B17="","Macroactividad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","")&amp;IF(ABS(SUM($F$5:$F$1000)-1)&gt;0.0001,"Pesos del puesto suman "&amp;TEXT(SUM($F$5:$F$1000),"0%")&amp;"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",""),LEN(IF(B17="","Macroactividad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","")&amp;IF(ABS(SUM($F$5:$F$1000)-1)&gt;0.0001,"Pesos del puesto suman "&amp;TEXT(SUM($F$5:$F$1000),"0%")&amp;"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",""))-3)))</f>
        <v/>
      </c>
    </row>
    <row r="18">
      <c r="A18" s="53">
        <f>IF(NOT((COUNTA($B18:$J18)+COUNTA($M18))&gt;0),"",COUNTIF($L$5:$L18,"?*"))</f>
        <v/>
      </c>
      <c r="B18" s="54" t="n"/>
      <c r="C18" s="54" t="n"/>
      <c r="D18" s="55" t="n"/>
      <c r="E18" s="55" t="n"/>
      <c r="F18" s="56" t="n"/>
      <c r="G18" s="57" t="n"/>
      <c r="H18" s="57" t="n"/>
      <c r="I18" s="57" t="n"/>
      <c r="J18" s="57" t="n"/>
      <c r="K18" s="58">
        <f>IF(NOT((COUNTA($B18:$J18)+COUNTA($M18))&gt;0),"",IFERROR(LOOKUP(2,1/(G18:J18&lt;&gt;""),G18:J18),0))</f>
        <v/>
      </c>
      <c r="L18" s="53">
        <f>IF(K18="","",IF(K18&gt;=1,"Completado",IF(K18&gt;0,"En curso","Pendiente")))</f>
        <v/>
      </c>
      <c r="M18" s="54" t="n"/>
      <c r="N18" s="59">
        <f>IF(NOT((COUNTA($B18:$J18)+COUNTA($M18))&gt;0),"",IF((IF(B18="","Macroactividad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","")&amp;IF(ABS(SUM($F$5:$F$1000)-1)&gt;0.0001,"Pesos del puesto suman "&amp;TEXT(SUM($F$5:$F$1000),"0%")&amp;"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 OK","⚠ "&amp;LEFT(IF(B18="","Macroactividad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","")&amp;IF(ABS(SUM($F$5:$F$1000)-1)&gt;0.0001,"Pesos del puesto suman "&amp;TEXT(SUM($F$5:$F$1000),"0%")&amp;"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",""),LEN(IF(B18="","Macroactividad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","")&amp;IF(ABS(SUM($F$5:$F$1000)-1)&gt;0.0001,"Pesos del puesto suman "&amp;TEXT(SUM($F$5:$F$1000),"0%")&amp;"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",""))-3)))</f>
        <v/>
      </c>
    </row>
    <row r="19">
      <c r="A19" s="53">
        <f>IF(NOT((COUNTA($B19:$J19)+COUNTA($M19))&gt;0),"",COUNTIF($L$5:$L19,"?*"))</f>
        <v/>
      </c>
      <c r="B19" s="54" t="n"/>
      <c r="C19" s="54" t="n"/>
      <c r="D19" s="55" t="n"/>
      <c r="E19" s="55" t="n"/>
      <c r="F19" s="56" t="n"/>
      <c r="G19" s="57" t="n"/>
      <c r="H19" s="57" t="n"/>
      <c r="I19" s="57" t="n"/>
      <c r="J19" s="57" t="n"/>
      <c r="K19" s="58">
        <f>IF(NOT((COUNTA($B19:$J19)+COUNTA($M19))&gt;0),"",IFERROR(LOOKUP(2,1/(G19:J19&lt;&gt;""),G19:J19),0))</f>
        <v/>
      </c>
      <c r="L19" s="53">
        <f>IF(K19="","",IF(K19&gt;=1,"Completado",IF(K19&gt;0,"En curso","Pendiente")))</f>
        <v/>
      </c>
      <c r="M19" s="54" t="n"/>
      <c r="N19" s="59">
        <f>IF(NOT((COUNTA($B19:$J19)+COUNTA($M19))&gt;0),"",IF((IF(B19="","Macroactividad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","")&amp;IF(ABS(SUM($F$5:$F$1000)-1)&gt;0.0001,"Pesos del puesto suman "&amp;TEXT(SUM($F$5:$F$1000),"0%")&amp;"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 OK","⚠ "&amp;LEFT(IF(B19="","Macroactividad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","")&amp;IF(ABS(SUM($F$5:$F$1000)-1)&gt;0.0001,"Pesos del puesto suman "&amp;TEXT(SUM($F$5:$F$1000),"0%")&amp;"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",""),LEN(IF(B19="","Macroactividad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","")&amp;IF(ABS(SUM($F$5:$F$1000)-1)&gt;0.0001,"Pesos del puesto suman "&amp;TEXT(SUM($F$5:$F$1000),"0%")&amp;"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",""))-3)))</f>
        <v/>
      </c>
    </row>
    <row r="20">
      <c r="A20" s="53">
        <f>IF(NOT((COUNTA($B20:$J20)+COUNTA($M20))&gt;0),"",COUNTIF($L$5:$L20,"?*"))</f>
        <v/>
      </c>
      <c r="B20" s="54" t="n"/>
      <c r="C20" s="54" t="n"/>
      <c r="D20" s="55" t="n"/>
      <c r="E20" s="55" t="n"/>
      <c r="F20" s="56" t="n"/>
      <c r="G20" s="57" t="n"/>
      <c r="H20" s="57" t="n"/>
      <c r="I20" s="57" t="n"/>
      <c r="J20" s="57" t="n"/>
      <c r="K20" s="58">
        <f>IF(NOT((COUNTA($B20:$J20)+COUNTA($M20))&gt;0),"",IFERROR(LOOKUP(2,1/(G20:J20&lt;&gt;""),G20:J20),0))</f>
        <v/>
      </c>
      <c r="L20" s="53">
        <f>IF(K20="","",IF(K20&gt;=1,"Completado",IF(K20&gt;0,"En curso","Pendiente")))</f>
        <v/>
      </c>
      <c r="M20" s="54" t="n"/>
      <c r="N20" s="59">
        <f>IF(NOT((COUNTA($B20:$J20)+COUNTA($M20))&gt;0),"",IF((IF(B20="","Macroactividad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","")&amp;IF(ABS(SUM($F$5:$F$1000)-1)&gt;0.0001,"Pesos del puesto suman "&amp;TEXT(SUM($F$5:$F$1000),"0%")&amp;"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 OK","⚠ "&amp;LEFT(IF(B20="","Macroactividad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","")&amp;IF(ABS(SUM($F$5:$F$1000)-1)&gt;0.0001,"Pesos del puesto suman "&amp;TEXT(SUM($F$5:$F$1000),"0%")&amp;"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",""),LEN(IF(B20="","Macroactividad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","")&amp;IF(ABS(SUM($F$5:$F$1000)-1)&gt;0.0001,"Pesos del puesto suman "&amp;TEXT(SUM($F$5:$F$1000),"0%")&amp;"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",""))-3)))</f>
        <v/>
      </c>
    </row>
    <row r="21">
      <c r="A21" s="53">
        <f>IF(NOT((COUNTA($B21:$J21)+COUNTA($M21))&gt;0),"",COUNTIF($L$5:$L21,"?*"))</f>
        <v/>
      </c>
      <c r="B21" s="54" t="n"/>
      <c r="C21" s="54" t="n"/>
      <c r="D21" s="55" t="n"/>
      <c r="E21" s="55" t="n"/>
      <c r="F21" s="56" t="n"/>
      <c r="G21" s="57" t="n"/>
      <c r="H21" s="57" t="n"/>
      <c r="I21" s="57" t="n"/>
      <c r="J21" s="57" t="n"/>
      <c r="K21" s="58">
        <f>IF(NOT((COUNTA($B21:$J21)+COUNTA($M21))&gt;0),"",IFERROR(LOOKUP(2,1/(G21:J21&lt;&gt;""),G21:J21),0))</f>
        <v/>
      </c>
      <c r="L21" s="53">
        <f>IF(K21="","",IF(K21&gt;=1,"Completado",IF(K21&gt;0,"En curso","Pendiente")))</f>
        <v/>
      </c>
      <c r="M21" s="54" t="n"/>
      <c r="N21" s="59">
        <f>IF(NOT((COUNTA($B21:$J21)+COUNTA($M21))&gt;0),"",IF((IF(B21="","Macroactividad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","")&amp;IF(ABS(SUM($F$5:$F$1000)-1)&gt;0.0001,"Pesos del puesto suman "&amp;TEXT(SUM($F$5:$F$1000),"0%")&amp;"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 OK","⚠ "&amp;LEFT(IF(B21="","Macroactividad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","")&amp;IF(ABS(SUM($F$5:$F$1000)-1)&gt;0.0001,"Pesos del puesto suman "&amp;TEXT(SUM($F$5:$F$1000),"0%")&amp;"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",""),LEN(IF(B21="","Macroactividad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","")&amp;IF(ABS(SUM($F$5:$F$1000)-1)&gt;0.0001,"Pesos del puesto suman "&amp;TEXT(SUM($F$5:$F$1000),"0%")&amp;"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",""))-3)))</f>
        <v/>
      </c>
    </row>
    <row r="22">
      <c r="A22" s="53">
        <f>IF(NOT((COUNTA($B22:$J22)+COUNTA($M22))&gt;0),"",COUNTIF($L$5:$L22,"?*"))</f>
        <v/>
      </c>
      <c r="B22" s="54" t="n"/>
      <c r="C22" s="54" t="n"/>
      <c r="D22" s="55" t="n"/>
      <c r="E22" s="55" t="n"/>
      <c r="F22" s="56" t="n"/>
      <c r="G22" s="57" t="n"/>
      <c r="H22" s="57" t="n"/>
      <c r="I22" s="57" t="n"/>
      <c r="J22" s="57" t="n"/>
      <c r="K22" s="58">
        <f>IF(NOT((COUNTA($B22:$J22)+COUNTA($M22))&gt;0),"",IFERROR(LOOKUP(2,1/(G22:J22&lt;&gt;""),G22:J22),0))</f>
        <v/>
      </c>
      <c r="L22" s="53">
        <f>IF(K22="","",IF(K22&gt;=1,"Completado",IF(K22&gt;0,"En curso","Pendiente")))</f>
        <v/>
      </c>
      <c r="M22" s="54" t="n"/>
      <c r="N22" s="59">
        <f>IF(NOT((COUNTA($B22:$J22)+COUNTA($M22))&gt;0),"",IF((IF(B22="","Macroactividad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","")&amp;IF(ABS(SUM($F$5:$F$1000)-1)&gt;0.0001,"Pesos del puesto suman "&amp;TEXT(SUM($F$5:$F$1000),"0%")&amp;"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 OK","⚠ "&amp;LEFT(IF(B22="","Macroactividad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","")&amp;IF(ABS(SUM($F$5:$F$1000)-1)&gt;0.0001,"Pesos del puesto suman "&amp;TEXT(SUM($F$5:$F$1000),"0%")&amp;"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",""),LEN(IF(B22="","Macroactividad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","")&amp;IF(ABS(SUM($F$5:$F$1000)-1)&gt;0.0001,"Pesos del puesto suman "&amp;TEXT(SUM($F$5:$F$1000),"0%")&amp;"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",""))-3)))</f>
        <v/>
      </c>
    </row>
    <row r="23">
      <c r="A23" s="53">
        <f>IF(NOT((COUNTA($B23:$J23)+COUNTA($M23))&gt;0),"",COUNTIF($L$5:$L23,"?*"))</f>
        <v/>
      </c>
      <c r="B23" s="54" t="n"/>
      <c r="C23" s="54" t="n"/>
      <c r="D23" s="55" t="n"/>
      <c r="E23" s="55" t="n"/>
      <c r="F23" s="56" t="n"/>
      <c r="G23" s="57" t="n"/>
      <c r="H23" s="57" t="n"/>
      <c r="I23" s="57" t="n"/>
      <c r="J23" s="57" t="n"/>
      <c r="K23" s="58">
        <f>IF(NOT((COUNTA($B23:$J23)+COUNTA($M23))&gt;0),"",IFERROR(LOOKUP(2,1/(G23:J23&lt;&gt;""),G23:J23),0))</f>
        <v/>
      </c>
      <c r="L23" s="53">
        <f>IF(K23="","",IF(K23&gt;=1,"Completado",IF(K23&gt;0,"En curso","Pendiente")))</f>
        <v/>
      </c>
      <c r="M23" s="54" t="n"/>
      <c r="N23" s="59">
        <f>IF(NOT((COUNTA($B23:$J23)+COUNTA($M23))&gt;0),"",IF((IF(B23="","Macroactividad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","")&amp;IF(ABS(SUM($F$5:$F$1000)-1)&gt;0.0001,"Pesos del puesto suman "&amp;TEXT(SUM($F$5:$F$1000),"0%")&amp;"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 OK","⚠ "&amp;LEFT(IF(B23="","Macroactividad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","")&amp;IF(ABS(SUM($F$5:$F$1000)-1)&gt;0.0001,"Pesos del puesto suman "&amp;TEXT(SUM($F$5:$F$1000),"0%")&amp;"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",""),LEN(IF(B23="","Macroactividad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","")&amp;IF(ABS(SUM($F$5:$F$1000)-1)&gt;0.0001,"Pesos del puesto suman "&amp;TEXT(SUM($F$5:$F$1000),"0%")&amp;"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",""))-3)))</f>
        <v/>
      </c>
    </row>
    <row r="24">
      <c r="A24" s="53">
        <f>IF(NOT((COUNTA($B24:$J24)+COUNTA($M24))&gt;0),"",COUNTIF($L$5:$L24,"?*"))</f>
        <v/>
      </c>
      <c r="B24" s="54" t="n"/>
      <c r="C24" s="54" t="n"/>
      <c r="D24" s="55" t="n"/>
      <c r="E24" s="55" t="n"/>
      <c r="F24" s="56" t="n"/>
      <c r="G24" s="57" t="n"/>
      <c r="H24" s="57" t="n"/>
      <c r="I24" s="57" t="n"/>
      <c r="J24" s="57" t="n"/>
      <c r="K24" s="58">
        <f>IF(NOT((COUNTA($B24:$J24)+COUNTA($M24))&gt;0),"",IFERROR(LOOKUP(2,1/(G24:J24&lt;&gt;""),G24:J24),0))</f>
        <v/>
      </c>
      <c r="L24" s="53">
        <f>IF(K24="","",IF(K24&gt;=1,"Completado",IF(K24&gt;0,"En curso","Pendiente")))</f>
        <v/>
      </c>
      <c r="M24" s="54" t="n"/>
      <c r="N24" s="59">
        <f>IF(NOT((COUNTA($B24:$J24)+COUNTA($M24))&gt;0),"",IF((IF(B24="","Macroactividad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","")&amp;IF(ABS(SUM($F$5:$F$1000)-1)&gt;0.0001,"Pesos del puesto suman "&amp;TEXT(SUM($F$5:$F$1000),"0%")&amp;"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 OK","⚠ "&amp;LEFT(IF(B24="","Macroactividad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","")&amp;IF(ABS(SUM($F$5:$F$1000)-1)&gt;0.0001,"Pesos del puesto suman "&amp;TEXT(SUM($F$5:$F$1000),"0%")&amp;"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",""),LEN(IF(B24="","Macroactividad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","")&amp;IF(ABS(SUM($F$5:$F$1000)-1)&gt;0.0001,"Pesos del puesto suman "&amp;TEXT(SUM($F$5:$F$1000),"0%")&amp;"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",""))-3)))</f>
        <v/>
      </c>
    </row>
    <row r="25">
      <c r="A25" s="53">
        <f>IF(NOT((COUNTA($B25:$J25)+COUNTA($M25))&gt;0),"",COUNTIF($L$5:$L25,"?*"))</f>
        <v/>
      </c>
      <c r="B25" s="54" t="n"/>
      <c r="C25" s="54" t="n"/>
      <c r="D25" s="55" t="n"/>
      <c r="E25" s="55" t="n"/>
      <c r="F25" s="56" t="n"/>
      <c r="G25" s="57" t="n"/>
      <c r="H25" s="57" t="n"/>
      <c r="I25" s="57" t="n"/>
      <c r="J25" s="57" t="n"/>
      <c r="K25" s="58">
        <f>IF(NOT((COUNTA($B25:$J25)+COUNTA($M25))&gt;0),"",IFERROR(LOOKUP(2,1/(G25:J25&lt;&gt;""),G25:J25),0))</f>
        <v/>
      </c>
      <c r="L25" s="53">
        <f>IF(K25="","",IF(K25&gt;=1,"Completado",IF(K25&gt;0,"En curso","Pendiente")))</f>
        <v/>
      </c>
      <c r="M25" s="54" t="n"/>
      <c r="N25" s="59">
        <f>IF(NOT((COUNTA($B25:$J25)+COUNTA($M25))&gt;0),"",IF((IF(B25="","Macroactividad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","")&amp;IF(ABS(SUM($F$5:$F$1000)-1)&gt;0.0001,"Pesos del puesto suman "&amp;TEXT(SUM($F$5:$F$1000),"0%")&amp;"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 OK","⚠ "&amp;LEFT(IF(B25="","Macroactividad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","")&amp;IF(ABS(SUM($F$5:$F$1000)-1)&gt;0.0001,"Pesos del puesto suman "&amp;TEXT(SUM($F$5:$F$1000),"0%")&amp;"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",""),LEN(IF(B25="","Macroactividad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","")&amp;IF(ABS(SUM($F$5:$F$1000)-1)&gt;0.0001,"Pesos del puesto suman "&amp;TEXT(SUM($F$5:$F$1000),"0%")&amp;"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",""))-3)))</f>
        <v/>
      </c>
    </row>
    <row r="26">
      <c r="A26" s="53">
        <f>IF(NOT((COUNTA($B26:$J26)+COUNTA($M26))&gt;0),"",COUNTIF($L$5:$L26,"?*"))</f>
        <v/>
      </c>
      <c r="B26" s="54" t="n"/>
      <c r="C26" s="54" t="n"/>
      <c r="D26" s="55" t="n"/>
      <c r="E26" s="55" t="n"/>
      <c r="F26" s="56" t="n"/>
      <c r="G26" s="57" t="n"/>
      <c r="H26" s="57" t="n"/>
      <c r="I26" s="57" t="n"/>
      <c r="J26" s="57" t="n"/>
      <c r="K26" s="58">
        <f>IF(NOT((COUNTA($B26:$J26)+COUNTA($M26))&gt;0),"",IFERROR(LOOKUP(2,1/(G26:J26&lt;&gt;""),G26:J26),0))</f>
        <v/>
      </c>
      <c r="L26" s="53">
        <f>IF(K26="","",IF(K26&gt;=1,"Completado",IF(K26&gt;0,"En curso","Pendiente")))</f>
        <v/>
      </c>
      <c r="M26" s="54" t="n"/>
      <c r="N26" s="59">
        <f>IF(NOT((COUNTA($B26:$J26)+COUNTA($M26))&gt;0),"",IF((IF(B26="","Macroactividad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","")&amp;IF(ABS(SUM($F$5:$F$1000)-1)&gt;0.0001,"Pesos del puesto suman "&amp;TEXT(SUM($F$5:$F$1000),"0%")&amp;"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 OK","⚠ "&amp;LEFT(IF(B26="","Macroactividad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","")&amp;IF(ABS(SUM($F$5:$F$1000)-1)&gt;0.0001,"Pesos del puesto suman "&amp;TEXT(SUM($F$5:$F$1000),"0%")&amp;"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",""),LEN(IF(B26="","Macroactividad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","")&amp;IF(ABS(SUM($F$5:$F$1000)-1)&gt;0.0001,"Pesos del puesto suman "&amp;TEXT(SUM($F$5:$F$1000),"0%")&amp;"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",""))-3)))</f>
        <v/>
      </c>
    </row>
    <row r="27">
      <c r="A27" s="53">
        <f>IF(NOT((COUNTA($B27:$J27)+COUNTA($M27))&gt;0),"",COUNTIF($L$5:$L27,"?*"))</f>
        <v/>
      </c>
      <c r="B27" s="54" t="n"/>
      <c r="C27" s="54" t="n"/>
      <c r="D27" s="55" t="n"/>
      <c r="E27" s="55" t="n"/>
      <c r="F27" s="56" t="n"/>
      <c r="G27" s="57" t="n"/>
      <c r="H27" s="57" t="n"/>
      <c r="I27" s="57" t="n"/>
      <c r="J27" s="57" t="n"/>
      <c r="K27" s="58">
        <f>IF(NOT((COUNTA($B27:$J27)+COUNTA($M27))&gt;0),"",IFERROR(LOOKUP(2,1/(G27:J27&lt;&gt;""),G27:J27),0))</f>
        <v/>
      </c>
      <c r="L27" s="53">
        <f>IF(K27="","",IF(K27&gt;=1,"Completado",IF(K27&gt;0,"En curso","Pendiente")))</f>
        <v/>
      </c>
      <c r="M27" s="54" t="n"/>
      <c r="N27" s="59">
        <f>IF(NOT((COUNTA($B27:$J27)+COUNTA($M27))&gt;0),"",IF((IF(B27="","Macroactividad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","")&amp;IF(ABS(SUM($F$5:$F$1000)-1)&gt;0.0001,"Pesos del puesto suman "&amp;TEXT(SUM($F$5:$F$1000),"0%")&amp;"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 OK","⚠ "&amp;LEFT(IF(B27="","Macroactividad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","")&amp;IF(ABS(SUM($F$5:$F$1000)-1)&gt;0.0001,"Pesos del puesto suman "&amp;TEXT(SUM($F$5:$F$1000),"0%")&amp;"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",""),LEN(IF(B27="","Macroactividad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","")&amp;IF(ABS(SUM($F$5:$F$1000)-1)&gt;0.0001,"Pesos del puesto suman "&amp;TEXT(SUM($F$5:$F$1000),"0%")&amp;"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",""))-3)))</f>
        <v/>
      </c>
    </row>
    <row r="28">
      <c r="A28" s="53">
        <f>IF(NOT((COUNTA($B28:$J28)+COUNTA($M28))&gt;0),"",COUNTIF($L$5:$L28,"?*"))</f>
        <v/>
      </c>
      <c r="B28" s="54" t="n"/>
      <c r="C28" s="54" t="n"/>
      <c r="D28" s="55" t="n"/>
      <c r="E28" s="55" t="n"/>
      <c r="F28" s="56" t="n"/>
      <c r="G28" s="57" t="n"/>
      <c r="H28" s="57" t="n"/>
      <c r="I28" s="57" t="n"/>
      <c r="J28" s="57" t="n"/>
      <c r="K28" s="58">
        <f>IF(NOT((COUNTA($B28:$J28)+COUNTA($M28))&gt;0),"",IFERROR(LOOKUP(2,1/(G28:J28&lt;&gt;""),G28:J28),0))</f>
        <v/>
      </c>
      <c r="L28" s="53">
        <f>IF(K28="","",IF(K28&gt;=1,"Completado",IF(K28&gt;0,"En curso","Pendiente")))</f>
        <v/>
      </c>
      <c r="M28" s="54" t="n"/>
      <c r="N28" s="59">
        <f>IF(NOT((COUNTA($B28:$J28)+COUNTA($M28))&gt;0),"",IF((IF(B28="","Macroactividad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","")&amp;IF(ABS(SUM($F$5:$F$1000)-1)&gt;0.0001,"Pesos del puesto suman "&amp;TEXT(SUM($F$5:$F$1000),"0%")&amp;"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 OK","⚠ "&amp;LEFT(IF(B28="","Macroactividad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","")&amp;IF(ABS(SUM($F$5:$F$1000)-1)&gt;0.0001,"Pesos del puesto suman "&amp;TEXT(SUM($F$5:$F$1000),"0%")&amp;"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",""),LEN(IF(B28="","Macroactividad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","")&amp;IF(ABS(SUM($F$5:$F$1000)-1)&gt;0.0001,"Pesos del puesto suman "&amp;TEXT(SUM($F$5:$F$1000),"0%")&amp;"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",""))-3)))</f>
        <v/>
      </c>
    </row>
    <row r="29">
      <c r="A29" s="53">
        <f>IF(NOT((COUNTA($B29:$J29)+COUNTA($M29))&gt;0),"",COUNTIF($L$5:$L29,"?*"))</f>
        <v/>
      </c>
      <c r="B29" s="54" t="n"/>
      <c r="C29" s="54" t="n"/>
      <c r="D29" s="55" t="n"/>
      <c r="E29" s="55" t="n"/>
      <c r="F29" s="56" t="n"/>
      <c r="G29" s="57" t="n"/>
      <c r="H29" s="57" t="n"/>
      <c r="I29" s="57" t="n"/>
      <c r="J29" s="57" t="n"/>
      <c r="K29" s="58">
        <f>IF(NOT((COUNTA($B29:$J29)+COUNTA($M29))&gt;0),"",IFERROR(LOOKUP(2,1/(G29:J29&lt;&gt;""),G29:J29),0))</f>
        <v/>
      </c>
      <c r="L29" s="53">
        <f>IF(K29="","",IF(K29&gt;=1,"Completado",IF(K29&gt;0,"En curso","Pendiente")))</f>
        <v/>
      </c>
      <c r="M29" s="54" t="n"/>
      <c r="N29" s="59">
        <f>IF(NOT((COUNTA($B29:$J29)+COUNTA($M29))&gt;0),"",IF((IF(B29="","Macroactividad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","")&amp;IF(ABS(SUM($F$5:$F$1000)-1)&gt;0.0001,"Pesos del puesto suman "&amp;TEXT(SUM($F$5:$F$1000),"0%")&amp;"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 OK","⚠ "&amp;LEFT(IF(B29="","Macroactividad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","")&amp;IF(ABS(SUM($F$5:$F$1000)-1)&gt;0.0001,"Pesos del puesto suman "&amp;TEXT(SUM($F$5:$F$1000),"0%")&amp;"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",""),LEN(IF(B29="","Macroactividad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","")&amp;IF(ABS(SUM($F$5:$F$1000)-1)&gt;0.0001,"Pesos del puesto suman "&amp;TEXT(SUM($F$5:$F$1000),"0%")&amp;"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",""))-3)))</f>
        <v/>
      </c>
    </row>
    <row r="30">
      <c r="A30" s="53">
        <f>IF(NOT((COUNTA($B30:$J30)+COUNTA($M30))&gt;0),"",COUNTIF($L$5:$L30,"?*"))</f>
        <v/>
      </c>
      <c r="B30" s="54" t="n"/>
      <c r="C30" s="54" t="n"/>
      <c r="D30" s="55" t="n"/>
      <c r="E30" s="55" t="n"/>
      <c r="F30" s="56" t="n"/>
      <c r="G30" s="57" t="n"/>
      <c r="H30" s="57" t="n"/>
      <c r="I30" s="57" t="n"/>
      <c r="J30" s="57" t="n"/>
      <c r="K30" s="58">
        <f>IF(NOT((COUNTA($B30:$J30)+COUNTA($M30))&gt;0),"",IFERROR(LOOKUP(2,1/(G30:J30&lt;&gt;""),G30:J30),0))</f>
        <v/>
      </c>
      <c r="L30" s="53">
        <f>IF(K30="","",IF(K30&gt;=1,"Completado",IF(K30&gt;0,"En curso","Pendiente")))</f>
        <v/>
      </c>
      <c r="M30" s="54" t="n"/>
      <c r="N30" s="59">
        <f>IF(NOT((COUNTA($B30:$J30)+COUNTA($M30))&gt;0),"",IF((IF(B30="","Macroactividad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","")&amp;IF(ABS(SUM($F$5:$F$1000)-1)&gt;0.0001,"Pesos del puesto suman "&amp;TEXT(SUM($F$5:$F$1000),"0%")&amp;"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 OK","⚠ "&amp;LEFT(IF(B30="","Macroactividad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","")&amp;IF(ABS(SUM($F$5:$F$1000)-1)&gt;0.0001,"Pesos del puesto suman "&amp;TEXT(SUM($F$5:$F$1000),"0%")&amp;"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",""),LEN(IF(B30="","Macroactividad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","")&amp;IF(ABS(SUM($F$5:$F$1000)-1)&gt;0.0001,"Pesos del puesto suman "&amp;TEXT(SUM($F$5:$F$1000),"0%")&amp;"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",""))-3)))</f>
        <v/>
      </c>
    </row>
    <row r="31">
      <c r="A31" s="53">
        <f>IF(NOT((COUNTA($B31:$J31)+COUNTA($M31))&gt;0),"",COUNTIF($L$5:$L31,"?*"))</f>
        <v/>
      </c>
      <c r="B31" s="54" t="n"/>
      <c r="C31" s="54" t="n"/>
      <c r="D31" s="55" t="n"/>
      <c r="E31" s="55" t="n"/>
      <c r="F31" s="56" t="n"/>
      <c r="G31" s="57" t="n"/>
      <c r="H31" s="57" t="n"/>
      <c r="I31" s="57" t="n"/>
      <c r="J31" s="57" t="n"/>
      <c r="K31" s="58">
        <f>IF(NOT((COUNTA($B31:$J31)+COUNTA($M31))&gt;0),"",IFERROR(LOOKUP(2,1/(G31:J31&lt;&gt;""),G31:J31),0))</f>
        <v/>
      </c>
      <c r="L31" s="53">
        <f>IF(K31="","",IF(K31&gt;=1,"Completado",IF(K31&gt;0,"En curso","Pendiente")))</f>
        <v/>
      </c>
      <c r="M31" s="54" t="n"/>
      <c r="N31" s="59">
        <f>IF(NOT((COUNTA($B31:$J31)+COUNTA($M31))&gt;0),"",IF((IF(B31="","Macroactividad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","")&amp;IF(ABS(SUM($F$5:$F$1000)-1)&gt;0.0001,"Pesos del puesto suman "&amp;TEXT(SUM($F$5:$F$1000),"0%")&amp;"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 OK","⚠ "&amp;LEFT(IF(B31="","Macroactividad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","")&amp;IF(ABS(SUM($F$5:$F$1000)-1)&gt;0.0001,"Pesos del puesto suman "&amp;TEXT(SUM($F$5:$F$1000),"0%")&amp;"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",""),LEN(IF(B31="","Macroactividad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","")&amp;IF(ABS(SUM($F$5:$F$1000)-1)&gt;0.0001,"Pesos del puesto suman "&amp;TEXT(SUM($F$5:$F$1000),"0%")&amp;"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",""))-3)))</f>
        <v/>
      </c>
    </row>
    <row r="32">
      <c r="A32" s="53">
        <f>IF(NOT((COUNTA($B32:$J32)+COUNTA($M32))&gt;0),"",COUNTIF($L$5:$L32,"?*"))</f>
        <v/>
      </c>
      <c r="B32" s="54" t="n"/>
      <c r="C32" s="54" t="n"/>
      <c r="D32" s="55" t="n"/>
      <c r="E32" s="55" t="n"/>
      <c r="F32" s="56" t="n"/>
      <c r="G32" s="57" t="n"/>
      <c r="H32" s="57" t="n"/>
      <c r="I32" s="57" t="n"/>
      <c r="J32" s="57" t="n"/>
      <c r="K32" s="58">
        <f>IF(NOT((COUNTA($B32:$J32)+COUNTA($M32))&gt;0),"",IFERROR(LOOKUP(2,1/(G32:J32&lt;&gt;""),G32:J32),0))</f>
        <v/>
      </c>
      <c r="L32" s="53">
        <f>IF(K32="","",IF(K32&gt;=1,"Completado",IF(K32&gt;0,"En curso","Pendiente")))</f>
        <v/>
      </c>
      <c r="M32" s="54" t="n"/>
      <c r="N32" s="59">
        <f>IF(NOT((COUNTA($B32:$J32)+COUNTA($M32))&gt;0),"",IF((IF(B32="","Macroactividad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","")&amp;IF(ABS(SUM($F$5:$F$1000)-1)&gt;0.0001,"Pesos del puesto suman "&amp;TEXT(SUM($F$5:$F$1000),"0%")&amp;"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 OK","⚠ "&amp;LEFT(IF(B32="","Macroactividad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","")&amp;IF(ABS(SUM($F$5:$F$1000)-1)&gt;0.0001,"Pesos del puesto suman "&amp;TEXT(SUM($F$5:$F$1000),"0%")&amp;"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",""),LEN(IF(B32="","Macroactividad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","")&amp;IF(ABS(SUM($F$5:$F$1000)-1)&gt;0.0001,"Pesos del puesto suman "&amp;TEXT(SUM($F$5:$F$1000),"0%")&amp;"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",""))-3)))</f>
        <v/>
      </c>
    </row>
    <row r="33">
      <c r="A33" s="53">
        <f>IF(NOT((COUNTA($B33:$J33)+COUNTA($M33))&gt;0),"",COUNTIF($L$5:$L33,"?*"))</f>
        <v/>
      </c>
      <c r="B33" s="54" t="n"/>
      <c r="C33" s="54" t="n"/>
      <c r="D33" s="55" t="n"/>
      <c r="E33" s="55" t="n"/>
      <c r="F33" s="56" t="n"/>
      <c r="G33" s="57" t="n"/>
      <c r="H33" s="57" t="n"/>
      <c r="I33" s="57" t="n"/>
      <c r="J33" s="57" t="n"/>
      <c r="K33" s="58">
        <f>IF(NOT((COUNTA($B33:$J33)+COUNTA($M33))&gt;0),"",IFERROR(LOOKUP(2,1/(G33:J33&lt;&gt;""),G33:J33),0))</f>
        <v/>
      </c>
      <c r="L33" s="53">
        <f>IF(K33="","",IF(K33&gt;=1,"Completado",IF(K33&gt;0,"En curso","Pendiente")))</f>
        <v/>
      </c>
      <c r="M33" s="54" t="n"/>
      <c r="N33" s="59">
        <f>IF(NOT((COUNTA($B33:$J33)+COUNTA($M33))&gt;0),"",IF((IF(B33="","Macroactividad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","")&amp;IF(ABS(SUM($F$5:$F$1000)-1)&gt;0.0001,"Pesos del puesto suman "&amp;TEXT(SUM($F$5:$F$1000),"0%")&amp;"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 OK","⚠ "&amp;LEFT(IF(B33="","Macroactividad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","")&amp;IF(ABS(SUM($F$5:$F$1000)-1)&gt;0.0001,"Pesos del puesto suman "&amp;TEXT(SUM($F$5:$F$1000),"0%")&amp;"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",""),LEN(IF(B33="","Macroactividad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","")&amp;IF(ABS(SUM($F$5:$F$1000)-1)&gt;0.0001,"Pesos del puesto suman "&amp;TEXT(SUM($F$5:$F$1000),"0%")&amp;"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",""))-3)))</f>
        <v/>
      </c>
    </row>
    <row r="34">
      <c r="A34" s="53">
        <f>IF(NOT((COUNTA($B34:$J34)+COUNTA($M34))&gt;0),"",COUNTIF($L$5:$L34,"?*"))</f>
        <v/>
      </c>
      <c r="B34" s="54" t="n"/>
      <c r="C34" s="54" t="n"/>
      <c r="D34" s="55" t="n"/>
      <c r="E34" s="55" t="n"/>
      <c r="F34" s="56" t="n"/>
      <c r="G34" s="57" t="n"/>
      <c r="H34" s="57" t="n"/>
      <c r="I34" s="57" t="n"/>
      <c r="J34" s="57" t="n"/>
      <c r="K34" s="58">
        <f>IF(NOT((COUNTA($B34:$J34)+COUNTA($M34))&gt;0),"",IFERROR(LOOKUP(2,1/(G34:J34&lt;&gt;""),G34:J34),0))</f>
        <v/>
      </c>
      <c r="L34" s="53">
        <f>IF(K34="","",IF(K34&gt;=1,"Completado",IF(K34&gt;0,"En curso","Pendiente")))</f>
        <v/>
      </c>
      <c r="M34" s="54" t="n"/>
      <c r="N34" s="59">
        <f>IF(NOT((COUNTA($B34:$J34)+COUNTA($M34))&gt;0),"",IF((IF(B34="","Macroactividad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","")&amp;IF(ABS(SUM($F$5:$F$1000)-1)&gt;0.0001,"Pesos del puesto suman "&amp;TEXT(SUM($F$5:$F$1000),"0%")&amp;"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 OK","⚠ "&amp;LEFT(IF(B34="","Macroactividad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","")&amp;IF(ABS(SUM($F$5:$F$1000)-1)&gt;0.0001,"Pesos del puesto suman "&amp;TEXT(SUM($F$5:$F$1000),"0%")&amp;"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",""),LEN(IF(B34="","Macroactividad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","")&amp;IF(ABS(SUM($F$5:$F$1000)-1)&gt;0.0001,"Pesos del puesto suman "&amp;TEXT(SUM($F$5:$F$1000),"0%")&amp;"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",""))-3)))</f>
        <v/>
      </c>
    </row>
    <row r="35">
      <c r="A35" s="53">
        <f>IF(NOT((COUNTA($B35:$J35)+COUNTA($M35))&gt;0),"",COUNTIF($L$5:$L35,"?*"))</f>
        <v/>
      </c>
      <c r="B35" s="54" t="n"/>
      <c r="C35" s="54" t="n"/>
      <c r="D35" s="55" t="n"/>
      <c r="E35" s="55" t="n"/>
      <c r="F35" s="56" t="n"/>
      <c r="G35" s="57" t="n"/>
      <c r="H35" s="57" t="n"/>
      <c r="I35" s="57" t="n"/>
      <c r="J35" s="57" t="n"/>
      <c r="K35" s="58">
        <f>IF(NOT((COUNTA($B35:$J35)+COUNTA($M35))&gt;0),"",IFERROR(LOOKUP(2,1/(G35:J35&lt;&gt;""),G35:J35),0))</f>
        <v/>
      </c>
      <c r="L35" s="53">
        <f>IF(K35="","",IF(K35&gt;=1,"Completado",IF(K35&gt;0,"En curso","Pendiente")))</f>
        <v/>
      </c>
      <c r="M35" s="54" t="n"/>
      <c r="N35" s="59">
        <f>IF(NOT((COUNTA($B35:$J35)+COUNTA($M35))&gt;0),"",IF((IF(B35="","Macroactividad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","")&amp;IF(ABS(SUM($F$5:$F$1000)-1)&gt;0.0001,"Pesos del puesto suman "&amp;TEXT(SUM($F$5:$F$1000),"0%")&amp;"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 OK","⚠ "&amp;LEFT(IF(B35="","Macroactividad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","")&amp;IF(ABS(SUM($F$5:$F$1000)-1)&gt;0.0001,"Pesos del puesto suman "&amp;TEXT(SUM($F$5:$F$1000),"0%")&amp;"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",""),LEN(IF(B35="","Macroactividad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","")&amp;IF(ABS(SUM($F$5:$F$1000)-1)&gt;0.0001,"Pesos del puesto suman "&amp;TEXT(SUM($F$5:$F$1000),"0%")&amp;"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",""))-3)))</f>
        <v/>
      </c>
    </row>
    <row r="36">
      <c r="A36" s="53">
        <f>IF(NOT((COUNTA($B36:$J36)+COUNTA($M36))&gt;0),"",COUNTIF($L$5:$L36,"?*"))</f>
        <v/>
      </c>
      <c r="B36" s="54" t="n"/>
      <c r="C36" s="54" t="n"/>
      <c r="D36" s="55" t="n"/>
      <c r="E36" s="55" t="n"/>
      <c r="F36" s="56" t="n"/>
      <c r="G36" s="57" t="n"/>
      <c r="H36" s="57" t="n"/>
      <c r="I36" s="57" t="n"/>
      <c r="J36" s="57" t="n"/>
      <c r="K36" s="58">
        <f>IF(NOT((COUNTA($B36:$J36)+COUNTA($M36))&gt;0),"",IFERROR(LOOKUP(2,1/(G36:J36&lt;&gt;""),G36:J36),0))</f>
        <v/>
      </c>
      <c r="L36" s="53">
        <f>IF(K36="","",IF(K36&gt;=1,"Completado",IF(K36&gt;0,"En curso","Pendiente")))</f>
        <v/>
      </c>
      <c r="M36" s="54" t="n"/>
      <c r="N36" s="59">
        <f>IF(NOT((COUNTA($B36:$J36)+COUNTA($M36))&gt;0),"",IF((IF(B36="","Macroactividad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","")&amp;IF(ABS(SUM($F$5:$F$1000)-1)&gt;0.0001,"Pesos del puesto suman "&amp;TEXT(SUM($F$5:$F$1000),"0%")&amp;"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 OK","⚠ "&amp;LEFT(IF(B36="","Macroactividad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","")&amp;IF(ABS(SUM($F$5:$F$1000)-1)&gt;0.0001,"Pesos del puesto suman "&amp;TEXT(SUM($F$5:$F$1000),"0%")&amp;"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",""),LEN(IF(B36="","Macroactividad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","")&amp;IF(ABS(SUM($F$5:$F$1000)-1)&gt;0.0001,"Pesos del puesto suman "&amp;TEXT(SUM($F$5:$F$1000),"0%")&amp;"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",""))-3)))</f>
        <v/>
      </c>
    </row>
    <row r="37">
      <c r="A37" s="53">
        <f>IF(NOT((COUNTA($B37:$J37)+COUNTA($M37))&gt;0),"",COUNTIF($L$5:$L37,"?*"))</f>
        <v/>
      </c>
      <c r="B37" s="54" t="n"/>
      <c r="C37" s="54" t="n"/>
      <c r="D37" s="55" t="n"/>
      <c r="E37" s="55" t="n"/>
      <c r="F37" s="56" t="n"/>
      <c r="G37" s="57" t="n"/>
      <c r="H37" s="57" t="n"/>
      <c r="I37" s="57" t="n"/>
      <c r="J37" s="57" t="n"/>
      <c r="K37" s="58">
        <f>IF(NOT((COUNTA($B37:$J37)+COUNTA($M37))&gt;0),"",IFERROR(LOOKUP(2,1/(G37:J37&lt;&gt;""),G37:J37),0))</f>
        <v/>
      </c>
      <c r="L37" s="53">
        <f>IF(K37="","",IF(K37&gt;=1,"Completado",IF(K37&gt;0,"En curso","Pendiente")))</f>
        <v/>
      </c>
      <c r="M37" s="54" t="n"/>
      <c r="N37" s="59">
        <f>IF(NOT((COUNTA($B37:$J37)+COUNTA($M37))&gt;0),"",IF((IF(B37="","Macroactividad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","")&amp;IF(ABS(SUM($F$5:$F$1000)-1)&gt;0.0001,"Pesos del puesto suman "&amp;TEXT(SUM($F$5:$F$1000),"0%")&amp;"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 OK","⚠ "&amp;LEFT(IF(B37="","Macroactividad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","")&amp;IF(ABS(SUM($F$5:$F$1000)-1)&gt;0.0001,"Pesos del puesto suman "&amp;TEXT(SUM($F$5:$F$1000),"0%")&amp;"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",""),LEN(IF(B37="","Macroactividad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","")&amp;IF(ABS(SUM($F$5:$F$1000)-1)&gt;0.0001,"Pesos del puesto suman "&amp;TEXT(SUM($F$5:$F$1000),"0%")&amp;"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",""))-3)))</f>
        <v/>
      </c>
    </row>
    <row r="38">
      <c r="A38" s="53">
        <f>IF(NOT((COUNTA($B38:$J38)+COUNTA($M38))&gt;0),"",COUNTIF($L$5:$L38,"?*"))</f>
        <v/>
      </c>
      <c r="B38" s="54" t="n"/>
      <c r="C38" s="54" t="n"/>
      <c r="D38" s="55" t="n"/>
      <c r="E38" s="55" t="n"/>
      <c r="F38" s="56" t="n"/>
      <c r="G38" s="57" t="n"/>
      <c r="H38" s="57" t="n"/>
      <c r="I38" s="57" t="n"/>
      <c r="J38" s="57" t="n"/>
      <c r="K38" s="58">
        <f>IF(NOT((COUNTA($B38:$J38)+COUNTA($M38))&gt;0),"",IFERROR(LOOKUP(2,1/(G38:J38&lt;&gt;""),G38:J38),0))</f>
        <v/>
      </c>
      <c r="L38" s="53">
        <f>IF(K38="","",IF(K38&gt;=1,"Completado",IF(K38&gt;0,"En curso","Pendiente")))</f>
        <v/>
      </c>
      <c r="M38" s="54" t="n"/>
      <c r="N38" s="59">
        <f>IF(NOT((COUNTA($B38:$J38)+COUNTA($M38))&gt;0),"",IF((IF(B38="","Macroactividad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","")&amp;IF(ABS(SUM($F$5:$F$1000)-1)&gt;0.0001,"Pesos del puesto suman "&amp;TEXT(SUM($F$5:$F$1000),"0%")&amp;"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 OK","⚠ "&amp;LEFT(IF(B38="","Macroactividad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","")&amp;IF(ABS(SUM($F$5:$F$1000)-1)&gt;0.0001,"Pesos del puesto suman "&amp;TEXT(SUM($F$5:$F$1000),"0%")&amp;"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",""),LEN(IF(B38="","Macroactividad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","")&amp;IF(ABS(SUM($F$5:$F$1000)-1)&gt;0.0001,"Pesos del puesto suman "&amp;TEXT(SUM($F$5:$F$1000),"0%")&amp;"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",""))-3)))</f>
        <v/>
      </c>
    </row>
    <row r="39">
      <c r="A39" s="53">
        <f>IF(NOT((COUNTA($B39:$J39)+COUNTA($M39))&gt;0),"",COUNTIF($L$5:$L39,"?*"))</f>
        <v/>
      </c>
      <c r="B39" s="54" t="n"/>
      <c r="C39" s="54" t="n"/>
      <c r="D39" s="55" t="n"/>
      <c r="E39" s="55" t="n"/>
      <c r="F39" s="56" t="n"/>
      <c r="G39" s="57" t="n"/>
      <c r="H39" s="57" t="n"/>
      <c r="I39" s="57" t="n"/>
      <c r="J39" s="57" t="n"/>
      <c r="K39" s="58">
        <f>IF(NOT((COUNTA($B39:$J39)+COUNTA($M39))&gt;0),"",IFERROR(LOOKUP(2,1/(G39:J39&lt;&gt;""),G39:J39),0))</f>
        <v/>
      </c>
      <c r="L39" s="53">
        <f>IF(K39="","",IF(K39&gt;=1,"Completado",IF(K39&gt;0,"En curso","Pendiente")))</f>
        <v/>
      </c>
      <c r="M39" s="54" t="n"/>
      <c r="N39" s="59">
        <f>IF(NOT((COUNTA($B39:$J39)+COUNTA($M39))&gt;0),"",IF((IF(B39="","Macroactividad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","")&amp;IF(ABS(SUM($F$5:$F$1000)-1)&gt;0.0001,"Pesos del puesto suman "&amp;TEXT(SUM($F$5:$F$1000),"0%")&amp;"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 OK","⚠ "&amp;LEFT(IF(B39="","Macroactividad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","")&amp;IF(ABS(SUM($F$5:$F$1000)-1)&gt;0.0001,"Pesos del puesto suman "&amp;TEXT(SUM($F$5:$F$1000),"0%")&amp;"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",""),LEN(IF(B39="","Macroactividad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","")&amp;IF(ABS(SUM($F$5:$F$1000)-1)&gt;0.0001,"Pesos del puesto suman "&amp;TEXT(SUM($F$5:$F$1000),"0%")&amp;"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",""))-3)))</f>
        <v/>
      </c>
    </row>
    <row r="40">
      <c r="A40" s="53">
        <f>IF(NOT((COUNTA($B40:$J40)+COUNTA($M40))&gt;0),"",COUNTIF($L$5:$L40,"?*"))</f>
        <v/>
      </c>
      <c r="B40" s="54" t="n"/>
      <c r="C40" s="54" t="n"/>
      <c r="D40" s="55" t="n"/>
      <c r="E40" s="55" t="n"/>
      <c r="F40" s="56" t="n"/>
      <c r="G40" s="57" t="n"/>
      <c r="H40" s="57" t="n"/>
      <c r="I40" s="57" t="n"/>
      <c r="J40" s="57" t="n"/>
      <c r="K40" s="58">
        <f>IF(NOT((COUNTA($B40:$J40)+COUNTA($M40))&gt;0),"",IFERROR(LOOKUP(2,1/(G40:J40&lt;&gt;""),G40:J40),0))</f>
        <v/>
      </c>
      <c r="L40" s="53">
        <f>IF(K40="","",IF(K40&gt;=1,"Completado",IF(K40&gt;0,"En curso","Pendiente")))</f>
        <v/>
      </c>
      <c r="M40" s="54" t="n"/>
      <c r="N40" s="59">
        <f>IF(NOT((COUNTA($B40:$J40)+COUNTA($M40))&gt;0),"",IF((IF(B40="","Macroactividad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","")&amp;IF(ABS(SUM($F$5:$F$1000)-1)&gt;0.0001,"Pesos del puesto suman "&amp;TEXT(SUM($F$5:$F$1000),"0%")&amp;"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 OK","⚠ "&amp;LEFT(IF(B40="","Macroactividad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","")&amp;IF(ABS(SUM($F$5:$F$1000)-1)&gt;0.0001,"Pesos del puesto suman "&amp;TEXT(SUM($F$5:$F$1000),"0%")&amp;"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",""),LEN(IF(B40="","Macroactividad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","")&amp;IF(ABS(SUM($F$5:$F$1000)-1)&gt;0.0001,"Pesos del puesto suman "&amp;TEXT(SUM($F$5:$F$1000),"0%")&amp;"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",""))-3)))</f>
        <v/>
      </c>
    </row>
    <row r="41">
      <c r="A41" s="53">
        <f>IF(NOT((COUNTA($B41:$J41)+COUNTA($M41))&gt;0),"",COUNTIF($L$5:$L41,"?*"))</f>
        <v/>
      </c>
      <c r="B41" s="54" t="n"/>
      <c r="C41" s="54" t="n"/>
      <c r="D41" s="55" t="n"/>
      <c r="E41" s="55" t="n"/>
      <c r="F41" s="56" t="n"/>
      <c r="G41" s="57" t="n"/>
      <c r="H41" s="57" t="n"/>
      <c r="I41" s="57" t="n"/>
      <c r="J41" s="57" t="n"/>
      <c r="K41" s="58">
        <f>IF(NOT((COUNTA($B41:$J41)+COUNTA($M41))&gt;0),"",IFERROR(LOOKUP(2,1/(G41:J41&lt;&gt;""),G41:J41),0))</f>
        <v/>
      </c>
      <c r="L41" s="53">
        <f>IF(K41="","",IF(K41&gt;=1,"Completado",IF(K41&gt;0,"En curso","Pendiente")))</f>
        <v/>
      </c>
      <c r="M41" s="54" t="n"/>
      <c r="N41" s="59">
        <f>IF(NOT((COUNTA($B41:$J41)+COUNTA($M41))&gt;0),"",IF((IF(B41="","Macroactividad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","")&amp;IF(ABS(SUM($F$5:$F$1000)-1)&gt;0.0001,"Pesos del puesto suman "&amp;TEXT(SUM($F$5:$F$1000),"0%")&amp;"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 OK","⚠ "&amp;LEFT(IF(B41="","Macroactividad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","")&amp;IF(ABS(SUM($F$5:$F$1000)-1)&gt;0.0001,"Pesos del puesto suman "&amp;TEXT(SUM($F$5:$F$1000),"0%")&amp;"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",""),LEN(IF(B41="","Macroactividad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","")&amp;IF(ABS(SUM($F$5:$F$1000)-1)&gt;0.0001,"Pesos del puesto suman "&amp;TEXT(SUM($F$5:$F$1000),"0%")&amp;"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",""))-3)))</f>
        <v/>
      </c>
    </row>
    <row r="42">
      <c r="A42" s="53">
        <f>IF(NOT((COUNTA($B42:$J42)+COUNTA($M42))&gt;0),"",COUNTIF($L$5:$L42,"?*"))</f>
        <v/>
      </c>
      <c r="B42" s="54" t="n"/>
      <c r="C42" s="54" t="n"/>
      <c r="D42" s="55" t="n"/>
      <c r="E42" s="55" t="n"/>
      <c r="F42" s="56" t="n"/>
      <c r="G42" s="57" t="n"/>
      <c r="H42" s="57" t="n"/>
      <c r="I42" s="57" t="n"/>
      <c r="J42" s="57" t="n"/>
      <c r="K42" s="58">
        <f>IF(NOT((COUNTA($B42:$J42)+COUNTA($M42))&gt;0),"",IFERROR(LOOKUP(2,1/(G42:J42&lt;&gt;""),G42:J42),0))</f>
        <v/>
      </c>
      <c r="L42" s="53">
        <f>IF(K42="","",IF(K42&gt;=1,"Completado",IF(K42&gt;0,"En curso","Pendiente")))</f>
        <v/>
      </c>
      <c r="M42" s="54" t="n"/>
      <c r="N42" s="59">
        <f>IF(NOT((COUNTA($B42:$J42)+COUNTA($M42))&gt;0),"",IF((IF(B42="","Macroactividad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","")&amp;IF(ABS(SUM($F$5:$F$1000)-1)&gt;0.0001,"Pesos del puesto suman "&amp;TEXT(SUM($F$5:$F$1000),"0%")&amp;"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 OK","⚠ "&amp;LEFT(IF(B42="","Macroactividad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","")&amp;IF(ABS(SUM($F$5:$F$1000)-1)&gt;0.0001,"Pesos del puesto suman "&amp;TEXT(SUM($F$5:$F$1000),"0%")&amp;"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",""),LEN(IF(B42="","Macroactividad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","")&amp;IF(ABS(SUM($F$5:$F$1000)-1)&gt;0.0001,"Pesos del puesto suman "&amp;TEXT(SUM($F$5:$F$1000),"0%")&amp;"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",""))-3)))</f>
        <v/>
      </c>
    </row>
    <row r="43">
      <c r="A43" s="53">
        <f>IF(NOT((COUNTA($B43:$J43)+COUNTA($M43))&gt;0),"",COUNTIF($L$5:$L43,"?*"))</f>
        <v/>
      </c>
      <c r="B43" s="54" t="n"/>
      <c r="C43" s="54" t="n"/>
      <c r="D43" s="55" t="n"/>
      <c r="E43" s="55" t="n"/>
      <c r="F43" s="56" t="n"/>
      <c r="G43" s="57" t="n"/>
      <c r="H43" s="57" t="n"/>
      <c r="I43" s="57" t="n"/>
      <c r="J43" s="57" t="n"/>
      <c r="K43" s="58">
        <f>IF(NOT((COUNTA($B43:$J43)+COUNTA($M43))&gt;0),"",IFERROR(LOOKUP(2,1/(G43:J43&lt;&gt;""),G43:J43),0))</f>
        <v/>
      </c>
      <c r="L43" s="53">
        <f>IF(K43="","",IF(K43&gt;=1,"Completado",IF(K43&gt;0,"En curso","Pendiente")))</f>
        <v/>
      </c>
      <c r="M43" s="54" t="n"/>
      <c r="N43" s="59">
        <f>IF(NOT((COUNTA($B43:$J43)+COUNTA($M43))&gt;0),"",IF((IF(B43="","Macroactividad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","")&amp;IF(ABS(SUM($F$5:$F$1000)-1)&gt;0.0001,"Pesos del puesto suman "&amp;TEXT(SUM($F$5:$F$1000),"0%")&amp;"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 OK","⚠ "&amp;LEFT(IF(B43="","Macroactividad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","")&amp;IF(ABS(SUM($F$5:$F$1000)-1)&gt;0.0001,"Pesos del puesto suman "&amp;TEXT(SUM($F$5:$F$1000),"0%")&amp;"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",""),LEN(IF(B43="","Macroactividad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","")&amp;IF(ABS(SUM($F$5:$F$1000)-1)&gt;0.0001,"Pesos del puesto suman "&amp;TEXT(SUM($F$5:$F$1000),"0%")&amp;"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",""))-3)))</f>
        <v/>
      </c>
    </row>
    <row r="44">
      <c r="A44" s="53">
        <f>IF(NOT((COUNTA($B44:$J44)+COUNTA($M44))&gt;0),"",COUNTIF($L$5:$L44,"?*"))</f>
        <v/>
      </c>
      <c r="B44" s="54" t="n"/>
      <c r="C44" s="54" t="n"/>
      <c r="D44" s="55" t="n"/>
      <c r="E44" s="55" t="n"/>
      <c r="F44" s="56" t="n"/>
      <c r="G44" s="57" t="n"/>
      <c r="H44" s="57" t="n"/>
      <c r="I44" s="57" t="n"/>
      <c r="J44" s="57" t="n"/>
      <c r="K44" s="58">
        <f>IF(NOT((COUNTA($B44:$J44)+COUNTA($M44))&gt;0),"",IFERROR(LOOKUP(2,1/(G44:J44&lt;&gt;""),G44:J44),0))</f>
        <v/>
      </c>
      <c r="L44" s="53">
        <f>IF(K44="","",IF(K44&gt;=1,"Completado",IF(K44&gt;0,"En curso","Pendiente")))</f>
        <v/>
      </c>
      <c r="M44" s="54" t="n"/>
      <c r="N44" s="59">
        <f>IF(NOT((COUNTA($B44:$J44)+COUNTA($M44))&gt;0),"",IF((IF(B44="","Macroactividad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","")&amp;IF(ABS(SUM($F$5:$F$1000)-1)&gt;0.0001,"Pesos del puesto suman "&amp;TEXT(SUM($F$5:$F$1000),"0%")&amp;"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 OK","⚠ "&amp;LEFT(IF(B44="","Macroactividad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","")&amp;IF(ABS(SUM($F$5:$F$1000)-1)&gt;0.0001,"Pesos del puesto suman "&amp;TEXT(SUM($F$5:$F$1000),"0%")&amp;"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",""),LEN(IF(B44="","Macroactividad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","")&amp;IF(ABS(SUM($F$5:$F$1000)-1)&gt;0.0001,"Pesos del puesto suman "&amp;TEXT(SUM($F$5:$F$1000),"0%")&amp;"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",""))-3)))</f>
        <v/>
      </c>
    </row>
    <row r="45">
      <c r="A45" s="53">
        <f>IF(NOT((COUNTA($B45:$J45)+COUNTA($M45))&gt;0),"",COUNTIF($L$5:$L45,"?*"))</f>
        <v/>
      </c>
      <c r="B45" s="54" t="n"/>
      <c r="C45" s="54" t="n"/>
      <c r="D45" s="55" t="n"/>
      <c r="E45" s="55" t="n"/>
      <c r="F45" s="56" t="n"/>
      <c r="G45" s="57" t="n"/>
      <c r="H45" s="57" t="n"/>
      <c r="I45" s="57" t="n"/>
      <c r="J45" s="57" t="n"/>
      <c r="K45" s="58">
        <f>IF(NOT((COUNTA($B45:$J45)+COUNTA($M45))&gt;0),"",IFERROR(LOOKUP(2,1/(G45:J45&lt;&gt;""),G45:J45),0))</f>
        <v/>
      </c>
      <c r="L45" s="53">
        <f>IF(K45="","",IF(K45&gt;=1,"Completado",IF(K45&gt;0,"En curso","Pendiente")))</f>
        <v/>
      </c>
      <c r="M45" s="54" t="n"/>
      <c r="N45" s="59">
        <f>IF(NOT((COUNTA($B45:$J45)+COUNTA($M45))&gt;0),"",IF((IF(B45="","Macroactividad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","")&amp;IF(ABS(SUM($F$5:$F$1000)-1)&gt;0.0001,"Pesos del puesto suman "&amp;TEXT(SUM($F$5:$F$1000),"0%")&amp;"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 OK","⚠ "&amp;LEFT(IF(B45="","Macroactividad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","")&amp;IF(ABS(SUM($F$5:$F$1000)-1)&gt;0.0001,"Pesos del puesto suman "&amp;TEXT(SUM($F$5:$F$1000),"0%")&amp;"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",""),LEN(IF(B45="","Macroactividad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","")&amp;IF(ABS(SUM($F$5:$F$1000)-1)&gt;0.0001,"Pesos del puesto suman "&amp;TEXT(SUM($F$5:$F$1000),"0%")&amp;"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",""))-3)))</f>
        <v/>
      </c>
    </row>
    <row r="46">
      <c r="A46" s="53">
        <f>IF(NOT((COUNTA($B46:$J46)+COUNTA($M46))&gt;0),"",COUNTIF($L$5:$L46,"?*"))</f>
        <v/>
      </c>
      <c r="B46" s="54" t="n"/>
      <c r="C46" s="54" t="n"/>
      <c r="D46" s="55" t="n"/>
      <c r="E46" s="55" t="n"/>
      <c r="F46" s="56" t="n"/>
      <c r="G46" s="57" t="n"/>
      <c r="H46" s="57" t="n"/>
      <c r="I46" s="57" t="n"/>
      <c r="J46" s="57" t="n"/>
      <c r="K46" s="58">
        <f>IF(NOT((COUNTA($B46:$J46)+COUNTA($M46))&gt;0),"",IFERROR(LOOKUP(2,1/(G46:J46&lt;&gt;""),G46:J46),0))</f>
        <v/>
      </c>
      <c r="L46" s="53">
        <f>IF(K46="","",IF(K46&gt;=1,"Completado",IF(K46&gt;0,"En curso","Pendiente")))</f>
        <v/>
      </c>
      <c r="M46" s="54" t="n"/>
      <c r="N46" s="59">
        <f>IF(NOT((COUNTA($B46:$J46)+COUNTA($M46))&gt;0),"",IF((IF(B46="","Macroactividad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","")&amp;IF(ABS(SUM($F$5:$F$1000)-1)&gt;0.0001,"Pesos del puesto suman "&amp;TEXT(SUM($F$5:$F$1000),"0%")&amp;"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 OK","⚠ "&amp;LEFT(IF(B46="","Macroactividad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","")&amp;IF(ABS(SUM($F$5:$F$1000)-1)&gt;0.0001,"Pesos del puesto suman "&amp;TEXT(SUM($F$5:$F$1000),"0%")&amp;"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",""),LEN(IF(B46="","Macroactividad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","")&amp;IF(ABS(SUM($F$5:$F$1000)-1)&gt;0.0001,"Pesos del puesto suman "&amp;TEXT(SUM($F$5:$F$1000),"0%")&amp;"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",""))-3)))</f>
        <v/>
      </c>
    </row>
    <row r="47">
      <c r="A47" s="53">
        <f>IF(NOT((COUNTA($B47:$J47)+COUNTA($M47))&gt;0),"",COUNTIF($L$5:$L47,"?*"))</f>
        <v/>
      </c>
      <c r="B47" s="54" t="n"/>
      <c r="C47" s="54" t="n"/>
      <c r="D47" s="55" t="n"/>
      <c r="E47" s="55" t="n"/>
      <c r="F47" s="56" t="n"/>
      <c r="G47" s="57" t="n"/>
      <c r="H47" s="57" t="n"/>
      <c r="I47" s="57" t="n"/>
      <c r="J47" s="57" t="n"/>
      <c r="K47" s="58">
        <f>IF(NOT((COUNTA($B47:$J47)+COUNTA($M47))&gt;0),"",IFERROR(LOOKUP(2,1/(G47:J47&lt;&gt;""),G47:J47),0))</f>
        <v/>
      </c>
      <c r="L47" s="53">
        <f>IF(K47="","",IF(K47&gt;=1,"Completado",IF(K47&gt;0,"En curso","Pendiente")))</f>
        <v/>
      </c>
      <c r="M47" s="54" t="n"/>
      <c r="N47" s="59">
        <f>IF(NOT((COUNTA($B47:$J47)+COUNTA($M47))&gt;0),"",IF((IF(B47="","Macroactividad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","")&amp;IF(ABS(SUM($F$5:$F$1000)-1)&gt;0.0001,"Pesos del puesto suman "&amp;TEXT(SUM($F$5:$F$1000),"0%")&amp;"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 OK","⚠ "&amp;LEFT(IF(B47="","Macroactividad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","")&amp;IF(ABS(SUM($F$5:$F$1000)-1)&gt;0.0001,"Pesos del puesto suman "&amp;TEXT(SUM($F$5:$F$1000),"0%")&amp;"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",""),LEN(IF(B47="","Macroactividad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","")&amp;IF(ABS(SUM($F$5:$F$1000)-1)&gt;0.0001,"Pesos del puesto suman "&amp;TEXT(SUM($F$5:$F$1000),"0%")&amp;"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",""))-3)))</f>
        <v/>
      </c>
    </row>
    <row r="48">
      <c r="A48" s="53">
        <f>IF(NOT((COUNTA($B48:$J48)+COUNTA($M48))&gt;0),"",COUNTIF($L$5:$L48,"?*"))</f>
        <v/>
      </c>
      <c r="B48" s="54" t="n"/>
      <c r="C48" s="54" t="n"/>
      <c r="D48" s="55" t="n"/>
      <c r="E48" s="55" t="n"/>
      <c r="F48" s="56" t="n"/>
      <c r="G48" s="57" t="n"/>
      <c r="H48" s="57" t="n"/>
      <c r="I48" s="57" t="n"/>
      <c r="J48" s="57" t="n"/>
      <c r="K48" s="58">
        <f>IF(NOT((COUNTA($B48:$J48)+COUNTA($M48))&gt;0),"",IFERROR(LOOKUP(2,1/(G48:J48&lt;&gt;""),G48:J48),0))</f>
        <v/>
      </c>
      <c r="L48" s="53">
        <f>IF(K48="","",IF(K48&gt;=1,"Completado",IF(K48&gt;0,"En curso","Pendiente")))</f>
        <v/>
      </c>
      <c r="M48" s="54" t="n"/>
      <c r="N48" s="59">
        <f>IF(NOT((COUNTA($B48:$J48)+COUNTA($M48))&gt;0),"",IF((IF(B48="","Macroactividad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","")&amp;IF(ABS(SUM($F$5:$F$1000)-1)&gt;0.0001,"Pesos del puesto suman "&amp;TEXT(SUM($F$5:$F$1000),"0%")&amp;"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 OK","⚠ "&amp;LEFT(IF(B48="","Macroactividad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","")&amp;IF(ABS(SUM($F$5:$F$1000)-1)&gt;0.0001,"Pesos del puesto suman "&amp;TEXT(SUM($F$5:$F$1000),"0%")&amp;"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",""),LEN(IF(B48="","Macroactividad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","")&amp;IF(ABS(SUM($F$5:$F$1000)-1)&gt;0.0001,"Pesos del puesto suman "&amp;TEXT(SUM($F$5:$F$1000),"0%")&amp;"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",""))-3)))</f>
        <v/>
      </c>
    </row>
    <row r="49">
      <c r="A49" s="53">
        <f>IF(NOT((COUNTA($B49:$J49)+COUNTA($M49))&gt;0),"",COUNTIF($L$5:$L49,"?*"))</f>
        <v/>
      </c>
      <c r="B49" s="54" t="n"/>
      <c r="C49" s="54" t="n"/>
      <c r="D49" s="55" t="n"/>
      <c r="E49" s="55" t="n"/>
      <c r="F49" s="56" t="n"/>
      <c r="G49" s="57" t="n"/>
      <c r="H49" s="57" t="n"/>
      <c r="I49" s="57" t="n"/>
      <c r="J49" s="57" t="n"/>
      <c r="K49" s="58">
        <f>IF(NOT((COUNTA($B49:$J49)+COUNTA($M49))&gt;0),"",IFERROR(LOOKUP(2,1/(G49:J49&lt;&gt;""),G49:J49),0))</f>
        <v/>
      </c>
      <c r="L49" s="53">
        <f>IF(K49="","",IF(K49&gt;=1,"Completado",IF(K49&gt;0,"En curso","Pendiente")))</f>
        <v/>
      </c>
      <c r="M49" s="54" t="n"/>
      <c r="N49" s="59">
        <f>IF(NOT((COUNTA($B49:$J49)+COUNTA($M49))&gt;0),"",IF((IF(B49="","Macroactividad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","")&amp;IF(ABS(SUM($F$5:$F$1000)-1)&gt;0.0001,"Pesos del puesto suman "&amp;TEXT(SUM($F$5:$F$1000),"0%")&amp;"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 OK","⚠ "&amp;LEFT(IF(B49="","Macroactividad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","")&amp;IF(ABS(SUM($F$5:$F$1000)-1)&gt;0.0001,"Pesos del puesto suman "&amp;TEXT(SUM($F$5:$F$1000),"0%")&amp;"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",""),LEN(IF(B49="","Macroactividad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","")&amp;IF(ABS(SUM($F$5:$F$1000)-1)&gt;0.0001,"Pesos del puesto suman "&amp;TEXT(SUM($F$5:$F$1000),"0%")&amp;"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",""))-3)))</f>
        <v/>
      </c>
    </row>
    <row r="50">
      <c r="A50" s="53">
        <f>IF(NOT((COUNTA($B50:$J50)+COUNTA($M50))&gt;0),"",COUNTIF($L$5:$L50,"?*"))</f>
        <v/>
      </c>
      <c r="B50" s="54" t="n"/>
      <c r="C50" s="54" t="n"/>
      <c r="D50" s="55" t="n"/>
      <c r="E50" s="55" t="n"/>
      <c r="F50" s="56" t="n"/>
      <c r="G50" s="57" t="n"/>
      <c r="H50" s="57" t="n"/>
      <c r="I50" s="57" t="n"/>
      <c r="J50" s="57" t="n"/>
      <c r="K50" s="58">
        <f>IF(NOT((COUNTA($B50:$J50)+COUNTA($M50))&gt;0),"",IFERROR(LOOKUP(2,1/(G50:J50&lt;&gt;""),G50:J50),0))</f>
        <v/>
      </c>
      <c r="L50" s="53">
        <f>IF(K50="","",IF(K50&gt;=1,"Completado",IF(K50&gt;0,"En curso","Pendiente")))</f>
        <v/>
      </c>
      <c r="M50" s="54" t="n"/>
      <c r="N50" s="59">
        <f>IF(NOT((COUNTA($B50:$J50)+COUNTA($M50))&gt;0),"",IF((IF(B50="","Macroactividad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","")&amp;IF(ABS(SUM($F$5:$F$1000)-1)&gt;0.0001,"Pesos del puesto suman "&amp;TEXT(SUM($F$5:$F$1000),"0%")&amp;"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 OK","⚠ "&amp;LEFT(IF(B50="","Macroactividad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","")&amp;IF(ABS(SUM($F$5:$F$1000)-1)&gt;0.0001,"Pesos del puesto suman "&amp;TEXT(SUM($F$5:$F$1000),"0%")&amp;"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",""),LEN(IF(B50="","Macroactividad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","")&amp;IF(ABS(SUM($F$5:$F$1000)-1)&gt;0.0001,"Pesos del puesto suman "&amp;TEXT(SUM($F$5:$F$1000),"0%")&amp;"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",""))-3)))</f>
        <v/>
      </c>
    </row>
    <row r="51">
      <c r="A51" s="53">
        <f>IF(NOT((COUNTA($B51:$J51)+COUNTA($M51))&gt;0),"",COUNTIF($L$5:$L51,"?*"))</f>
        <v/>
      </c>
      <c r="B51" s="54" t="n"/>
      <c r="C51" s="54" t="n"/>
      <c r="D51" s="55" t="n"/>
      <c r="E51" s="55" t="n"/>
      <c r="F51" s="56" t="n"/>
      <c r="G51" s="57" t="n"/>
      <c r="H51" s="57" t="n"/>
      <c r="I51" s="57" t="n"/>
      <c r="J51" s="57" t="n"/>
      <c r="K51" s="58">
        <f>IF(NOT((COUNTA($B51:$J51)+COUNTA($M51))&gt;0),"",IFERROR(LOOKUP(2,1/(G51:J51&lt;&gt;""),G51:J51),0))</f>
        <v/>
      </c>
      <c r="L51" s="53">
        <f>IF(K51="","",IF(K51&gt;=1,"Completado",IF(K51&gt;0,"En curso","Pendiente")))</f>
        <v/>
      </c>
      <c r="M51" s="54" t="n"/>
      <c r="N51" s="59">
        <f>IF(NOT((COUNTA($B51:$J51)+COUNTA($M51))&gt;0),"",IF((IF(B51="","Macroactividad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","")&amp;IF(ABS(SUM($F$5:$F$1000)-1)&gt;0.0001,"Pesos del puesto suman "&amp;TEXT(SUM($F$5:$F$1000),"0%")&amp;"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 OK","⚠ "&amp;LEFT(IF(B51="","Macroactividad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","")&amp;IF(ABS(SUM($F$5:$F$1000)-1)&gt;0.0001,"Pesos del puesto suman "&amp;TEXT(SUM($F$5:$F$1000),"0%")&amp;"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",""),LEN(IF(B51="","Macroactividad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","")&amp;IF(ABS(SUM($F$5:$F$1000)-1)&gt;0.0001,"Pesos del puesto suman "&amp;TEXT(SUM($F$5:$F$1000),"0%")&amp;"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",""))-3)))</f>
        <v/>
      </c>
    </row>
    <row r="52">
      <c r="A52" s="53">
        <f>IF(NOT((COUNTA($B52:$J52)+COUNTA($M52))&gt;0),"",COUNTIF($L$5:$L52,"?*"))</f>
        <v/>
      </c>
      <c r="B52" s="54" t="n"/>
      <c r="C52" s="54" t="n"/>
      <c r="D52" s="55" t="n"/>
      <c r="E52" s="55" t="n"/>
      <c r="F52" s="56" t="n"/>
      <c r="G52" s="57" t="n"/>
      <c r="H52" s="57" t="n"/>
      <c r="I52" s="57" t="n"/>
      <c r="J52" s="57" t="n"/>
      <c r="K52" s="58">
        <f>IF(NOT((COUNTA($B52:$J52)+COUNTA($M52))&gt;0),"",IFERROR(LOOKUP(2,1/(G52:J52&lt;&gt;""),G52:J52),0))</f>
        <v/>
      </c>
      <c r="L52" s="53">
        <f>IF(K52="","",IF(K52&gt;=1,"Completado",IF(K52&gt;0,"En curso","Pendiente")))</f>
        <v/>
      </c>
      <c r="M52" s="54" t="n"/>
      <c r="N52" s="59">
        <f>IF(NOT((COUNTA($B52:$J52)+COUNTA($M52))&gt;0),"",IF((IF(B52="","Macroactividad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","")&amp;IF(ABS(SUM($F$5:$F$1000)-1)&gt;0.0001,"Pesos del puesto suman "&amp;TEXT(SUM($F$5:$F$1000),"0%")&amp;"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 OK","⚠ "&amp;LEFT(IF(B52="","Macroactividad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","")&amp;IF(ABS(SUM($F$5:$F$1000)-1)&gt;0.0001,"Pesos del puesto suman "&amp;TEXT(SUM($F$5:$F$1000),"0%")&amp;"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",""),LEN(IF(B52="","Macroactividad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","")&amp;IF(ABS(SUM($F$5:$F$1000)-1)&gt;0.0001,"Pesos del puesto suman "&amp;TEXT(SUM($F$5:$F$1000),"0%")&amp;"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",""))-3)))</f>
        <v/>
      </c>
    </row>
    <row r="53">
      <c r="A53" s="53">
        <f>IF(NOT((COUNTA($B53:$J53)+COUNTA($M53))&gt;0),"",COUNTIF($L$5:$L53,"?*"))</f>
        <v/>
      </c>
      <c r="B53" s="54" t="n"/>
      <c r="C53" s="54" t="n"/>
      <c r="D53" s="55" t="n"/>
      <c r="E53" s="55" t="n"/>
      <c r="F53" s="56" t="n"/>
      <c r="G53" s="57" t="n"/>
      <c r="H53" s="57" t="n"/>
      <c r="I53" s="57" t="n"/>
      <c r="J53" s="57" t="n"/>
      <c r="K53" s="58">
        <f>IF(NOT((COUNTA($B53:$J53)+COUNTA($M53))&gt;0),"",IFERROR(LOOKUP(2,1/(G53:J53&lt;&gt;""),G53:J53),0))</f>
        <v/>
      </c>
      <c r="L53" s="53">
        <f>IF(K53="","",IF(K53&gt;=1,"Completado",IF(K53&gt;0,"En curso","Pendiente")))</f>
        <v/>
      </c>
      <c r="M53" s="54" t="n"/>
      <c r="N53" s="59">
        <f>IF(NOT((COUNTA($B53:$J53)+COUNTA($M53))&gt;0),"",IF((IF(B53="","Macroactividad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","")&amp;IF(ABS(SUM($F$5:$F$1000)-1)&gt;0.0001,"Pesos del puesto suman "&amp;TEXT(SUM($F$5:$F$1000),"0%")&amp;"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 OK","⚠ "&amp;LEFT(IF(B53="","Macroactividad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","")&amp;IF(ABS(SUM($F$5:$F$1000)-1)&gt;0.0001,"Pesos del puesto suman "&amp;TEXT(SUM($F$5:$F$1000),"0%")&amp;"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",""),LEN(IF(B53="","Macroactividad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","")&amp;IF(ABS(SUM($F$5:$F$1000)-1)&gt;0.0001,"Pesos del puesto suman "&amp;TEXT(SUM($F$5:$F$1000),"0%")&amp;"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",""))-3)))</f>
        <v/>
      </c>
    </row>
    <row r="54">
      <c r="A54" s="53">
        <f>IF(NOT((COUNTA($B54:$J54)+COUNTA($M54))&gt;0),"",COUNTIF($L$5:$L54,"?*"))</f>
        <v/>
      </c>
      <c r="B54" s="54" t="n"/>
      <c r="C54" s="54" t="n"/>
      <c r="D54" s="55" t="n"/>
      <c r="E54" s="55" t="n"/>
      <c r="F54" s="56" t="n"/>
      <c r="G54" s="57" t="n"/>
      <c r="H54" s="57" t="n"/>
      <c r="I54" s="57" t="n"/>
      <c r="J54" s="57" t="n"/>
      <c r="K54" s="58">
        <f>IF(NOT((COUNTA($B54:$J54)+COUNTA($M54))&gt;0),"",IFERROR(LOOKUP(2,1/(G54:J54&lt;&gt;""),G54:J54),0))</f>
        <v/>
      </c>
      <c r="L54" s="53">
        <f>IF(K54="","",IF(K54&gt;=1,"Completado",IF(K54&gt;0,"En curso","Pendiente")))</f>
        <v/>
      </c>
      <c r="M54" s="54" t="n"/>
      <c r="N54" s="59">
        <f>IF(NOT((COUNTA($B54:$J54)+COUNTA($M54))&gt;0),"",IF((IF(B54="","Macroactividad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","")&amp;IF(ABS(SUM($F$5:$F$1000)-1)&gt;0.0001,"Pesos del puesto suman "&amp;TEXT(SUM($F$5:$F$1000),"0%")&amp;"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 OK","⚠ "&amp;LEFT(IF(B54="","Macroactividad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","")&amp;IF(ABS(SUM($F$5:$F$1000)-1)&gt;0.0001,"Pesos del puesto suman "&amp;TEXT(SUM($F$5:$F$1000),"0%")&amp;"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",""),LEN(IF(B54="","Macroactividad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","")&amp;IF(ABS(SUM($F$5:$F$1000)-1)&gt;0.0001,"Pesos del puesto suman "&amp;TEXT(SUM($F$5:$F$1000),"0%")&amp;"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",""))-3)))</f>
        <v/>
      </c>
    </row>
    <row r="55">
      <c r="A55" s="53">
        <f>IF(NOT((COUNTA($B55:$J55)+COUNTA($M55))&gt;0),"",COUNTIF($L$5:$L55,"?*"))</f>
        <v/>
      </c>
      <c r="B55" s="54" t="n"/>
      <c r="C55" s="54" t="n"/>
      <c r="D55" s="55" t="n"/>
      <c r="E55" s="55" t="n"/>
      <c r="F55" s="56" t="n"/>
      <c r="G55" s="57" t="n"/>
      <c r="H55" s="57" t="n"/>
      <c r="I55" s="57" t="n"/>
      <c r="J55" s="57" t="n"/>
      <c r="K55" s="58">
        <f>IF(NOT((COUNTA($B55:$J55)+COUNTA($M55))&gt;0),"",IFERROR(LOOKUP(2,1/(G55:J55&lt;&gt;""),G55:J55),0))</f>
        <v/>
      </c>
      <c r="L55" s="53">
        <f>IF(K55="","",IF(K55&gt;=1,"Completado",IF(K55&gt;0,"En curso","Pendiente")))</f>
        <v/>
      </c>
      <c r="M55" s="54" t="n"/>
      <c r="N55" s="59">
        <f>IF(NOT((COUNTA($B55:$J55)+COUNTA($M55))&gt;0),"",IF((IF(B55="","Macroactividad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","")&amp;IF(ABS(SUM($F$5:$F$1000)-1)&gt;0.0001,"Pesos del puesto suman "&amp;TEXT(SUM($F$5:$F$1000),"0%")&amp;"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 OK","⚠ "&amp;LEFT(IF(B55="","Macroactividad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","")&amp;IF(ABS(SUM($F$5:$F$1000)-1)&gt;0.0001,"Pesos del puesto suman "&amp;TEXT(SUM($F$5:$F$1000),"0%")&amp;"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",""),LEN(IF(B55="","Macroactividad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","")&amp;IF(ABS(SUM($F$5:$F$1000)-1)&gt;0.0001,"Pesos del puesto suman "&amp;TEXT(SUM($F$5:$F$1000),"0%")&amp;"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",""))-3)))</f>
        <v/>
      </c>
    </row>
    <row r="56">
      <c r="A56" s="53">
        <f>IF(NOT((COUNTA($B56:$J56)+COUNTA($M56))&gt;0),"",COUNTIF($L$5:$L56,"?*"))</f>
        <v/>
      </c>
      <c r="B56" s="54" t="n"/>
      <c r="C56" s="54" t="n"/>
      <c r="D56" s="55" t="n"/>
      <c r="E56" s="55" t="n"/>
      <c r="F56" s="56" t="n"/>
      <c r="G56" s="57" t="n"/>
      <c r="H56" s="57" t="n"/>
      <c r="I56" s="57" t="n"/>
      <c r="J56" s="57" t="n"/>
      <c r="K56" s="58">
        <f>IF(NOT((COUNTA($B56:$J56)+COUNTA($M56))&gt;0),"",IFERROR(LOOKUP(2,1/(G56:J56&lt;&gt;""),G56:J56),0))</f>
        <v/>
      </c>
      <c r="L56" s="53">
        <f>IF(K56="","",IF(K56&gt;=1,"Completado",IF(K56&gt;0,"En curso","Pendiente")))</f>
        <v/>
      </c>
      <c r="M56" s="54" t="n"/>
      <c r="N56" s="59">
        <f>IF(NOT((COUNTA($B56:$J56)+COUNTA($M56))&gt;0),"",IF((IF(B56="","Macroactividad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","")&amp;IF(ABS(SUM($F$5:$F$1000)-1)&gt;0.0001,"Pesos del puesto suman "&amp;TEXT(SUM($F$5:$F$1000),"0%")&amp;"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 OK","⚠ "&amp;LEFT(IF(B56="","Macroactividad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","")&amp;IF(ABS(SUM($F$5:$F$1000)-1)&gt;0.0001,"Pesos del puesto suman "&amp;TEXT(SUM($F$5:$F$1000),"0%")&amp;"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",""),LEN(IF(B56="","Macroactividad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","")&amp;IF(ABS(SUM($F$5:$F$1000)-1)&gt;0.0001,"Pesos del puesto suman "&amp;TEXT(SUM($F$5:$F$1000),"0%")&amp;"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",""))-3)))</f>
        <v/>
      </c>
    </row>
    <row r="57">
      <c r="A57" s="53">
        <f>IF(NOT((COUNTA($B57:$J57)+COUNTA($M57))&gt;0),"",COUNTIF($L$5:$L57,"?*"))</f>
        <v/>
      </c>
      <c r="B57" s="54" t="n"/>
      <c r="C57" s="54" t="n"/>
      <c r="D57" s="55" t="n"/>
      <c r="E57" s="55" t="n"/>
      <c r="F57" s="56" t="n"/>
      <c r="G57" s="57" t="n"/>
      <c r="H57" s="57" t="n"/>
      <c r="I57" s="57" t="n"/>
      <c r="J57" s="57" t="n"/>
      <c r="K57" s="58">
        <f>IF(NOT((COUNTA($B57:$J57)+COUNTA($M57))&gt;0),"",IFERROR(LOOKUP(2,1/(G57:J57&lt;&gt;""),G57:J57),0))</f>
        <v/>
      </c>
      <c r="L57" s="53">
        <f>IF(K57="","",IF(K57&gt;=1,"Completado",IF(K57&gt;0,"En curso","Pendiente")))</f>
        <v/>
      </c>
      <c r="M57" s="54" t="n"/>
      <c r="N57" s="59">
        <f>IF(NOT((COUNTA($B57:$J57)+COUNTA($M57))&gt;0),"",IF((IF(B57="","Macroactividad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","")&amp;IF(ABS(SUM($F$5:$F$1000)-1)&gt;0.0001,"Pesos del puesto suman "&amp;TEXT(SUM($F$5:$F$1000),"0%")&amp;"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 OK","⚠ "&amp;LEFT(IF(B57="","Macroactividad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","")&amp;IF(ABS(SUM($F$5:$F$1000)-1)&gt;0.0001,"Pesos del puesto suman "&amp;TEXT(SUM($F$5:$F$1000),"0%")&amp;"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",""),LEN(IF(B57="","Macroactividad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","")&amp;IF(ABS(SUM($F$5:$F$1000)-1)&gt;0.0001,"Pesos del puesto suman "&amp;TEXT(SUM($F$5:$F$1000),"0%")&amp;"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",""))-3)))</f>
        <v/>
      </c>
    </row>
    <row r="58">
      <c r="A58" s="53">
        <f>IF(NOT((COUNTA($B58:$J58)+COUNTA($M58))&gt;0),"",COUNTIF($L$5:$L58,"?*"))</f>
        <v/>
      </c>
      <c r="B58" s="54" t="n"/>
      <c r="C58" s="54" t="n"/>
      <c r="D58" s="55" t="n"/>
      <c r="E58" s="55" t="n"/>
      <c r="F58" s="56" t="n"/>
      <c r="G58" s="57" t="n"/>
      <c r="H58" s="57" t="n"/>
      <c r="I58" s="57" t="n"/>
      <c r="J58" s="57" t="n"/>
      <c r="K58" s="58">
        <f>IF(NOT((COUNTA($B58:$J58)+COUNTA($M58))&gt;0),"",IFERROR(LOOKUP(2,1/(G58:J58&lt;&gt;""),G58:J58),0))</f>
        <v/>
      </c>
      <c r="L58" s="53">
        <f>IF(K58="","",IF(K58&gt;=1,"Completado",IF(K58&gt;0,"En curso","Pendiente")))</f>
        <v/>
      </c>
      <c r="M58" s="54" t="n"/>
      <c r="N58" s="59">
        <f>IF(NOT((COUNTA($B58:$J58)+COUNTA($M58))&gt;0),"",IF((IF(B58="","Macroactividad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","")&amp;IF(ABS(SUM($F$5:$F$1000)-1)&gt;0.0001,"Pesos del puesto suman "&amp;TEXT(SUM($F$5:$F$1000),"0%")&amp;"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 OK","⚠ "&amp;LEFT(IF(B58="","Macroactividad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","")&amp;IF(ABS(SUM($F$5:$F$1000)-1)&gt;0.0001,"Pesos del puesto suman "&amp;TEXT(SUM($F$5:$F$1000),"0%")&amp;"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",""),LEN(IF(B58="","Macroactividad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","")&amp;IF(ABS(SUM($F$5:$F$1000)-1)&gt;0.0001,"Pesos del puesto suman "&amp;TEXT(SUM($F$5:$F$1000),"0%")&amp;"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",""))-3)))</f>
        <v/>
      </c>
    </row>
    <row r="59">
      <c r="A59" s="53">
        <f>IF(NOT((COUNTA($B59:$J59)+COUNTA($M59))&gt;0),"",COUNTIF($L$5:$L59,"?*"))</f>
        <v/>
      </c>
      <c r="B59" s="54" t="n"/>
      <c r="C59" s="54" t="n"/>
      <c r="D59" s="55" t="n"/>
      <c r="E59" s="55" t="n"/>
      <c r="F59" s="56" t="n"/>
      <c r="G59" s="57" t="n"/>
      <c r="H59" s="57" t="n"/>
      <c r="I59" s="57" t="n"/>
      <c r="J59" s="57" t="n"/>
      <c r="K59" s="58">
        <f>IF(NOT((COUNTA($B59:$J59)+COUNTA($M59))&gt;0),"",IFERROR(LOOKUP(2,1/(G59:J59&lt;&gt;""),G59:J59),0))</f>
        <v/>
      </c>
      <c r="L59" s="53">
        <f>IF(K59="","",IF(K59&gt;=1,"Completado",IF(K59&gt;0,"En curso","Pendiente")))</f>
        <v/>
      </c>
      <c r="M59" s="54" t="n"/>
      <c r="N59" s="59">
        <f>IF(NOT((COUNTA($B59:$J59)+COUNTA($M59))&gt;0),"",IF((IF(B59="","Macroactividad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","")&amp;IF(ABS(SUM($F$5:$F$1000)-1)&gt;0.0001,"Pesos del puesto suman "&amp;TEXT(SUM($F$5:$F$1000),"0%")&amp;"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 OK","⚠ "&amp;LEFT(IF(B59="","Macroactividad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","")&amp;IF(ABS(SUM($F$5:$F$1000)-1)&gt;0.0001,"Pesos del puesto suman "&amp;TEXT(SUM($F$5:$F$1000),"0%")&amp;"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",""),LEN(IF(B59="","Macroactividad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","")&amp;IF(ABS(SUM($F$5:$F$1000)-1)&gt;0.0001,"Pesos del puesto suman "&amp;TEXT(SUM($F$5:$F$1000),"0%")&amp;"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",""))-3)))</f>
        <v/>
      </c>
    </row>
    <row r="60">
      <c r="A60" s="53">
        <f>IF(NOT((COUNTA($B60:$J60)+COUNTA($M60))&gt;0),"",COUNTIF($L$5:$L60,"?*"))</f>
        <v/>
      </c>
      <c r="B60" s="54" t="n"/>
      <c r="C60" s="54" t="n"/>
      <c r="D60" s="55" t="n"/>
      <c r="E60" s="55" t="n"/>
      <c r="F60" s="56" t="n"/>
      <c r="G60" s="57" t="n"/>
      <c r="H60" s="57" t="n"/>
      <c r="I60" s="57" t="n"/>
      <c r="J60" s="57" t="n"/>
      <c r="K60" s="58">
        <f>IF(NOT((COUNTA($B60:$J60)+COUNTA($M60))&gt;0),"",IFERROR(LOOKUP(2,1/(G60:J60&lt;&gt;""),G60:J60),0))</f>
        <v/>
      </c>
      <c r="L60" s="53">
        <f>IF(K60="","",IF(K60&gt;=1,"Completado",IF(K60&gt;0,"En curso","Pendiente")))</f>
        <v/>
      </c>
      <c r="M60" s="54" t="n"/>
      <c r="N60" s="59">
        <f>IF(NOT((COUNTA($B60:$J60)+COUNTA($M60))&gt;0),"",IF((IF(B60="","Macroactividad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","")&amp;IF(ABS(SUM($F$5:$F$1000)-1)&gt;0.0001,"Pesos del puesto suman "&amp;TEXT(SUM($F$5:$F$1000),"0%")&amp;"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 OK","⚠ "&amp;LEFT(IF(B60="","Macroactividad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","")&amp;IF(ABS(SUM($F$5:$F$1000)-1)&gt;0.0001,"Pesos del puesto suman "&amp;TEXT(SUM($F$5:$F$1000),"0%")&amp;"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",""),LEN(IF(B60="","Macroactividad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","")&amp;IF(ABS(SUM($F$5:$F$1000)-1)&gt;0.0001,"Pesos del puesto suman "&amp;TEXT(SUM($F$5:$F$1000),"0%")&amp;"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",""))-3)))</f>
        <v/>
      </c>
    </row>
    <row r="61">
      <c r="A61" s="53">
        <f>IF(NOT((COUNTA($B61:$J61)+COUNTA($M61))&gt;0),"",COUNTIF($L$5:$L61,"?*"))</f>
        <v/>
      </c>
      <c r="B61" s="54" t="n"/>
      <c r="C61" s="54" t="n"/>
      <c r="D61" s="55" t="n"/>
      <c r="E61" s="55" t="n"/>
      <c r="F61" s="56" t="n"/>
      <c r="G61" s="57" t="n"/>
      <c r="H61" s="57" t="n"/>
      <c r="I61" s="57" t="n"/>
      <c r="J61" s="57" t="n"/>
      <c r="K61" s="58">
        <f>IF(NOT((COUNTA($B61:$J61)+COUNTA($M61))&gt;0),"",IFERROR(LOOKUP(2,1/(G61:J61&lt;&gt;""),G61:J61),0))</f>
        <v/>
      </c>
      <c r="L61" s="53">
        <f>IF(K61="","",IF(K61&gt;=1,"Completado",IF(K61&gt;0,"En curso","Pendiente")))</f>
        <v/>
      </c>
      <c r="M61" s="54" t="n"/>
      <c r="N61" s="59">
        <f>IF(NOT((COUNTA($B61:$J61)+COUNTA($M61))&gt;0),"",IF((IF(B61="","Macroactividad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","")&amp;IF(ABS(SUM($F$5:$F$1000)-1)&gt;0.0001,"Pesos del puesto suman "&amp;TEXT(SUM($F$5:$F$1000),"0%")&amp;"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 OK","⚠ "&amp;LEFT(IF(B61="","Macroactividad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","")&amp;IF(ABS(SUM($F$5:$F$1000)-1)&gt;0.0001,"Pesos del puesto suman "&amp;TEXT(SUM($F$5:$F$1000),"0%")&amp;"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",""),LEN(IF(B61="","Macroactividad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","")&amp;IF(ABS(SUM($F$5:$F$1000)-1)&gt;0.0001,"Pesos del puesto suman "&amp;TEXT(SUM($F$5:$F$1000),"0%")&amp;"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",""))-3)))</f>
        <v/>
      </c>
    </row>
    <row r="62">
      <c r="A62" s="53">
        <f>IF(NOT((COUNTA($B62:$J62)+COUNTA($M62))&gt;0),"",COUNTIF($L$5:$L62,"?*"))</f>
        <v/>
      </c>
      <c r="B62" s="54" t="n"/>
      <c r="C62" s="54" t="n"/>
      <c r="D62" s="55" t="n"/>
      <c r="E62" s="55" t="n"/>
      <c r="F62" s="56" t="n"/>
      <c r="G62" s="57" t="n"/>
      <c r="H62" s="57" t="n"/>
      <c r="I62" s="57" t="n"/>
      <c r="J62" s="57" t="n"/>
      <c r="K62" s="58">
        <f>IF(NOT((COUNTA($B62:$J62)+COUNTA($M62))&gt;0),"",IFERROR(LOOKUP(2,1/(G62:J62&lt;&gt;""),G62:J62),0))</f>
        <v/>
      </c>
      <c r="L62" s="53">
        <f>IF(K62="","",IF(K62&gt;=1,"Completado",IF(K62&gt;0,"En curso","Pendiente")))</f>
        <v/>
      </c>
      <c r="M62" s="54" t="n"/>
      <c r="N62" s="59">
        <f>IF(NOT((COUNTA($B62:$J62)+COUNTA($M62))&gt;0),"",IF((IF(B62="","Macroactividad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","")&amp;IF(ABS(SUM($F$5:$F$1000)-1)&gt;0.0001,"Pesos del puesto suman "&amp;TEXT(SUM($F$5:$F$1000),"0%")&amp;"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 OK","⚠ "&amp;LEFT(IF(B62="","Macroactividad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","")&amp;IF(ABS(SUM($F$5:$F$1000)-1)&gt;0.0001,"Pesos del puesto suman "&amp;TEXT(SUM($F$5:$F$1000),"0%")&amp;"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",""),LEN(IF(B62="","Macroactividad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","")&amp;IF(ABS(SUM($F$5:$F$1000)-1)&gt;0.0001,"Pesos del puesto suman "&amp;TEXT(SUM($F$5:$F$1000),"0%")&amp;"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",""))-3)))</f>
        <v/>
      </c>
    </row>
    <row r="63">
      <c r="A63" s="53">
        <f>IF(NOT((COUNTA($B63:$J63)+COUNTA($M63))&gt;0),"",COUNTIF($L$5:$L63,"?*"))</f>
        <v/>
      </c>
      <c r="B63" s="54" t="n"/>
      <c r="C63" s="54" t="n"/>
      <c r="D63" s="55" t="n"/>
      <c r="E63" s="55" t="n"/>
      <c r="F63" s="56" t="n"/>
      <c r="G63" s="57" t="n"/>
      <c r="H63" s="57" t="n"/>
      <c r="I63" s="57" t="n"/>
      <c r="J63" s="57" t="n"/>
      <c r="K63" s="58">
        <f>IF(NOT((COUNTA($B63:$J63)+COUNTA($M63))&gt;0),"",IFERROR(LOOKUP(2,1/(G63:J63&lt;&gt;""),G63:J63),0))</f>
        <v/>
      </c>
      <c r="L63" s="53">
        <f>IF(K63="","",IF(K63&gt;=1,"Completado",IF(K63&gt;0,"En curso","Pendiente")))</f>
        <v/>
      </c>
      <c r="M63" s="54" t="n"/>
      <c r="N63" s="59">
        <f>IF(NOT((COUNTA($B63:$J63)+COUNTA($M63))&gt;0),"",IF((IF(B63="","Macroactividad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","")&amp;IF(ABS(SUM($F$5:$F$1000)-1)&gt;0.0001,"Pesos del puesto suman "&amp;TEXT(SUM($F$5:$F$1000),"0%")&amp;"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 OK","⚠ "&amp;LEFT(IF(B63="","Macroactividad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","")&amp;IF(ABS(SUM($F$5:$F$1000)-1)&gt;0.0001,"Pesos del puesto suman "&amp;TEXT(SUM($F$5:$F$1000),"0%")&amp;"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",""),LEN(IF(B63="","Macroactividad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","")&amp;IF(ABS(SUM($F$5:$F$1000)-1)&gt;0.0001,"Pesos del puesto suman "&amp;TEXT(SUM($F$5:$F$1000),"0%")&amp;"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",""))-3)))</f>
        <v/>
      </c>
    </row>
    <row r="64">
      <c r="A64" s="53">
        <f>IF(NOT((COUNTA($B64:$J64)+COUNTA($M64))&gt;0),"",COUNTIF($L$5:$L64,"?*"))</f>
        <v/>
      </c>
      <c r="B64" s="54" t="n"/>
      <c r="C64" s="54" t="n"/>
      <c r="D64" s="55" t="n"/>
      <c r="E64" s="55" t="n"/>
      <c r="F64" s="56" t="n"/>
      <c r="G64" s="57" t="n"/>
      <c r="H64" s="57" t="n"/>
      <c r="I64" s="57" t="n"/>
      <c r="J64" s="57" t="n"/>
      <c r="K64" s="58">
        <f>IF(NOT((COUNTA($B64:$J64)+COUNTA($M64))&gt;0),"",IFERROR(LOOKUP(2,1/(G64:J64&lt;&gt;""),G64:J64),0))</f>
        <v/>
      </c>
      <c r="L64" s="53">
        <f>IF(K64="","",IF(K64&gt;=1,"Completado",IF(K64&gt;0,"En curso","Pendiente")))</f>
        <v/>
      </c>
      <c r="M64" s="54" t="n"/>
      <c r="N64" s="59">
        <f>IF(NOT((COUNTA($B64:$J64)+COUNTA($M64))&gt;0),"",IF((IF(B64="","Macroactividad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","")&amp;IF(ABS(SUM($F$5:$F$1000)-1)&gt;0.0001,"Pesos del puesto suman "&amp;TEXT(SUM($F$5:$F$1000),"0%")&amp;"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 OK","⚠ "&amp;LEFT(IF(B64="","Macroactividad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","")&amp;IF(ABS(SUM($F$5:$F$1000)-1)&gt;0.0001,"Pesos del puesto suman "&amp;TEXT(SUM($F$5:$F$1000),"0%")&amp;"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",""),LEN(IF(B64="","Macroactividad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","")&amp;IF(ABS(SUM($F$5:$F$1000)-1)&gt;0.0001,"Pesos del puesto suman "&amp;TEXT(SUM($F$5:$F$1000),"0%")&amp;"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",""))-3)))</f>
        <v/>
      </c>
    </row>
    <row r="65">
      <c r="A65" s="53">
        <f>IF(NOT((COUNTA($B65:$J65)+COUNTA($M65))&gt;0),"",COUNTIF($L$5:$L65,"?*"))</f>
        <v/>
      </c>
      <c r="B65" s="54" t="n"/>
      <c r="C65" s="54" t="n"/>
      <c r="D65" s="55" t="n"/>
      <c r="E65" s="55" t="n"/>
      <c r="F65" s="56" t="n"/>
      <c r="G65" s="57" t="n"/>
      <c r="H65" s="57" t="n"/>
      <c r="I65" s="57" t="n"/>
      <c r="J65" s="57" t="n"/>
      <c r="K65" s="58">
        <f>IF(NOT((COUNTA($B65:$J65)+COUNTA($M65))&gt;0),"",IFERROR(LOOKUP(2,1/(G65:J65&lt;&gt;""),G65:J65),0))</f>
        <v/>
      </c>
      <c r="L65" s="53">
        <f>IF(K65="","",IF(K65&gt;=1,"Completado",IF(K65&gt;0,"En curso","Pendiente")))</f>
        <v/>
      </c>
      <c r="M65" s="54" t="n"/>
      <c r="N65" s="59">
        <f>IF(NOT((COUNTA($B65:$J65)+COUNTA($M65))&gt;0),"",IF((IF(B65="","Macroactividad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","")&amp;IF(ABS(SUM($F$5:$F$1000)-1)&gt;0.0001,"Pesos del puesto suman "&amp;TEXT(SUM($F$5:$F$1000),"0%")&amp;"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 OK","⚠ "&amp;LEFT(IF(B65="","Macroactividad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","")&amp;IF(ABS(SUM($F$5:$F$1000)-1)&gt;0.0001,"Pesos del puesto suman "&amp;TEXT(SUM($F$5:$F$1000),"0%")&amp;"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",""),LEN(IF(B65="","Macroactividad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","")&amp;IF(ABS(SUM($F$5:$F$1000)-1)&gt;0.0001,"Pesos del puesto suman "&amp;TEXT(SUM($F$5:$F$1000),"0%")&amp;"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",""))-3)))</f>
        <v/>
      </c>
    </row>
    <row r="66">
      <c r="A66" s="53">
        <f>IF(NOT((COUNTA($B66:$J66)+COUNTA($M66))&gt;0),"",COUNTIF($L$5:$L66,"?*"))</f>
        <v/>
      </c>
      <c r="B66" s="54" t="n"/>
      <c r="C66" s="54" t="n"/>
      <c r="D66" s="55" t="n"/>
      <c r="E66" s="55" t="n"/>
      <c r="F66" s="56" t="n"/>
      <c r="G66" s="57" t="n"/>
      <c r="H66" s="57" t="n"/>
      <c r="I66" s="57" t="n"/>
      <c r="J66" s="57" t="n"/>
      <c r="K66" s="58">
        <f>IF(NOT((COUNTA($B66:$J66)+COUNTA($M66))&gt;0),"",IFERROR(LOOKUP(2,1/(G66:J66&lt;&gt;""),G66:J66),0))</f>
        <v/>
      </c>
      <c r="L66" s="53">
        <f>IF(K66="","",IF(K66&gt;=1,"Completado",IF(K66&gt;0,"En curso","Pendiente")))</f>
        <v/>
      </c>
      <c r="M66" s="54" t="n"/>
      <c r="N66" s="59">
        <f>IF(NOT((COUNTA($B66:$J66)+COUNTA($M66))&gt;0),"",IF((IF(B66="","Macroactividad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","")&amp;IF(ABS(SUM($F$5:$F$1000)-1)&gt;0.0001,"Pesos del puesto suman "&amp;TEXT(SUM($F$5:$F$1000),"0%")&amp;"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 OK","⚠ "&amp;LEFT(IF(B66="","Macroactividad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","")&amp;IF(ABS(SUM($F$5:$F$1000)-1)&gt;0.0001,"Pesos del puesto suman "&amp;TEXT(SUM($F$5:$F$1000),"0%")&amp;"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",""),LEN(IF(B66="","Macroactividad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","")&amp;IF(ABS(SUM($F$5:$F$1000)-1)&gt;0.0001,"Pesos del puesto suman "&amp;TEXT(SUM($F$5:$F$1000),"0%")&amp;"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",""))-3)))</f>
        <v/>
      </c>
    </row>
    <row r="67">
      <c r="A67" s="53">
        <f>IF(NOT((COUNTA($B67:$J67)+COUNTA($M67))&gt;0),"",COUNTIF($L$5:$L67,"?*"))</f>
        <v/>
      </c>
      <c r="B67" s="54" t="n"/>
      <c r="C67" s="54" t="n"/>
      <c r="D67" s="55" t="n"/>
      <c r="E67" s="55" t="n"/>
      <c r="F67" s="56" t="n"/>
      <c r="G67" s="57" t="n"/>
      <c r="H67" s="57" t="n"/>
      <c r="I67" s="57" t="n"/>
      <c r="J67" s="57" t="n"/>
      <c r="K67" s="58">
        <f>IF(NOT((COUNTA($B67:$J67)+COUNTA($M67))&gt;0),"",IFERROR(LOOKUP(2,1/(G67:J67&lt;&gt;""),G67:J67),0))</f>
        <v/>
      </c>
      <c r="L67" s="53">
        <f>IF(K67="","",IF(K67&gt;=1,"Completado",IF(K67&gt;0,"En curso","Pendiente")))</f>
        <v/>
      </c>
      <c r="M67" s="54" t="n"/>
      <c r="N67" s="59">
        <f>IF(NOT((COUNTA($B67:$J67)+COUNTA($M67))&gt;0),"",IF((IF(B67="","Macroactividad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","")&amp;IF(ABS(SUM($F$5:$F$1000)-1)&gt;0.0001,"Pesos del puesto suman "&amp;TEXT(SUM($F$5:$F$1000),"0%")&amp;"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 OK","⚠ "&amp;LEFT(IF(B67="","Macroactividad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","")&amp;IF(ABS(SUM($F$5:$F$1000)-1)&gt;0.0001,"Pesos del puesto suman "&amp;TEXT(SUM($F$5:$F$1000),"0%")&amp;"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",""),LEN(IF(B67="","Macroactividad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","")&amp;IF(ABS(SUM($F$5:$F$1000)-1)&gt;0.0001,"Pesos del puesto suman "&amp;TEXT(SUM($F$5:$F$1000),"0%")&amp;"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",""))-3)))</f>
        <v/>
      </c>
    </row>
    <row r="68">
      <c r="A68" s="53">
        <f>IF(NOT((COUNTA($B68:$J68)+COUNTA($M68))&gt;0),"",COUNTIF($L$5:$L68,"?*"))</f>
        <v/>
      </c>
      <c r="B68" s="54" t="n"/>
      <c r="C68" s="54" t="n"/>
      <c r="D68" s="55" t="n"/>
      <c r="E68" s="55" t="n"/>
      <c r="F68" s="56" t="n"/>
      <c r="G68" s="57" t="n"/>
      <c r="H68" s="57" t="n"/>
      <c r="I68" s="57" t="n"/>
      <c r="J68" s="57" t="n"/>
      <c r="K68" s="58">
        <f>IF(NOT((COUNTA($B68:$J68)+COUNTA($M68))&gt;0),"",IFERROR(LOOKUP(2,1/(G68:J68&lt;&gt;""),G68:J68),0))</f>
        <v/>
      </c>
      <c r="L68" s="53">
        <f>IF(K68="","",IF(K68&gt;=1,"Completado",IF(K68&gt;0,"En curso","Pendiente")))</f>
        <v/>
      </c>
      <c r="M68" s="54" t="n"/>
      <c r="N68" s="59">
        <f>IF(NOT((COUNTA($B68:$J68)+COUNTA($M68))&gt;0),"",IF((IF(B68="","Macroactividad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","")&amp;IF(ABS(SUM($F$5:$F$1000)-1)&gt;0.0001,"Pesos del puesto suman "&amp;TEXT(SUM($F$5:$F$1000),"0%")&amp;"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 OK","⚠ "&amp;LEFT(IF(B68="","Macroactividad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","")&amp;IF(ABS(SUM($F$5:$F$1000)-1)&gt;0.0001,"Pesos del puesto suman "&amp;TEXT(SUM($F$5:$F$1000),"0%")&amp;"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",""),LEN(IF(B68="","Macroactividad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","")&amp;IF(ABS(SUM($F$5:$F$1000)-1)&gt;0.0001,"Pesos del puesto suman "&amp;TEXT(SUM($F$5:$F$1000),"0%")&amp;"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",""))-3)))</f>
        <v/>
      </c>
    </row>
    <row r="69">
      <c r="A69" s="53">
        <f>IF(NOT((COUNTA($B69:$J69)+COUNTA($M69))&gt;0),"",COUNTIF($L$5:$L69,"?*"))</f>
        <v/>
      </c>
      <c r="B69" s="54" t="n"/>
      <c r="C69" s="54" t="n"/>
      <c r="D69" s="55" t="n"/>
      <c r="E69" s="55" t="n"/>
      <c r="F69" s="56" t="n"/>
      <c r="G69" s="57" t="n"/>
      <c r="H69" s="57" t="n"/>
      <c r="I69" s="57" t="n"/>
      <c r="J69" s="57" t="n"/>
      <c r="K69" s="58">
        <f>IF(NOT((COUNTA($B69:$J69)+COUNTA($M69))&gt;0),"",IFERROR(LOOKUP(2,1/(G69:J69&lt;&gt;""),G69:J69),0))</f>
        <v/>
      </c>
      <c r="L69" s="53">
        <f>IF(K69="","",IF(K69&gt;=1,"Completado",IF(K69&gt;0,"En curso","Pendiente")))</f>
        <v/>
      </c>
      <c r="M69" s="54" t="n"/>
      <c r="N69" s="59">
        <f>IF(NOT((COUNTA($B69:$J69)+COUNTA($M69))&gt;0),"",IF((IF(B69="","Macroactividad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","")&amp;IF(ABS(SUM($F$5:$F$1000)-1)&gt;0.0001,"Pesos del puesto suman "&amp;TEXT(SUM($F$5:$F$1000),"0%")&amp;"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 OK","⚠ "&amp;LEFT(IF(B69="","Macroactividad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","")&amp;IF(ABS(SUM($F$5:$F$1000)-1)&gt;0.0001,"Pesos del puesto suman "&amp;TEXT(SUM($F$5:$F$1000),"0%")&amp;"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",""),LEN(IF(B69="","Macroactividad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","")&amp;IF(ABS(SUM($F$5:$F$1000)-1)&gt;0.0001,"Pesos del puesto suman "&amp;TEXT(SUM($F$5:$F$1000),"0%")&amp;"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",""))-3)))</f>
        <v/>
      </c>
    </row>
    <row r="70">
      <c r="A70" s="53">
        <f>IF(NOT((COUNTA($B70:$J70)+COUNTA($M70))&gt;0),"",COUNTIF($L$5:$L70,"?*"))</f>
        <v/>
      </c>
      <c r="B70" s="54" t="n"/>
      <c r="C70" s="54" t="n"/>
      <c r="D70" s="55" t="n"/>
      <c r="E70" s="55" t="n"/>
      <c r="F70" s="56" t="n"/>
      <c r="G70" s="57" t="n"/>
      <c r="H70" s="57" t="n"/>
      <c r="I70" s="57" t="n"/>
      <c r="J70" s="57" t="n"/>
      <c r="K70" s="58">
        <f>IF(NOT((COUNTA($B70:$J70)+COUNTA($M70))&gt;0),"",IFERROR(LOOKUP(2,1/(G70:J70&lt;&gt;""),G70:J70),0))</f>
        <v/>
      </c>
      <c r="L70" s="53">
        <f>IF(K70="","",IF(K70&gt;=1,"Completado",IF(K70&gt;0,"En curso","Pendiente")))</f>
        <v/>
      </c>
      <c r="M70" s="54" t="n"/>
      <c r="N70" s="59">
        <f>IF(NOT((COUNTA($B70:$J70)+COUNTA($M70))&gt;0),"",IF((IF(B70="","Macroactividad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","")&amp;IF(ABS(SUM($F$5:$F$1000)-1)&gt;0.0001,"Pesos del puesto suman "&amp;TEXT(SUM($F$5:$F$1000),"0%")&amp;"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 OK","⚠ "&amp;LEFT(IF(B70="","Macroactividad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","")&amp;IF(ABS(SUM($F$5:$F$1000)-1)&gt;0.0001,"Pesos del puesto suman "&amp;TEXT(SUM($F$5:$F$1000),"0%")&amp;"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",""),LEN(IF(B70="","Macroactividad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","")&amp;IF(ABS(SUM($F$5:$F$1000)-1)&gt;0.0001,"Pesos del puesto suman "&amp;TEXT(SUM($F$5:$F$1000),"0%")&amp;"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",""))-3)))</f>
        <v/>
      </c>
    </row>
    <row r="71">
      <c r="A71" s="53">
        <f>IF(NOT((COUNTA($B71:$J71)+COUNTA($M71))&gt;0),"",COUNTIF($L$5:$L71,"?*"))</f>
        <v/>
      </c>
      <c r="B71" s="54" t="n"/>
      <c r="C71" s="54" t="n"/>
      <c r="D71" s="55" t="n"/>
      <c r="E71" s="55" t="n"/>
      <c r="F71" s="56" t="n"/>
      <c r="G71" s="57" t="n"/>
      <c r="H71" s="57" t="n"/>
      <c r="I71" s="57" t="n"/>
      <c r="J71" s="57" t="n"/>
      <c r="K71" s="58">
        <f>IF(NOT((COUNTA($B71:$J71)+COUNTA($M71))&gt;0),"",IFERROR(LOOKUP(2,1/(G71:J71&lt;&gt;""),G71:J71),0))</f>
        <v/>
      </c>
      <c r="L71" s="53">
        <f>IF(K71="","",IF(K71&gt;=1,"Completado",IF(K71&gt;0,"En curso","Pendiente")))</f>
        <v/>
      </c>
      <c r="M71" s="54" t="n"/>
      <c r="N71" s="59">
        <f>IF(NOT((COUNTA($B71:$J71)+COUNTA($M71))&gt;0),"",IF((IF(B71="","Macroactividad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","")&amp;IF(ABS(SUM($F$5:$F$1000)-1)&gt;0.0001,"Pesos del puesto suman "&amp;TEXT(SUM($F$5:$F$1000),"0%")&amp;"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 OK","⚠ "&amp;LEFT(IF(B71="","Macroactividad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","")&amp;IF(ABS(SUM($F$5:$F$1000)-1)&gt;0.0001,"Pesos del puesto suman "&amp;TEXT(SUM($F$5:$F$1000),"0%")&amp;"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",""),LEN(IF(B71="","Macroactividad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","")&amp;IF(ABS(SUM($F$5:$F$1000)-1)&gt;0.0001,"Pesos del puesto suman "&amp;TEXT(SUM($F$5:$F$1000),"0%")&amp;"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",""))-3)))</f>
        <v/>
      </c>
    </row>
    <row r="72">
      <c r="A72" s="53">
        <f>IF(NOT((COUNTA($B72:$J72)+COUNTA($M72))&gt;0),"",COUNTIF($L$5:$L72,"?*"))</f>
        <v/>
      </c>
      <c r="B72" s="54" t="n"/>
      <c r="C72" s="54" t="n"/>
      <c r="D72" s="55" t="n"/>
      <c r="E72" s="55" t="n"/>
      <c r="F72" s="56" t="n"/>
      <c r="G72" s="57" t="n"/>
      <c r="H72" s="57" t="n"/>
      <c r="I72" s="57" t="n"/>
      <c r="J72" s="57" t="n"/>
      <c r="K72" s="58">
        <f>IF(NOT((COUNTA($B72:$J72)+COUNTA($M72))&gt;0),"",IFERROR(LOOKUP(2,1/(G72:J72&lt;&gt;""),G72:J72),0))</f>
        <v/>
      </c>
      <c r="L72" s="53">
        <f>IF(K72="","",IF(K72&gt;=1,"Completado",IF(K72&gt;0,"En curso","Pendiente")))</f>
        <v/>
      </c>
      <c r="M72" s="54" t="n"/>
      <c r="N72" s="59">
        <f>IF(NOT((COUNTA($B72:$J72)+COUNTA($M72))&gt;0),"",IF((IF(B72="","Macroactividad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","")&amp;IF(ABS(SUM($F$5:$F$1000)-1)&gt;0.0001,"Pesos del puesto suman "&amp;TEXT(SUM($F$5:$F$1000),"0%")&amp;"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 OK","⚠ "&amp;LEFT(IF(B72="","Macroactividad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","")&amp;IF(ABS(SUM($F$5:$F$1000)-1)&gt;0.0001,"Pesos del puesto suman "&amp;TEXT(SUM($F$5:$F$1000),"0%")&amp;"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",""),LEN(IF(B72="","Macroactividad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","")&amp;IF(ABS(SUM($F$5:$F$1000)-1)&gt;0.0001,"Pesos del puesto suman "&amp;TEXT(SUM($F$5:$F$1000),"0%")&amp;"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",""))-3)))</f>
        <v/>
      </c>
    </row>
    <row r="73">
      <c r="A73" s="53">
        <f>IF(NOT((COUNTA($B73:$J73)+COUNTA($M73))&gt;0),"",COUNTIF($L$5:$L73,"?*"))</f>
        <v/>
      </c>
      <c r="B73" s="54" t="n"/>
      <c r="C73" s="54" t="n"/>
      <c r="D73" s="55" t="n"/>
      <c r="E73" s="55" t="n"/>
      <c r="F73" s="56" t="n"/>
      <c r="G73" s="57" t="n"/>
      <c r="H73" s="57" t="n"/>
      <c r="I73" s="57" t="n"/>
      <c r="J73" s="57" t="n"/>
      <c r="K73" s="58">
        <f>IF(NOT((COUNTA($B73:$J73)+COUNTA($M73))&gt;0),"",IFERROR(LOOKUP(2,1/(G73:J73&lt;&gt;""),G73:J73),0))</f>
        <v/>
      </c>
      <c r="L73" s="53">
        <f>IF(K73="","",IF(K73&gt;=1,"Completado",IF(K73&gt;0,"En curso","Pendiente")))</f>
        <v/>
      </c>
      <c r="M73" s="54" t="n"/>
      <c r="N73" s="59">
        <f>IF(NOT((COUNTA($B73:$J73)+COUNTA($M73))&gt;0),"",IF((IF(B73="","Macroactividad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","")&amp;IF(ABS(SUM($F$5:$F$1000)-1)&gt;0.0001,"Pesos del puesto suman "&amp;TEXT(SUM($F$5:$F$1000),"0%")&amp;"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 OK","⚠ "&amp;LEFT(IF(B73="","Macroactividad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","")&amp;IF(ABS(SUM($F$5:$F$1000)-1)&gt;0.0001,"Pesos del puesto suman "&amp;TEXT(SUM($F$5:$F$1000),"0%")&amp;"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",""),LEN(IF(B73="","Macroactividad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","")&amp;IF(ABS(SUM($F$5:$F$1000)-1)&gt;0.0001,"Pesos del puesto suman "&amp;TEXT(SUM($F$5:$F$1000),"0%")&amp;"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",""))-3)))</f>
        <v/>
      </c>
    </row>
    <row r="74">
      <c r="A74" s="53">
        <f>IF(NOT((COUNTA($B74:$J74)+COUNTA($M74))&gt;0),"",COUNTIF($L$5:$L74,"?*"))</f>
        <v/>
      </c>
      <c r="B74" s="54" t="n"/>
      <c r="C74" s="54" t="n"/>
      <c r="D74" s="55" t="n"/>
      <c r="E74" s="55" t="n"/>
      <c r="F74" s="56" t="n"/>
      <c r="G74" s="57" t="n"/>
      <c r="H74" s="57" t="n"/>
      <c r="I74" s="57" t="n"/>
      <c r="J74" s="57" t="n"/>
      <c r="K74" s="58">
        <f>IF(NOT((COUNTA($B74:$J74)+COUNTA($M74))&gt;0),"",IFERROR(LOOKUP(2,1/(G74:J74&lt;&gt;""),G74:J74),0))</f>
        <v/>
      </c>
      <c r="L74" s="53">
        <f>IF(K74="","",IF(K74&gt;=1,"Completado",IF(K74&gt;0,"En curso","Pendiente")))</f>
        <v/>
      </c>
      <c r="M74" s="54" t="n"/>
      <c r="N74" s="59">
        <f>IF(NOT((COUNTA($B74:$J74)+COUNTA($M74))&gt;0),"",IF((IF(B74="","Macroactividad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","")&amp;IF(ABS(SUM($F$5:$F$1000)-1)&gt;0.0001,"Pesos del puesto suman "&amp;TEXT(SUM($F$5:$F$1000),"0%")&amp;"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 OK","⚠ "&amp;LEFT(IF(B74="","Macroactividad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","")&amp;IF(ABS(SUM($F$5:$F$1000)-1)&gt;0.0001,"Pesos del puesto suman "&amp;TEXT(SUM($F$5:$F$1000),"0%")&amp;"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",""),LEN(IF(B74="","Macroactividad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","")&amp;IF(ABS(SUM($F$5:$F$1000)-1)&gt;0.0001,"Pesos del puesto suman "&amp;TEXT(SUM($F$5:$F$1000),"0%")&amp;"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",""))-3)))</f>
        <v/>
      </c>
    </row>
    <row r="75">
      <c r="A75" s="53">
        <f>IF(NOT((COUNTA($B75:$J75)+COUNTA($M75))&gt;0),"",COUNTIF($L$5:$L75,"?*"))</f>
        <v/>
      </c>
      <c r="B75" s="54" t="n"/>
      <c r="C75" s="54" t="n"/>
      <c r="D75" s="55" t="n"/>
      <c r="E75" s="55" t="n"/>
      <c r="F75" s="56" t="n"/>
      <c r="G75" s="57" t="n"/>
      <c r="H75" s="57" t="n"/>
      <c r="I75" s="57" t="n"/>
      <c r="J75" s="57" t="n"/>
      <c r="K75" s="58">
        <f>IF(NOT((COUNTA($B75:$J75)+COUNTA($M75))&gt;0),"",IFERROR(LOOKUP(2,1/(G75:J75&lt;&gt;""),G75:J75),0))</f>
        <v/>
      </c>
      <c r="L75" s="53">
        <f>IF(K75="","",IF(K75&gt;=1,"Completado",IF(K75&gt;0,"En curso","Pendiente")))</f>
        <v/>
      </c>
      <c r="M75" s="54" t="n"/>
      <c r="N75" s="59">
        <f>IF(NOT((COUNTA($B75:$J75)+COUNTA($M75))&gt;0),"",IF((IF(B75="","Macroactividad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","")&amp;IF(ABS(SUM($F$5:$F$1000)-1)&gt;0.0001,"Pesos del puesto suman "&amp;TEXT(SUM($F$5:$F$1000),"0%")&amp;"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 OK","⚠ "&amp;LEFT(IF(B75="","Macroactividad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","")&amp;IF(ABS(SUM($F$5:$F$1000)-1)&gt;0.0001,"Pesos del puesto suman "&amp;TEXT(SUM($F$5:$F$1000),"0%")&amp;"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",""),LEN(IF(B75="","Macroactividad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","")&amp;IF(ABS(SUM($F$5:$F$1000)-1)&gt;0.0001,"Pesos del puesto suman "&amp;TEXT(SUM($F$5:$F$1000),"0%")&amp;"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",""))-3)))</f>
        <v/>
      </c>
    </row>
    <row r="76">
      <c r="A76" s="53">
        <f>IF(NOT((COUNTA($B76:$J76)+COUNTA($M76))&gt;0),"",COUNTIF($L$5:$L76,"?*"))</f>
        <v/>
      </c>
      <c r="B76" s="54" t="n"/>
      <c r="C76" s="54" t="n"/>
      <c r="D76" s="55" t="n"/>
      <c r="E76" s="55" t="n"/>
      <c r="F76" s="56" t="n"/>
      <c r="G76" s="57" t="n"/>
      <c r="H76" s="57" t="n"/>
      <c r="I76" s="57" t="n"/>
      <c r="J76" s="57" t="n"/>
      <c r="K76" s="58">
        <f>IF(NOT((COUNTA($B76:$J76)+COUNTA($M76))&gt;0),"",IFERROR(LOOKUP(2,1/(G76:J76&lt;&gt;""),G76:J76),0))</f>
        <v/>
      </c>
      <c r="L76" s="53">
        <f>IF(K76="","",IF(K76&gt;=1,"Completado",IF(K76&gt;0,"En curso","Pendiente")))</f>
        <v/>
      </c>
      <c r="M76" s="54" t="n"/>
      <c r="N76" s="59">
        <f>IF(NOT((COUNTA($B76:$J76)+COUNTA($M76))&gt;0),"",IF((IF(B76="","Macroactividad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","")&amp;IF(ABS(SUM($F$5:$F$1000)-1)&gt;0.0001,"Pesos del puesto suman "&amp;TEXT(SUM($F$5:$F$1000),"0%")&amp;"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 OK","⚠ "&amp;LEFT(IF(B76="","Macroactividad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","")&amp;IF(ABS(SUM($F$5:$F$1000)-1)&gt;0.0001,"Pesos del puesto suman "&amp;TEXT(SUM($F$5:$F$1000),"0%")&amp;"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",""),LEN(IF(B76="","Macroactividad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","")&amp;IF(ABS(SUM($F$5:$F$1000)-1)&gt;0.0001,"Pesos del puesto suman "&amp;TEXT(SUM($F$5:$F$1000),"0%")&amp;"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",""))-3)))</f>
        <v/>
      </c>
    </row>
    <row r="77">
      <c r="A77" s="53">
        <f>IF(NOT((COUNTA($B77:$J77)+COUNTA($M77))&gt;0),"",COUNTIF($L$5:$L77,"?*"))</f>
        <v/>
      </c>
      <c r="B77" s="54" t="n"/>
      <c r="C77" s="54" t="n"/>
      <c r="D77" s="55" t="n"/>
      <c r="E77" s="55" t="n"/>
      <c r="F77" s="56" t="n"/>
      <c r="G77" s="57" t="n"/>
      <c r="H77" s="57" t="n"/>
      <c r="I77" s="57" t="n"/>
      <c r="J77" s="57" t="n"/>
      <c r="K77" s="58">
        <f>IF(NOT((COUNTA($B77:$J77)+COUNTA($M77))&gt;0),"",IFERROR(LOOKUP(2,1/(G77:J77&lt;&gt;""),G77:J77),0))</f>
        <v/>
      </c>
      <c r="L77" s="53">
        <f>IF(K77="","",IF(K77&gt;=1,"Completado",IF(K77&gt;0,"En curso","Pendiente")))</f>
        <v/>
      </c>
      <c r="M77" s="54" t="n"/>
      <c r="N77" s="59">
        <f>IF(NOT((COUNTA($B77:$J77)+COUNTA($M77))&gt;0),"",IF((IF(B77="","Macroactividad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","")&amp;IF(ABS(SUM($F$5:$F$1000)-1)&gt;0.0001,"Pesos del puesto suman "&amp;TEXT(SUM($F$5:$F$1000),"0%")&amp;"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 OK","⚠ "&amp;LEFT(IF(B77="","Macroactividad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","")&amp;IF(ABS(SUM($F$5:$F$1000)-1)&gt;0.0001,"Pesos del puesto suman "&amp;TEXT(SUM($F$5:$F$1000),"0%")&amp;"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",""),LEN(IF(B77="","Macroactividad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","")&amp;IF(ABS(SUM($F$5:$F$1000)-1)&gt;0.0001,"Pesos del puesto suman "&amp;TEXT(SUM($F$5:$F$1000),"0%")&amp;"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",""))-3)))</f>
        <v/>
      </c>
    </row>
    <row r="78">
      <c r="A78" s="53">
        <f>IF(NOT((COUNTA($B78:$J78)+COUNTA($M78))&gt;0),"",COUNTIF($L$5:$L78,"?*"))</f>
        <v/>
      </c>
      <c r="B78" s="54" t="n"/>
      <c r="C78" s="54" t="n"/>
      <c r="D78" s="55" t="n"/>
      <c r="E78" s="55" t="n"/>
      <c r="F78" s="56" t="n"/>
      <c r="G78" s="57" t="n"/>
      <c r="H78" s="57" t="n"/>
      <c r="I78" s="57" t="n"/>
      <c r="J78" s="57" t="n"/>
      <c r="K78" s="58">
        <f>IF(NOT((COUNTA($B78:$J78)+COUNTA($M78))&gt;0),"",IFERROR(LOOKUP(2,1/(G78:J78&lt;&gt;""),G78:J78),0))</f>
        <v/>
      </c>
      <c r="L78" s="53">
        <f>IF(K78="","",IF(K78&gt;=1,"Completado",IF(K78&gt;0,"En curso","Pendiente")))</f>
        <v/>
      </c>
      <c r="M78" s="54" t="n"/>
      <c r="N78" s="59">
        <f>IF(NOT((COUNTA($B78:$J78)+COUNTA($M78))&gt;0),"",IF((IF(B78="","Macroactividad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","")&amp;IF(ABS(SUM($F$5:$F$1000)-1)&gt;0.0001,"Pesos del puesto suman "&amp;TEXT(SUM($F$5:$F$1000),"0%")&amp;"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 OK","⚠ "&amp;LEFT(IF(B78="","Macroactividad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","")&amp;IF(ABS(SUM($F$5:$F$1000)-1)&gt;0.0001,"Pesos del puesto suman "&amp;TEXT(SUM($F$5:$F$1000),"0%")&amp;"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",""),LEN(IF(B78="","Macroactividad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","")&amp;IF(ABS(SUM($F$5:$F$1000)-1)&gt;0.0001,"Pesos del puesto suman "&amp;TEXT(SUM($F$5:$F$1000),"0%")&amp;"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",""))-3)))</f>
        <v/>
      </c>
    </row>
    <row r="79">
      <c r="A79" s="53">
        <f>IF(NOT((COUNTA($B79:$J79)+COUNTA($M79))&gt;0),"",COUNTIF($L$5:$L79,"?*"))</f>
        <v/>
      </c>
      <c r="B79" s="54" t="n"/>
      <c r="C79" s="54" t="n"/>
      <c r="D79" s="55" t="n"/>
      <c r="E79" s="55" t="n"/>
      <c r="F79" s="56" t="n"/>
      <c r="G79" s="57" t="n"/>
      <c r="H79" s="57" t="n"/>
      <c r="I79" s="57" t="n"/>
      <c r="J79" s="57" t="n"/>
      <c r="K79" s="58">
        <f>IF(NOT((COUNTA($B79:$J79)+COUNTA($M79))&gt;0),"",IFERROR(LOOKUP(2,1/(G79:J79&lt;&gt;""),G79:J79),0))</f>
        <v/>
      </c>
      <c r="L79" s="53">
        <f>IF(K79="","",IF(K79&gt;=1,"Completado",IF(K79&gt;0,"En curso","Pendiente")))</f>
        <v/>
      </c>
      <c r="M79" s="54" t="n"/>
      <c r="N79" s="59">
        <f>IF(NOT((COUNTA($B79:$J79)+COUNTA($M79))&gt;0),"",IF((IF(B79="","Macroactividad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","")&amp;IF(ABS(SUM($F$5:$F$1000)-1)&gt;0.0001,"Pesos del puesto suman "&amp;TEXT(SUM($F$5:$F$1000),"0%")&amp;"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 OK","⚠ "&amp;LEFT(IF(B79="","Macroactividad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","")&amp;IF(ABS(SUM($F$5:$F$1000)-1)&gt;0.0001,"Pesos del puesto suman "&amp;TEXT(SUM($F$5:$F$1000),"0%")&amp;"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",""),LEN(IF(B79="","Macroactividad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","")&amp;IF(ABS(SUM($F$5:$F$1000)-1)&gt;0.0001,"Pesos del puesto suman "&amp;TEXT(SUM($F$5:$F$1000),"0%")&amp;"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",""))-3)))</f>
        <v/>
      </c>
    </row>
    <row r="80">
      <c r="A80" s="53">
        <f>IF(NOT((COUNTA($B80:$J80)+COUNTA($M80))&gt;0),"",COUNTIF($L$5:$L80,"?*"))</f>
        <v/>
      </c>
      <c r="B80" s="54" t="n"/>
      <c r="C80" s="54" t="n"/>
      <c r="D80" s="55" t="n"/>
      <c r="E80" s="55" t="n"/>
      <c r="F80" s="56" t="n"/>
      <c r="G80" s="57" t="n"/>
      <c r="H80" s="57" t="n"/>
      <c r="I80" s="57" t="n"/>
      <c r="J80" s="57" t="n"/>
      <c r="K80" s="58">
        <f>IF(NOT((COUNTA($B80:$J80)+COUNTA($M80))&gt;0),"",IFERROR(LOOKUP(2,1/(G80:J80&lt;&gt;""),G80:J80),0))</f>
        <v/>
      </c>
      <c r="L80" s="53">
        <f>IF(K80="","",IF(K80&gt;=1,"Completado",IF(K80&gt;0,"En curso","Pendiente")))</f>
        <v/>
      </c>
      <c r="M80" s="54" t="n"/>
      <c r="N80" s="59">
        <f>IF(NOT((COUNTA($B80:$J80)+COUNTA($M80))&gt;0),"",IF((IF(B80="","Macroactividad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","")&amp;IF(ABS(SUM($F$5:$F$1000)-1)&gt;0.0001,"Pesos del puesto suman "&amp;TEXT(SUM($F$5:$F$1000),"0%")&amp;"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 OK","⚠ "&amp;LEFT(IF(B80="","Macroactividad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","")&amp;IF(ABS(SUM($F$5:$F$1000)-1)&gt;0.0001,"Pesos del puesto suman "&amp;TEXT(SUM($F$5:$F$1000),"0%")&amp;"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",""),LEN(IF(B80="","Macroactividad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","")&amp;IF(ABS(SUM($F$5:$F$1000)-1)&gt;0.0001,"Pesos del puesto suman "&amp;TEXT(SUM($F$5:$F$1000),"0%")&amp;"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",""))-3)))</f>
        <v/>
      </c>
    </row>
    <row r="81">
      <c r="A81" s="53">
        <f>IF(NOT((COUNTA($B81:$J81)+COUNTA($M81))&gt;0),"",COUNTIF($L$5:$L81,"?*"))</f>
        <v/>
      </c>
      <c r="B81" s="54" t="n"/>
      <c r="C81" s="54" t="n"/>
      <c r="D81" s="55" t="n"/>
      <c r="E81" s="55" t="n"/>
      <c r="F81" s="56" t="n"/>
      <c r="G81" s="57" t="n"/>
      <c r="H81" s="57" t="n"/>
      <c r="I81" s="57" t="n"/>
      <c r="J81" s="57" t="n"/>
      <c r="K81" s="58">
        <f>IF(NOT((COUNTA($B81:$J81)+COUNTA($M81))&gt;0),"",IFERROR(LOOKUP(2,1/(G81:J81&lt;&gt;""),G81:J81),0))</f>
        <v/>
      </c>
      <c r="L81" s="53">
        <f>IF(K81="","",IF(K81&gt;=1,"Completado",IF(K81&gt;0,"En curso","Pendiente")))</f>
        <v/>
      </c>
      <c r="M81" s="54" t="n"/>
      <c r="N81" s="59">
        <f>IF(NOT((COUNTA($B81:$J81)+COUNTA($M81))&gt;0),"",IF((IF(B81="","Macroactividad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","")&amp;IF(ABS(SUM($F$5:$F$1000)-1)&gt;0.0001,"Pesos del puesto suman "&amp;TEXT(SUM($F$5:$F$1000),"0%")&amp;"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 OK","⚠ "&amp;LEFT(IF(B81="","Macroactividad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","")&amp;IF(ABS(SUM($F$5:$F$1000)-1)&gt;0.0001,"Pesos del puesto suman "&amp;TEXT(SUM($F$5:$F$1000),"0%")&amp;"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",""),LEN(IF(B81="","Macroactividad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","")&amp;IF(ABS(SUM($F$5:$F$1000)-1)&gt;0.0001,"Pesos del puesto suman "&amp;TEXT(SUM($F$5:$F$1000),"0%")&amp;"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",""))-3)))</f>
        <v/>
      </c>
    </row>
    <row r="82">
      <c r="A82" s="53">
        <f>IF(NOT((COUNTA($B82:$J82)+COUNTA($M82))&gt;0),"",COUNTIF($L$5:$L82,"?*"))</f>
        <v/>
      </c>
      <c r="B82" s="54" t="n"/>
      <c r="C82" s="54" t="n"/>
      <c r="D82" s="55" t="n"/>
      <c r="E82" s="55" t="n"/>
      <c r="F82" s="56" t="n"/>
      <c r="G82" s="57" t="n"/>
      <c r="H82" s="57" t="n"/>
      <c r="I82" s="57" t="n"/>
      <c r="J82" s="57" t="n"/>
      <c r="K82" s="58">
        <f>IF(NOT((COUNTA($B82:$J82)+COUNTA($M82))&gt;0),"",IFERROR(LOOKUP(2,1/(G82:J82&lt;&gt;""),G82:J82),0))</f>
        <v/>
      </c>
      <c r="L82" s="53">
        <f>IF(K82="","",IF(K82&gt;=1,"Completado",IF(K82&gt;0,"En curso","Pendiente")))</f>
        <v/>
      </c>
      <c r="M82" s="54" t="n"/>
      <c r="N82" s="59">
        <f>IF(NOT((COUNTA($B82:$J82)+COUNTA($M82))&gt;0),"",IF((IF(B82="","Macroactividad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","")&amp;IF(ABS(SUM($F$5:$F$1000)-1)&gt;0.0001,"Pesos del puesto suman "&amp;TEXT(SUM($F$5:$F$1000),"0%")&amp;"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 OK","⚠ "&amp;LEFT(IF(B82="","Macroactividad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","")&amp;IF(ABS(SUM($F$5:$F$1000)-1)&gt;0.0001,"Pesos del puesto suman "&amp;TEXT(SUM($F$5:$F$1000),"0%")&amp;"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",""),LEN(IF(B82="","Macroactividad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","")&amp;IF(ABS(SUM($F$5:$F$1000)-1)&gt;0.0001,"Pesos del puesto suman "&amp;TEXT(SUM($F$5:$F$1000),"0%")&amp;"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",""))-3)))</f>
        <v/>
      </c>
    </row>
    <row r="83">
      <c r="A83" s="53">
        <f>IF(NOT((COUNTA($B83:$J83)+COUNTA($M83))&gt;0),"",COUNTIF($L$5:$L83,"?*"))</f>
        <v/>
      </c>
      <c r="B83" s="54" t="n"/>
      <c r="C83" s="54" t="n"/>
      <c r="D83" s="55" t="n"/>
      <c r="E83" s="55" t="n"/>
      <c r="F83" s="56" t="n"/>
      <c r="G83" s="57" t="n"/>
      <c r="H83" s="57" t="n"/>
      <c r="I83" s="57" t="n"/>
      <c r="J83" s="57" t="n"/>
      <c r="K83" s="58">
        <f>IF(NOT((COUNTA($B83:$J83)+COUNTA($M83))&gt;0),"",IFERROR(LOOKUP(2,1/(G83:J83&lt;&gt;""),G83:J83),0))</f>
        <v/>
      </c>
      <c r="L83" s="53">
        <f>IF(K83="","",IF(K83&gt;=1,"Completado",IF(K83&gt;0,"En curso","Pendiente")))</f>
        <v/>
      </c>
      <c r="M83" s="54" t="n"/>
      <c r="N83" s="59">
        <f>IF(NOT((COUNTA($B83:$J83)+COUNTA($M83))&gt;0),"",IF((IF(B83="","Macroactividad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","")&amp;IF(ABS(SUM($F$5:$F$1000)-1)&gt;0.0001,"Pesos del puesto suman "&amp;TEXT(SUM($F$5:$F$1000),"0%")&amp;"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 OK","⚠ "&amp;LEFT(IF(B83="","Macroactividad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","")&amp;IF(ABS(SUM($F$5:$F$1000)-1)&gt;0.0001,"Pesos del puesto suman "&amp;TEXT(SUM($F$5:$F$1000),"0%")&amp;"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",""),LEN(IF(B83="","Macroactividad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","")&amp;IF(ABS(SUM($F$5:$F$1000)-1)&gt;0.0001,"Pesos del puesto suman "&amp;TEXT(SUM($F$5:$F$1000),"0%")&amp;"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",""))-3)))</f>
        <v/>
      </c>
    </row>
    <row r="84">
      <c r="A84" s="53">
        <f>IF(NOT((COUNTA($B84:$J84)+COUNTA($M84))&gt;0),"",COUNTIF($L$5:$L84,"?*"))</f>
        <v/>
      </c>
      <c r="B84" s="54" t="n"/>
      <c r="C84" s="54" t="n"/>
      <c r="D84" s="55" t="n"/>
      <c r="E84" s="55" t="n"/>
      <c r="F84" s="56" t="n"/>
      <c r="G84" s="57" t="n"/>
      <c r="H84" s="57" t="n"/>
      <c r="I84" s="57" t="n"/>
      <c r="J84" s="57" t="n"/>
      <c r="K84" s="58">
        <f>IF(NOT((COUNTA($B84:$J84)+COUNTA($M84))&gt;0),"",IFERROR(LOOKUP(2,1/(G84:J84&lt;&gt;""),G84:J84),0))</f>
        <v/>
      </c>
      <c r="L84" s="53">
        <f>IF(K84="","",IF(K84&gt;=1,"Completado",IF(K84&gt;0,"En curso","Pendiente")))</f>
        <v/>
      </c>
      <c r="M84" s="54" t="n"/>
      <c r="N84" s="59">
        <f>IF(NOT((COUNTA($B84:$J84)+COUNTA($M84))&gt;0),"",IF((IF(B84="","Macroactividad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","")&amp;IF(ABS(SUM($F$5:$F$1000)-1)&gt;0.0001,"Pesos del puesto suman "&amp;TEXT(SUM($F$5:$F$1000),"0%")&amp;"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 OK","⚠ "&amp;LEFT(IF(B84="","Macroactividad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","")&amp;IF(ABS(SUM($F$5:$F$1000)-1)&gt;0.0001,"Pesos del puesto suman "&amp;TEXT(SUM($F$5:$F$1000),"0%")&amp;"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",""),LEN(IF(B84="","Macroactividad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","")&amp;IF(ABS(SUM($F$5:$F$1000)-1)&gt;0.0001,"Pesos del puesto suman "&amp;TEXT(SUM($F$5:$F$1000),"0%")&amp;"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",""))-3)))</f>
        <v/>
      </c>
    </row>
    <row r="85">
      <c r="A85" s="53">
        <f>IF(NOT((COUNTA($B85:$J85)+COUNTA($M85))&gt;0),"",COUNTIF($L$5:$L85,"?*"))</f>
        <v/>
      </c>
      <c r="B85" s="54" t="n"/>
      <c r="C85" s="54" t="n"/>
      <c r="D85" s="55" t="n"/>
      <c r="E85" s="55" t="n"/>
      <c r="F85" s="56" t="n"/>
      <c r="G85" s="57" t="n"/>
      <c r="H85" s="57" t="n"/>
      <c r="I85" s="57" t="n"/>
      <c r="J85" s="57" t="n"/>
      <c r="K85" s="58">
        <f>IF(NOT((COUNTA($B85:$J85)+COUNTA($M85))&gt;0),"",IFERROR(LOOKUP(2,1/(G85:J85&lt;&gt;""),G85:J85),0))</f>
        <v/>
      </c>
      <c r="L85" s="53">
        <f>IF(K85="","",IF(K85&gt;=1,"Completado",IF(K85&gt;0,"En curso","Pendiente")))</f>
        <v/>
      </c>
      <c r="M85" s="54" t="n"/>
      <c r="N85" s="59">
        <f>IF(NOT((COUNTA($B85:$J85)+COUNTA($M85))&gt;0),"",IF((IF(B85="","Macroactividad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","")&amp;IF(ABS(SUM($F$5:$F$1000)-1)&gt;0.0001,"Pesos del puesto suman "&amp;TEXT(SUM($F$5:$F$1000),"0%")&amp;"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 OK","⚠ "&amp;LEFT(IF(B85="","Macroactividad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","")&amp;IF(ABS(SUM($F$5:$F$1000)-1)&gt;0.0001,"Pesos del puesto suman "&amp;TEXT(SUM($F$5:$F$1000),"0%")&amp;"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",""),LEN(IF(B85="","Macroactividad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","")&amp;IF(ABS(SUM($F$5:$F$1000)-1)&gt;0.0001,"Pesos del puesto suman "&amp;TEXT(SUM($F$5:$F$1000),"0%")&amp;"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",""))-3)))</f>
        <v/>
      </c>
    </row>
    <row r="86">
      <c r="A86" s="53">
        <f>IF(NOT((COUNTA($B86:$J86)+COUNTA($M86))&gt;0),"",COUNTIF($L$5:$L86,"?*"))</f>
        <v/>
      </c>
      <c r="B86" s="54" t="n"/>
      <c r="C86" s="54" t="n"/>
      <c r="D86" s="55" t="n"/>
      <c r="E86" s="55" t="n"/>
      <c r="F86" s="56" t="n"/>
      <c r="G86" s="57" t="n"/>
      <c r="H86" s="57" t="n"/>
      <c r="I86" s="57" t="n"/>
      <c r="J86" s="57" t="n"/>
      <c r="K86" s="58">
        <f>IF(NOT((COUNTA($B86:$J86)+COUNTA($M86))&gt;0),"",IFERROR(LOOKUP(2,1/(G86:J86&lt;&gt;""),G86:J86),0))</f>
        <v/>
      </c>
      <c r="L86" s="53">
        <f>IF(K86="","",IF(K86&gt;=1,"Completado",IF(K86&gt;0,"En curso","Pendiente")))</f>
        <v/>
      </c>
      <c r="M86" s="54" t="n"/>
      <c r="N86" s="59">
        <f>IF(NOT((COUNTA($B86:$J86)+COUNTA($M86))&gt;0),"",IF((IF(B86="","Macroactividad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","")&amp;IF(ABS(SUM($F$5:$F$1000)-1)&gt;0.0001,"Pesos del puesto suman "&amp;TEXT(SUM($F$5:$F$1000),"0%")&amp;"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 OK","⚠ "&amp;LEFT(IF(B86="","Macroactividad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","")&amp;IF(ABS(SUM($F$5:$F$1000)-1)&gt;0.0001,"Pesos del puesto suman "&amp;TEXT(SUM($F$5:$F$1000),"0%")&amp;"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",""),LEN(IF(B86="","Macroactividad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","")&amp;IF(ABS(SUM($F$5:$F$1000)-1)&gt;0.0001,"Pesos del puesto suman "&amp;TEXT(SUM($F$5:$F$1000),"0%")&amp;"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",""))-3)))</f>
        <v/>
      </c>
    </row>
    <row r="87">
      <c r="A87" s="53">
        <f>IF(NOT((COUNTA($B87:$J87)+COUNTA($M87))&gt;0),"",COUNTIF($L$5:$L87,"?*"))</f>
        <v/>
      </c>
      <c r="B87" s="54" t="n"/>
      <c r="C87" s="54" t="n"/>
      <c r="D87" s="55" t="n"/>
      <c r="E87" s="55" t="n"/>
      <c r="F87" s="56" t="n"/>
      <c r="G87" s="57" t="n"/>
      <c r="H87" s="57" t="n"/>
      <c r="I87" s="57" t="n"/>
      <c r="J87" s="57" t="n"/>
      <c r="K87" s="58">
        <f>IF(NOT((COUNTA($B87:$J87)+COUNTA($M87))&gt;0),"",IFERROR(LOOKUP(2,1/(G87:J87&lt;&gt;""),G87:J87),0))</f>
        <v/>
      </c>
      <c r="L87" s="53">
        <f>IF(K87="","",IF(K87&gt;=1,"Completado",IF(K87&gt;0,"En curso","Pendiente")))</f>
        <v/>
      </c>
      <c r="M87" s="54" t="n"/>
      <c r="N87" s="59">
        <f>IF(NOT((COUNTA($B87:$J87)+COUNTA($M87))&gt;0),"",IF((IF(B87="","Macroactividad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","")&amp;IF(ABS(SUM($F$5:$F$1000)-1)&gt;0.0001,"Pesos del puesto suman "&amp;TEXT(SUM($F$5:$F$1000),"0%")&amp;"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 OK","⚠ "&amp;LEFT(IF(B87="","Macroactividad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","")&amp;IF(ABS(SUM($F$5:$F$1000)-1)&gt;0.0001,"Pesos del puesto suman "&amp;TEXT(SUM($F$5:$F$1000),"0%")&amp;"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",""),LEN(IF(B87="","Macroactividad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","")&amp;IF(ABS(SUM($F$5:$F$1000)-1)&gt;0.0001,"Pesos del puesto suman "&amp;TEXT(SUM($F$5:$F$1000),"0%")&amp;"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",""))-3)))</f>
        <v/>
      </c>
    </row>
    <row r="88">
      <c r="A88" s="53">
        <f>IF(NOT((COUNTA($B88:$J88)+COUNTA($M88))&gt;0),"",COUNTIF($L$5:$L88,"?*"))</f>
        <v/>
      </c>
      <c r="B88" s="54" t="n"/>
      <c r="C88" s="54" t="n"/>
      <c r="D88" s="55" t="n"/>
      <c r="E88" s="55" t="n"/>
      <c r="F88" s="56" t="n"/>
      <c r="G88" s="57" t="n"/>
      <c r="H88" s="57" t="n"/>
      <c r="I88" s="57" t="n"/>
      <c r="J88" s="57" t="n"/>
      <c r="K88" s="58">
        <f>IF(NOT((COUNTA($B88:$J88)+COUNTA($M88))&gt;0),"",IFERROR(LOOKUP(2,1/(G88:J88&lt;&gt;""),G88:J88),0))</f>
        <v/>
      </c>
      <c r="L88" s="53">
        <f>IF(K88="","",IF(K88&gt;=1,"Completado",IF(K88&gt;0,"En curso","Pendiente")))</f>
        <v/>
      </c>
      <c r="M88" s="54" t="n"/>
      <c r="N88" s="59">
        <f>IF(NOT((COUNTA($B88:$J88)+COUNTA($M88))&gt;0),"",IF((IF(B88="","Macroactividad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","")&amp;IF(ABS(SUM($F$5:$F$1000)-1)&gt;0.0001,"Pesos del puesto suman "&amp;TEXT(SUM($F$5:$F$1000),"0%")&amp;"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 OK","⚠ "&amp;LEFT(IF(B88="","Macroactividad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","")&amp;IF(ABS(SUM($F$5:$F$1000)-1)&gt;0.0001,"Pesos del puesto suman "&amp;TEXT(SUM($F$5:$F$1000),"0%")&amp;"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",""),LEN(IF(B88="","Macroactividad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","")&amp;IF(ABS(SUM($F$5:$F$1000)-1)&gt;0.0001,"Pesos del puesto suman "&amp;TEXT(SUM($F$5:$F$1000),"0%")&amp;"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",""))-3)))</f>
        <v/>
      </c>
    </row>
    <row r="89">
      <c r="A89" s="53">
        <f>IF(NOT((COUNTA($B89:$J89)+COUNTA($M89))&gt;0),"",COUNTIF($L$5:$L89,"?*"))</f>
        <v/>
      </c>
      <c r="B89" s="54" t="n"/>
      <c r="C89" s="54" t="n"/>
      <c r="D89" s="55" t="n"/>
      <c r="E89" s="55" t="n"/>
      <c r="F89" s="56" t="n"/>
      <c r="G89" s="57" t="n"/>
      <c r="H89" s="57" t="n"/>
      <c r="I89" s="57" t="n"/>
      <c r="J89" s="57" t="n"/>
      <c r="K89" s="58">
        <f>IF(NOT((COUNTA($B89:$J89)+COUNTA($M89))&gt;0),"",IFERROR(LOOKUP(2,1/(G89:J89&lt;&gt;""),G89:J89),0))</f>
        <v/>
      </c>
      <c r="L89" s="53">
        <f>IF(K89="","",IF(K89&gt;=1,"Completado",IF(K89&gt;0,"En curso","Pendiente")))</f>
        <v/>
      </c>
      <c r="M89" s="54" t="n"/>
      <c r="N89" s="59">
        <f>IF(NOT((COUNTA($B89:$J89)+COUNTA($M89))&gt;0),"",IF((IF(B89="","Macroactividad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","")&amp;IF(ABS(SUM($F$5:$F$1000)-1)&gt;0.0001,"Pesos del puesto suman "&amp;TEXT(SUM($F$5:$F$1000),"0%")&amp;"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 OK","⚠ "&amp;LEFT(IF(B89="","Macroactividad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","")&amp;IF(ABS(SUM($F$5:$F$1000)-1)&gt;0.0001,"Pesos del puesto suman "&amp;TEXT(SUM($F$5:$F$1000),"0%")&amp;"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",""),LEN(IF(B89="","Macroactividad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","")&amp;IF(ABS(SUM($F$5:$F$1000)-1)&gt;0.0001,"Pesos del puesto suman "&amp;TEXT(SUM($F$5:$F$1000),"0%")&amp;"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",""))-3)))</f>
        <v/>
      </c>
    </row>
    <row r="90">
      <c r="A90" s="53">
        <f>IF(NOT((COUNTA($B90:$J90)+COUNTA($M90))&gt;0),"",COUNTIF($L$5:$L90,"?*"))</f>
        <v/>
      </c>
      <c r="B90" s="54" t="n"/>
      <c r="C90" s="54" t="n"/>
      <c r="D90" s="55" t="n"/>
      <c r="E90" s="55" t="n"/>
      <c r="F90" s="56" t="n"/>
      <c r="G90" s="57" t="n"/>
      <c r="H90" s="57" t="n"/>
      <c r="I90" s="57" t="n"/>
      <c r="J90" s="57" t="n"/>
      <c r="K90" s="58">
        <f>IF(NOT((COUNTA($B90:$J90)+COUNTA($M90))&gt;0),"",IFERROR(LOOKUP(2,1/(G90:J90&lt;&gt;""),G90:J90),0))</f>
        <v/>
      </c>
      <c r="L90" s="53">
        <f>IF(K90="","",IF(K90&gt;=1,"Completado",IF(K90&gt;0,"En curso","Pendiente")))</f>
        <v/>
      </c>
      <c r="M90" s="54" t="n"/>
      <c r="N90" s="59">
        <f>IF(NOT((COUNTA($B90:$J90)+COUNTA($M90))&gt;0),"",IF((IF(B90="","Macroactividad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","")&amp;IF(ABS(SUM($F$5:$F$1000)-1)&gt;0.0001,"Pesos del puesto suman "&amp;TEXT(SUM($F$5:$F$1000),"0%")&amp;"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 OK","⚠ "&amp;LEFT(IF(B90="","Macroactividad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","")&amp;IF(ABS(SUM($F$5:$F$1000)-1)&gt;0.0001,"Pesos del puesto suman "&amp;TEXT(SUM($F$5:$F$1000),"0%")&amp;"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",""),LEN(IF(B90="","Macroactividad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","")&amp;IF(ABS(SUM($F$5:$F$1000)-1)&gt;0.0001,"Pesos del puesto suman "&amp;TEXT(SUM($F$5:$F$1000),"0%")&amp;"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",""))-3)))</f>
        <v/>
      </c>
    </row>
    <row r="91">
      <c r="A91" s="53">
        <f>IF(NOT((COUNTA($B91:$J91)+COUNTA($M91))&gt;0),"",COUNTIF($L$5:$L91,"?*"))</f>
        <v/>
      </c>
      <c r="B91" s="54" t="n"/>
      <c r="C91" s="54" t="n"/>
      <c r="D91" s="55" t="n"/>
      <c r="E91" s="55" t="n"/>
      <c r="F91" s="56" t="n"/>
      <c r="G91" s="57" t="n"/>
      <c r="H91" s="57" t="n"/>
      <c r="I91" s="57" t="n"/>
      <c r="J91" s="57" t="n"/>
      <c r="K91" s="58">
        <f>IF(NOT((COUNTA($B91:$J91)+COUNTA($M91))&gt;0),"",IFERROR(LOOKUP(2,1/(G91:J91&lt;&gt;""),G91:J91),0))</f>
        <v/>
      </c>
      <c r="L91" s="53">
        <f>IF(K91="","",IF(K91&gt;=1,"Completado",IF(K91&gt;0,"En curso","Pendiente")))</f>
        <v/>
      </c>
      <c r="M91" s="54" t="n"/>
      <c r="N91" s="59">
        <f>IF(NOT((COUNTA($B91:$J91)+COUNTA($M91))&gt;0),"",IF((IF(B91="","Macroactividad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","")&amp;IF(ABS(SUM($F$5:$F$1000)-1)&gt;0.0001,"Pesos del puesto suman "&amp;TEXT(SUM($F$5:$F$1000),"0%")&amp;"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 OK","⚠ "&amp;LEFT(IF(B91="","Macroactividad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","")&amp;IF(ABS(SUM($F$5:$F$1000)-1)&gt;0.0001,"Pesos del puesto suman "&amp;TEXT(SUM($F$5:$F$1000),"0%")&amp;"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",""),LEN(IF(B91="","Macroactividad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","")&amp;IF(ABS(SUM($F$5:$F$1000)-1)&gt;0.0001,"Pesos del puesto suman "&amp;TEXT(SUM($F$5:$F$1000),"0%")&amp;"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",""))-3)))</f>
        <v/>
      </c>
    </row>
    <row r="92">
      <c r="A92" s="53">
        <f>IF(NOT((COUNTA($B92:$J92)+COUNTA($M92))&gt;0),"",COUNTIF($L$5:$L92,"?*"))</f>
        <v/>
      </c>
      <c r="B92" s="54" t="n"/>
      <c r="C92" s="54" t="n"/>
      <c r="D92" s="55" t="n"/>
      <c r="E92" s="55" t="n"/>
      <c r="F92" s="56" t="n"/>
      <c r="G92" s="57" t="n"/>
      <c r="H92" s="57" t="n"/>
      <c r="I92" s="57" t="n"/>
      <c r="J92" s="57" t="n"/>
      <c r="K92" s="58">
        <f>IF(NOT((COUNTA($B92:$J92)+COUNTA($M92))&gt;0),"",IFERROR(LOOKUP(2,1/(G92:J92&lt;&gt;""),G92:J92),0))</f>
        <v/>
      </c>
      <c r="L92" s="53">
        <f>IF(K92="","",IF(K92&gt;=1,"Completado",IF(K92&gt;0,"En curso","Pendiente")))</f>
        <v/>
      </c>
      <c r="M92" s="54" t="n"/>
      <c r="N92" s="59">
        <f>IF(NOT((COUNTA($B92:$J92)+COUNTA($M92))&gt;0),"",IF((IF(B92="","Macroactividad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","")&amp;IF(ABS(SUM($F$5:$F$1000)-1)&gt;0.0001,"Pesos del puesto suman "&amp;TEXT(SUM($F$5:$F$1000),"0%")&amp;"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 OK","⚠ "&amp;LEFT(IF(B92="","Macroactividad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","")&amp;IF(ABS(SUM($F$5:$F$1000)-1)&gt;0.0001,"Pesos del puesto suman "&amp;TEXT(SUM($F$5:$F$1000),"0%")&amp;"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",""),LEN(IF(B92="","Macroactividad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","")&amp;IF(ABS(SUM($F$5:$F$1000)-1)&gt;0.0001,"Pesos del puesto suman "&amp;TEXT(SUM($F$5:$F$1000),"0%")&amp;"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",""))-3)))</f>
        <v/>
      </c>
    </row>
    <row r="93">
      <c r="A93" s="53">
        <f>IF(NOT((COUNTA($B93:$J93)+COUNTA($M93))&gt;0),"",COUNTIF($L$5:$L93,"?*"))</f>
        <v/>
      </c>
      <c r="B93" s="54" t="n"/>
      <c r="C93" s="54" t="n"/>
      <c r="D93" s="55" t="n"/>
      <c r="E93" s="55" t="n"/>
      <c r="F93" s="56" t="n"/>
      <c r="G93" s="57" t="n"/>
      <c r="H93" s="57" t="n"/>
      <c r="I93" s="57" t="n"/>
      <c r="J93" s="57" t="n"/>
      <c r="K93" s="58">
        <f>IF(NOT((COUNTA($B93:$J93)+COUNTA($M93))&gt;0),"",IFERROR(LOOKUP(2,1/(G93:J93&lt;&gt;""),G93:J93),0))</f>
        <v/>
      </c>
      <c r="L93" s="53">
        <f>IF(K93="","",IF(K93&gt;=1,"Completado",IF(K93&gt;0,"En curso","Pendiente")))</f>
        <v/>
      </c>
      <c r="M93" s="54" t="n"/>
      <c r="N93" s="59">
        <f>IF(NOT((COUNTA($B93:$J93)+COUNTA($M93))&gt;0),"",IF((IF(B93="","Macroactividad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","")&amp;IF(ABS(SUM($F$5:$F$1000)-1)&gt;0.0001,"Pesos del puesto suman "&amp;TEXT(SUM($F$5:$F$1000),"0%")&amp;"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 OK","⚠ "&amp;LEFT(IF(B93="","Macroactividad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","")&amp;IF(ABS(SUM($F$5:$F$1000)-1)&gt;0.0001,"Pesos del puesto suman "&amp;TEXT(SUM($F$5:$F$1000),"0%")&amp;"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",""),LEN(IF(B93="","Macroactividad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","")&amp;IF(ABS(SUM($F$5:$F$1000)-1)&gt;0.0001,"Pesos del puesto suman "&amp;TEXT(SUM($F$5:$F$1000),"0%")&amp;"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",""))-3)))</f>
        <v/>
      </c>
    </row>
    <row r="94">
      <c r="A94" s="53">
        <f>IF(NOT((COUNTA($B94:$J94)+COUNTA($M94))&gt;0),"",COUNTIF($L$5:$L94,"?*"))</f>
        <v/>
      </c>
      <c r="B94" s="54" t="n"/>
      <c r="C94" s="54" t="n"/>
      <c r="D94" s="55" t="n"/>
      <c r="E94" s="55" t="n"/>
      <c r="F94" s="56" t="n"/>
      <c r="G94" s="57" t="n"/>
      <c r="H94" s="57" t="n"/>
      <c r="I94" s="57" t="n"/>
      <c r="J94" s="57" t="n"/>
      <c r="K94" s="58">
        <f>IF(NOT((COUNTA($B94:$J94)+COUNTA($M94))&gt;0),"",IFERROR(LOOKUP(2,1/(G94:J94&lt;&gt;""),G94:J94),0))</f>
        <v/>
      </c>
      <c r="L94" s="53">
        <f>IF(K94="","",IF(K94&gt;=1,"Completado",IF(K94&gt;0,"En curso","Pendiente")))</f>
        <v/>
      </c>
      <c r="M94" s="54" t="n"/>
      <c r="N94" s="59">
        <f>IF(NOT((COUNTA($B94:$J94)+COUNTA($M94))&gt;0),"",IF((IF(B94="","Macroactividad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","")&amp;IF(ABS(SUM($F$5:$F$1000)-1)&gt;0.0001,"Pesos del puesto suman "&amp;TEXT(SUM($F$5:$F$1000),"0%")&amp;"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 OK","⚠ "&amp;LEFT(IF(B94="","Macroactividad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","")&amp;IF(ABS(SUM($F$5:$F$1000)-1)&gt;0.0001,"Pesos del puesto suman "&amp;TEXT(SUM($F$5:$F$1000),"0%")&amp;"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",""),LEN(IF(B94="","Macroactividad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","")&amp;IF(ABS(SUM($F$5:$F$1000)-1)&gt;0.0001,"Pesos del puesto suman "&amp;TEXT(SUM($F$5:$F$1000),"0%")&amp;"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",""))-3)))</f>
        <v/>
      </c>
    </row>
    <row r="95">
      <c r="A95" s="53">
        <f>IF(NOT((COUNTA($B95:$J95)+COUNTA($M95))&gt;0),"",COUNTIF($L$5:$L95,"?*"))</f>
        <v/>
      </c>
      <c r="B95" s="54" t="n"/>
      <c r="C95" s="54" t="n"/>
      <c r="D95" s="55" t="n"/>
      <c r="E95" s="55" t="n"/>
      <c r="F95" s="56" t="n"/>
      <c r="G95" s="57" t="n"/>
      <c r="H95" s="57" t="n"/>
      <c r="I95" s="57" t="n"/>
      <c r="J95" s="57" t="n"/>
      <c r="K95" s="58">
        <f>IF(NOT((COUNTA($B95:$J95)+COUNTA($M95))&gt;0),"",IFERROR(LOOKUP(2,1/(G95:J95&lt;&gt;""),G95:J95),0))</f>
        <v/>
      </c>
      <c r="L95" s="53">
        <f>IF(K95="","",IF(K95&gt;=1,"Completado",IF(K95&gt;0,"En curso","Pendiente")))</f>
        <v/>
      </c>
      <c r="M95" s="54" t="n"/>
      <c r="N95" s="59">
        <f>IF(NOT((COUNTA($B95:$J95)+COUNTA($M95))&gt;0),"",IF((IF(B95="","Macroactividad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","")&amp;IF(ABS(SUM($F$5:$F$1000)-1)&gt;0.0001,"Pesos del puesto suman "&amp;TEXT(SUM($F$5:$F$1000),"0%")&amp;"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 OK","⚠ "&amp;LEFT(IF(B95="","Macroactividad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","")&amp;IF(ABS(SUM($F$5:$F$1000)-1)&gt;0.0001,"Pesos del puesto suman "&amp;TEXT(SUM($F$5:$F$1000),"0%")&amp;"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",""),LEN(IF(B95="","Macroactividad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","")&amp;IF(ABS(SUM($F$5:$F$1000)-1)&gt;0.0001,"Pesos del puesto suman "&amp;TEXT(SUM($F$5:$F$1000),"0%")&amp;"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",""))-3)))</f>
        <v/>
      </c>
    </row>
    <row r="96">
      <c r="A96" s="53">
        <f>IF(NOT((COUNTA($B96:$J96)+COUNTA($M96))&gt;0),"",COUNTIF($L$5:$L96,"?*"))</f>
        <v/>
      </c>
      <c r="B96" s="54" t="n"/>
      <c r="C96" s="54" t="n"/>
      <c r="D96" s="55" t="n"/>
      <c r="E96" s="55" t="n"/>
      <c r="F96" s="56" t="n"/>
      <c r="G96" s="57" t="n"/>
      <c r="H96" s="57" t="n"/>
      <c r="I96" s="57" t="n"/>
      <c r="J96" s="57" t="n"/>
      <c r="K96" s="58">
        <f>IF(NOT((COUNTA($B96:$J96)+COUNTA($M96))&gt;0),"",IFERROR(LOOKUP(2,1/(G96:J96&lt;&gt;""),G96:J96),0))</f>
        <v/>
      </c>
      <c r="L96" s="53">
        <f>IF(K96="","",IF(K96&gt;=1,"Completado",IF(K96&gt;0,"En curso","Pendiente")))</f>
        <v/>
      </c>
      <c r="M96" s="54" t="n"/>
      <c r="N96" s="59">
        <f>IF(NOT((COUNTA($B96:$J96)+COUNTA($M96))&gt;0),"",IF((IF(B96="","Macroactividad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","")&amp;IF(ABS(SUM($F$5:$F$1000)-1)&gt;0.0001,"Pesos del puesto suman "&amp;TEXT(SUM($F$5:$F$1000),"0%")&amp;"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 OK","⚠ "&amp;LEFT(IF(B96="","Macroactividad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","")&amp;IF(ABS(SUM($F$5:$F$1000)-1)&gt;0.0001,"Pesos del puesto suman "&amp;TEXT(SUM($F$5:$F$1000),"0%")&amp;"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",""),LEN(IF(B96="","Macroactividad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","")&amp;IF(ABS(SUM($F$5:$F$1000)-1)&gt;0.0001,"Pesos del puesto suman "&amp;TEXT(SUM($F$5:$F$1000),"0%")&amp;"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",""))-3)))</f>
        <v/>
      </c>
    </row>
    <row r="97">
      <c r="A97" s="53">
        <f>IF(NOT((COUNTA($B97:$J97)+COUNTA($M97))&gt;0),"",COUNTIF($L$5:$L97,"?*"))</f>
        <v/>
      </c>
      <c r="B97" s="54" t="n"/>
      <c r="C97" s="54" t="n"/>
      <c r="D97" s="55" t="n"/>
      <c r="E97" s="55" t="n"/>
      <c r="F97" s="56" t="n"/>
      <c r="G97" s="57" t="n"/>
      <c r="H97" s="57" t="n"/>
      <c r="I97" s="57" t="n"/>
      <c r="J97" s="57" t="n"/>
      <c r="K97" s="58">
        <f>IF(NOT((COUNTA($B97:$J97)+COUNTA($M97))&gt;0),"",IFERROR(LOOKUP(2,1/(G97:J97&lt;&gt;""),G97:J97),0))</f>
        <v/>
      </c>
      <c r="L97" s="53">
        <f>IF(K97="","",IF(K97&gt;=1,"Completado",IF(K97&gt;0,"En curso","Pendiente")))</f>
        <v/>
      </c>
      <c r="M97" s="54" t="n"/>
      <c r="N97" s="59">
        <f>IF(NOT((COUNTA($B97:$J97)+COUNTA($M97))&gt;0),"",IF((IF(B97="","Macroactividad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","")&amp;IF(ABS(SUM($F$5:$F$1000)-1)&gt;0.0001,"Pesos del puesto suman "&amp;TEXT(SUM($F$5:$F$1000),"0%")&amp;"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 OK","⚠ "&amp;LEFT(IF(B97="","Macroactividad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","")&amp;IF(ABS(SUM($F$5:$F$1000)-1)&gt;0.0001,"Pesos del puesto suman "&amp;TEXT(SUM($F$5:$F$1000),"0%")&amp;"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",""),LEN(IF(B97="","Macroactividad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","")&amp;IF(ABS(SUM($F$5:$F$1000)-1)&gt;0.0001,"Pesos del puesto suman "&amp;TEXT(SUM($F$5:$F$1000),"0%")&amp;"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",""))-3)))</f>
        <v/>
      </c>
    </row>
    <row r="98">
      <c r="A98" s="53">
        <f>IF(NOT((COUNTA($B98:$J98)+COUNTA($M98))&gt;0),"",COUNTIF($L$5:$L98,"?*"))</f>
        <v/>
      </c>
      <c r="B98" s="54" t="n"/>
      <c r="C98" s="54" t="n"/>
      <c r="D98" s="55" t="n"/>
      <c r="E98" s="55" t="n"/>
      <c r="F98" s="56" t="n"/>
      <c r="G98" s="57" t="n"/>
      <c r="H98" s="57" t="n"/>
      <c r="I98" s="57" t="n"/>
      <c r="J98" s="57" t="n"/>
      <c r="K98" s="58">
        <f>IF(NOT((COUNTA($B98:$J98)+COUNTA($M98))&gt;0),"",IFERROR(LOOKUP(2,1/(G98:J98&lt;&gt;""),G98:J98),0))</f>
        <v/>
      </c>
      <c r="L98" s="53">
        <f>IF(K98="","",IF(K98&gt;=1,"Completado",IF(K98&gt;0,"En curso","Pendiente")))</f>
        <v/>
      </c>
      <c r="M98" s="54" t="n"/>
      <c r="N98" s="59">
        <f>IF(NOT((COUNTA($B98:$J98)+COUNTA($M98))&gt;0),"",IF((IF(B98="","Macroactividad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","")&amp;IF(ABS(SUM($F$5:$F$1000)-1)&gt;0.0001,"Pesos del puesto suman "&amp;TEXT(SUM($F$5:$F$1000),"0%")&amp;"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 OK","⚠ "&amp;LEFT(IF(B98="","Macroactividad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","")&amp;IF(ABS(SUM($F$5:$F$1000)-1)&gt;0.0001,"Pesos del puesto suman "&amp;TEXT(SUM($F$5:$F$1000),"0%")&amp;"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",""),LEN(IF(B98="","Macroactividad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","")&amp;IF(ABS(SUM($F$5:$F$1000)-1)&gt;0.0001,"Pesos del puesto suman "&amp;TEXT(SUM($F$5:$F$1000),"0%")&amp;"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",""))-3)))</f>
        <v/>
      </c>
    </row>
    <row r="99">
      <c r="A99" s="53">
        <f>IF(NOT((COUNTA($B99:$J99)+COUNTA($M99))&gt;0),"",COUNTIF($L$5:$L99,"?*"))</f>
        <v/>
      </c>
      <c r="B99" s="54" t="n"/>
      <c r="C99" s="54" t="n"/>
      <c r="D99" s="55" t="n"/>
      <c r="E99" s="55" t="n"/>
      <c r="F99" s="56" t="n"/>
      <c r="G99" s="57" t="n"/>
      <c r="H99" s="57" t="n"/>
      <c r="I99" s="57" t="n"/>
      <c r="J99" s="57" t="n"/>
      <c r="K99" s="58">
        <f>IF(NOT((COUNTA($B99:$J99)+COUNTA($M99))&gt;0),"",IFERROR(LOOKUP(2,1/(G99:J99&lt;&gt;""),G99:J99),0))</f>
        <v/>
      </c>
      <c r="L99" s="53">
        <f>IF(K99="","",IF(K99&gt;=1,"Completado",IF(K99&gt;0,"En curso","Pendiente")))</f>
        <v/>
      </c>
      <c r="M99" s="54" t="n"/>
      <c r="N99" s="59">
        <f>IF(NOT((COUNTA($B99:$J99)+COUNTA($M99))&gt;0),"",IF((IF(B99="","Macroactividad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","")&amp;IF(ABS(SUM($F$5:$F$1000)-1)&gt;0.0001,"Pesos del puesto suman "&amp;TEXT(SUM($F$5:$F$1000),"0%")&amp;"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 OK","⚠ "&amp;LEFT(IF(B99="","Macroactividad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","")&amp;IF(ABS(SUM($F$5:$F$1000)-1)&gt;0.0001,"Pesos del puesto suman "&amp;TEXT(SUM($F$5:$F$1000),"0%")&amp;"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",""),LEN(IF(B99="","Macroactividad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","")&amp;IF(ABS(SUM($F$5:$F$1000)-1)&gt;0.0001,"Pesos del puesto suman "&amp;TEXT(SUM($F$5:$F$1000),"0%")&amp;"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",""))-3)))</f>
        <v/>
      </c>
    </row>
    <row r="100">
      <c r="A100" s="53">
        <f>IF(NOT((COUNTA($B100:$J100)+COUNTA($M100))&gt;0),"",COUNTIF($L$5:$L100,"?*"))</f>
        <v/>
      </c>
      <c r="B100" s="54" t="n"/>
      <c r="C100" s="54" t="n"/>
      <c r="D100" s="55" t="n"/>
      <c r="E100" s="55" t="n"/>
      <c r="F100" s="56" t="n"/>
      <c r="G100" s="57" t="n"/>
      <c r="H100" s="57" t="n"/>
      <c r="I100" s="57" t="n"/>
      <c r="J100" s="57" t="n"/>
      <c r="K100" s="58">
        <f>IF(NOT((COUNTA($B100:$J100)+COUNTA($M100))&gt;0),"",IFERROR(LOOKUP(2,1/(G100:J100&lt;&gt;""),G100:J100),0))</f>
        <v/>
      </c>
      <c r="L100" s="53">
        <f>IF(K100="","",IF(K100&gt;=1,"Completado",IF(K100&gt;0,"En curso","Pendiente")))</f>
        <v/>
      </c>
      <c r="M100" s="54" t="n"/>
      <c r="N100" s="59">
        <f>IF(NOT((COUNTA($B100:$J100)+COUNTA($M100))&gt;0),"",IF((IF(B100="","Macroactividad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","")&amp;IF(ABS(SUM($F$5:$F$1000)-1)&gt;0.0001,"Pesos del puesto suman "&amp;TEXT(SUM($F$5:$F$1000),"0%")&amp;"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 OK","⚠ "&amp;LEFT(IF(B100="","Macroactividad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","")&amp;IF(ABS(SUM($F$5:$F$1000)-1)&gt;0.0001,"Pesos del puesto suman "&amp;TEXT(SUM($F$5:$F$1000),"0%")&amp;"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",""),LEN(IF(B100="","Macroactividad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","")&amp;IF(ABS(SUM($F$5:$F$1000)-1)&gt;0.0001,"Pesos del puesto suman "&amp;TEXT(SUM($F$5:$F$1000),"0%")&amp;"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",""))-3)))</f>
        <v/>
      </c>
    </row>
    <row r="101">
      <c r="A101" s="53">
        <f>IF(NOT((COUNTA($B101:$J101)+COUNTA($M101))&gt;0),"",COUNTIF($L$5:$L101,"?*"))</f>
        <v/>
      </c>
      <c r="B101" s="54" t="n"/>
      <c r="C101" s="54" t="n"/>
      <c r="D101" s="55" t="n"/>
      <c r="E101" s="55" t="n"/>
      <c r="F101" s="56" t="n"/>
      <c r="G101" s="57" t="n"/>
      <c r="H101" s="57" t="n"/>
      <c r="I101" s="57" t="n"/>
      <c r="J101" s="57" t="n"/>
      <c r="K101" s="58">
        <f>IF(NOT((COUNTA($B101:$J101)+COUNTA($M101))&gt;0),"",IFERROR(LOOKUP(2,1/(G101:J101&lt;&gt;""),G101:J101),0))</f>
        <v/>
      </c>
      <c r="L101" s="53">
        <f>IF(K101="","",IF(K101&gt;=1,"Completado",IF(K101&gt;0,"En curso","Pendiente")))</f>
        <v/>
      </c>
      <c r="M101" s="54" t="n"/>
      <c r="N101" s="59">
        <f>IF(NOT((COUNTA($B101:$J101)+COUNTA($M101))&gt;0),"",IF((IF(B101="","Macroactividad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","")&amp;IF(ABS(SUM($F$5:$F$1000)-1)&gt;0.0001,"Pesos del puesto suman "&amp;TEXT(SUM($F$5:$F$1000),"0%")&amp;"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 OK","⚠ "&amp;LEFT(IF(B101="","Macroactividad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","")&amp;IF(ABS(SUM($F$5:$F$1000)-1)&gt;0.0001,"Pesos del puesto suman "&amp;TEXT(SUM($F$5:$F$1000),"0%")&amp;"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",""),LEN(IF(B101="","Macroactividad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","")&amp;IF(ABS(SUM($F$5:$F$1000)-1)&gt;0.0001,"Pesos del puesto suman "&amp;TEXT(SUM($F$5:$F$1000),"0%")&amp;"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",""))-3)))</f>
        <v/>
      </c>
    </row>
    <row r="102">
      <c r="A102" s="53">
        <f>IF(NOT((COUNTA($B102:$J102)+COUNTA($M102))&gt;0),"",COUNTIF($L$5:$L102,"?*"))</f>
        <v/>
      </c>
      <c r="B102" s="54" t="n"/>
      <c r="C102" s="54" t="n"/>
      <c r="D102" s="55" t="n"/>
      <c r="E102" s="55" t="n"/>
      <c r="F102" s="56" t="n"/>
      <c r="G102" s="57" t="n"/>
      <c r="H102" s="57" t="n"/>
      <c r="I102" s="57" t="n"/>
      <c r="J102" s="57" t="n"/>
      <c r="K102" s="58">
        <f>IF(NOT((COUNTA($B102:$J102)+COUNTA($M102))&gt;0),"",IFERROR(LOOKUP(2,1/(G102:J102&lt;&gt;""),G102:J102),0))</f>
        <v/>
      </c>
      <c r="L102" s="53">
        <f>IF(K102="","",IF(K102&gt;=1,"Completado",IF(K102&gt;0,"En curso","Pendiente")))</f>
        <v/>
      </c>
      <c r="M102" s="54" t="n"/>
      <c r="N102" s="59">
        <f>IF(NOT((COUNTA($B102:$J102)+COUNTA($M102))&gt;0),"",IF((IF(B102="","Macroactividad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","")&amp;IF(ABS(SUM($F$5:$F$1000)-1)&gt;0.0001,"Pesos del puesto suman "&amp;TEXT(SUM($F$5:$F$1000),"0%")&amp;"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 OK","⚠ "&amp;LEFT(IF(B102="","Macroactividad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","")&amp;IF(ABS(SUM($F$5:$F$1000)-1)&gt;0.0001,"Pesos del puesto suman "&amp;TEXT(SUM($F$5:$F$1000),"0%")&amp;"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",""),LEN(IF(B102="","Macroactividad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","")&amp;IF(ABS(SUM($F$5:$F$1000)-1)&gt;0.0001,"Pesos del puesto suman "&amp;TEXT(SUM($F$5:$F$1000),"0%")&amp;"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",""))-3)))</f>
        <v/>
      </c>
    </row>
    <row r="103">
      <c r="A103" s="53">
        <f>IF(NOT((COUNTA($B103:$J103)+COUNTA($M103))&gt;0),"",COUNTIF($L$5:$L103,"?*"))</f>
        <v/>
      </c>
      <c r="B103" s="54" t="n"/>
      <c r="C103" s="54" t="n"/>
      <c r="D103" s="55" t="n"/>
      <c r="E103" s="55" t="n"/>
      <c r="F103" s="56" t="n"/>
      <c r="G103" s="57" t="n"/>
      <c r="H103" s="57" t="n"/>
      <c r="I103" s="57" t="n"/>
      <c r="J103" s="57" t="n"/>
      <c r="K103" s="58">
        <f>IF(NOT((COUNTA($B103:$J103)+COUNTA($M103))&gt;0),"",IFERROR(LOOKUP(2,1/(G103:J103&lt;&gt;""),G103:J103),0))</f>
        <v/>
      </c>
      <c r="L103" s="53">
        <f>IF(K103="","",IF(K103&gt;=1,"Completado",IF(K103&gt;0,"En curso","Pendiente")))</f>
        <v/>
      </c>
      <c r="M103" s="54" t="n"/>
      <c r="N103" s="59">
        <f>IF(NOT((COUNTA($B103:$J103)+COUNTA($M103))&gt;0),"",IF((IF(B103="","Macroactividad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","")&amp;IF(ABS(SUM($F$5:$F$1000)-1)&gt;0.0001,"Pesos del puesto suman "&amp;TEXT(SUM($F$5:$F$1000),"0%")&amp;"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 OK","⚠ "&amp;LEFT(IF(B103="","Macroactividad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","")&amp;IF(ABS(SUM($F$5:$F$1000)-1)&gt;0.0001,"Pesos del puesto suman "&amp;TEXT(SUM($F$5:$F$1000),"0%")&amp;"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",""),LEN(IF(B103="","Macroactividad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","")&amp;IF(ABS(SUM($F$5:$F$1000)-1)&gt;0.0001,"Pesos del puesto suman "&amp;TEXT(SUM($F$5:$F$1000),"0%")&amp;"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",""))-3)))</f>
        <v/>
      </c>
    </row>
    <row r="104">
      <c r="A104" s="53">
        <f>IF(NOT((COUNTA($B104:$J104)+COUNTA($M104))&gt;0),"",COUNTIF($L$5:$L104,"?*"))</f>
        <v/>
      </c>
      <c r="B104" s="54" t="n"/>
      <c r="C104" s="54" t="n"/>
      <c r="D104" s="55" t="n"/>
      <c r="E104" s="55" t="n"/>
      <c r="F104" s="56" t="n"/>
      <c r="G104" s="57" t="n"/>
      <c r="H104" s="57" t="n"/>
      <c r="I104" s="57" t="n"/>
      <c r="J104" s="57" t="n"/>
      <c r="K104" s="58">
        <f>IF(NOT((COUNTA($B104:$J104)+COUNTA($M104))&gt;0),"",IFERROR(LOOKUP(2,1/(G104:J104&lt;&gt;""),G104:J104),0))</f>
        <v/>
      </c>
      <c r="L104" s="53">
        <f>IF(K104="","",IF(K104&gt;=1,"Completado",IF(K104&gt;0,"En curso","Pendiente")))</f>
        <v/>
      </c>
      <c r="M104" s="54" t="n"/>
      <c r="N104" s="59">
        <f>IF(NOT((COUNTA($B104:$J104)+COUNTA($M104))&gt;0),"",IF((IF(B104="","Macroactividad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","")&amp;IF(ABS(SUM($F$5:$F$1000)-1)&gt;0.0001,"Pesos del puesto suman "&amp;TEXT(SUM($F$5:$F$1000),"0%")&amp;"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 OK","⚠ "&amp;LEFT(IF(B104="","Macroactividad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","")&amp;IF(ABS(SUM($F$5:$F$1000)-1)&gt;0.0001,"Pesos del puesto suman "&amp;TEXT(SUM($F$5:$F$1000),"0%")&amp;"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",""),LEN(IF(B104="","Macroactividad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","")&amp;IF(ABS(SUM($F$5:$F$1000)-1)&gt;0.0001,"Pesos del puesto suman "&amp;TEXT(SUM($F$5:$F$1000),"0%")&amp;"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",""))-3)))</f>
        <v/>
      </c>
    </row>
  </sheetData>
  <sheetProtection selectLockedCells="0" selectUnlockedCells="0" sheet="1" objects="0" insertRows="1" insertHyperlinks="1" autoFilter="0" scenarios="0" formatColumns="0" deleteColumns="1" insertColumns="1" pivotTables="1" deleteRows="1" formatCells="1" formatRows="0" sort="0"/>
  <mergeCells count="3">
    <mergeCell ref="E3:F3"/>
    <mergeCell ref="A2:N2"/>
    <mergeCell ref="A1:N1"/>
  </mergeCells>
  <conditionalFormatting sqref="E3:F3">
    <cfRule type="expression" priority="1" dxfId="1">
      <formula>LEFT($E$3,1)="⚠"</formula>
    </cfRule>
    <cfRule type="expression" priority="2" dxfId="0">
      <formula>LEFT($E$3,1)="✔"</formula>
    </cfRule>
  </conditionalFormatting>
  <conditionalFormatting sqref="L5:L1000">
    <cfRule type="expression" priority="3" dxfId="0">
      <formula>$L5="Completado"</formula>
    </cfRule>
    <cfRule type="expression" priority="4" dxfId="4">
      <formula>$L5="En curso"</formula>
    </cfRule>
    <cfRule type="expression" priority="5" dxfId="5">
      <formula>$L5="Pendiente"</formula>
    </cfRule>
  </conditionalFormatting>
  <conditionalFormatting sqref="K5:K1000">
    <cfRule type="expression" priority="6" dxfId="0">
      <formula>AND(ISNUMBER($K5),$K5&gt;=1)</formula>
    </cfRule>
    <cfRule type="dataBar" priority="7">
      <dataBar showValue="1">
        <cfvo type="num" val="0"/>
        <cfvo type="num" val="1"/>
        <color rgb="005B9BD5"/>
      </dataBar>
    </cfRule>
  </conditionalFormatting>
  <conditionalFormatting sqref="E5:E1000">
    <cfRule type="expression" priority="8" dxfId="6" stopIfTrue="1">
      <formula>AND(ISNUMBER($E5),$E5&lt;FechaRef,N($K5)&lt;1)</formula>
    </cfRule>
    <cfRule type="expression" priority="9" dxfId="7">
      <formula>AND(ISNUMBER($E5),$E5&gt;=FechaRef,$E5-FechaRef&lt;=DiasAlerta,N($K5)&lt;1)</formula>
    </cfRule>
  </conditionalFormatting>
  <conditionalFormatting sqref="B5:F1000">
    <cfRule type="expression" priority="10" dxfId="5">
      <formula>AND((COUNTA($B5:$J5)+COUNTA($M5))&gt;0,B5="")</formula>
    </cfRule>
  </conditionalFormatting>
  <conditionalFormatting sqref="D5:E1000">
    <cfRule type="expression" priority="11" dxfId="6">
      <formula>AND(ISNUMBER($D5),ISNUMBER($E5),$D5&gt;$E5)</formula>
    </cfRule>
  </conditionalFormatting>
  <conditionalFormatting sqref="F5:F1000">
    <cfRule type="expression" priority="12" dxfId="7">
      <formula>AND((COUNTA($B5:$J5)+COUNTA($M5))&gt;0,ABS(SUM($F$5:$F$1000)-1)&gt;0.0001)</formula>
    </cfRule>
  </conditionalFormatting>
  <conditionalFormatting sqref="G5:J1000">
    <cfRule type="expression" priority="13" dxfId="5" stopIfTrue="1">
      <formula>AND(G5&lt;&gt;"",OR(NOT(ISNUMBER(G5)),G5&gt;1,G5&lt;0))</formula>
    </cfRule>
  </conditionalFormatting>
  <conditionalFormatting sqref="H5:J1000">
    <cfRule type="expression" priority="14" dxfId="6">
      <formula>AND(H5&lt;&gt;"",H5&lt;MAX($G5:G5))</formula>
    </cfRule>
  </conditionalFormatting>
  <conditionalFormatting sqref="M5:M1000">
    <cfRule type="expression" priority="15" dxfId="5">
      <formula>AND(ObsObligatoria="Sí",ISNUMBER($E5),$E5&lt;FechaRef,N($K5)&lt;1,$M5="")</formula>
    </cfRule>
  </conditionalFormatting>
  <conditionalFormatting sqref="N5:N1000">
    <cfRule type="expression" priority="16" dxfId="5">
      <formula>LEFT($N5,1)="⚠"</formula>
    </cfRule>
    <cfRule type="expression" priority="17" dxfId="8">
      <formula>LEFT($N5,1)="✔"</formula>
    </cfRule>
  </conditionalFormatting>
  <dataValidations count="3">
    <dataValidation sqref="D5:D1000 E5:E1000" showDropDown="0" showInputMessage="0" showErrorMessage="1" allowBlank="1" errorTitle="Fecha no válida" error="Ingrese una fecha válida (dd/mm/aaaa)." type="date" operator="greaterThan">
      <formula1>36526</formula1>
    </dataValidation>
    <dataValidation sqref="F5:F1000" showDropDown="0" showInputMessage="1" showErrorMessage="1" allowBlank="1" errorTitle="Peso no válido" error="Ingrese un porcentaje entre 0% y 100% (por ejemplo 25%)." promptTitle="Peso de actividad" prompt="Qué tanto vale esta actividad. La suma de esta hoja debe ser 100%." type="decimal" operator="between">
      <formula1>0</formula1>
      <formula2>1</formula2>
    </dataValidation>
    <dataValidation sqref="G5:J1000" showDropDown="0" showInputMessage="1" showErrorMessage="1" allowBlank="1" errorTitle="Avance no válido" error="Ingrese un porcentaje entre 0% y 100%. Deje la celda vacía si la semana no ha llegado." promptTitle="Avance acumulado" prompt="% TOTAL logrado hasta esta semana (no solo lo de la semana)." type="decimal" operator="between">
      <formula1>0</formula1>
      <formula2>1</formula2>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548235"/>
    <outlinePr summaryBelow="1" summaryRight="1"/>
    <pageSetUpPr fitToPage="1"/>
  </sheetPr>
  <dimension ref="A1:M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22" customWidth="1" min="3" max="3"/>
    <col width="12" customWidth="1" min="4" max="4"/>
    <col width="12" customWidth="1" min="5" max="5"/>
    <col width="16" customWidth="1" min="6" max="6"/>
    <col width="11" customWidth="1" min="7" max="7"/>
    <col width="11" customWidth="1" min="8" max="8"/>
    <col width="11" customWidth="1" min="9" max="9"/>
    <col width="11" customWidth="1" min="10" max="10"/>
    <col width="12" customWidth="1" min="11" max="11"/>
    <col width="13" customWidth="1" min="12" max="12"/>
    <col width="46" customWidth="1" min="13" max="13"/>
  </cols>
  <sheetData>
    <row r="1" ht="28" customHeight="1">
      <c r="A1" s="66" t="inlineStr">
        <is>
          <t>Actividades por semana – Riesgo Financiero</t>
        </is>
      </c>
      <c r="B1" s="66" t="n"/>
      <c r="C1" s="66" t="n"/>
      <c r="D1" s="66" t="n"/>
      <c r="E1" s="66" t="n"/>
      <c r="F1" s="66" t="n"/>
      <c r="G1" s="66" t="n"/>
      <c r="H1" s="66" t="n"/>
      <c r="I1" s="66" t="n"/>
      <c r="J1" s="66" t="n"/>
      <c r="K1" s="66" t="n"/>
      <c r="L1" s="66" t="n"/>
      <c r="M1" s="66" t="n"/>
    </row>
    <row r="2" ht="32" customHeight="1">
      <c r="A2" s="60" t="inlineStr">
        <is>
          <t>HOJA AUTOMÁTICA: se actualiza sola con lo que se escribe en «Cronograma R. Financiero». No hay que escribir nada aquí. La barra de color marca las semanas en que cada actividad está programada (de la fecha de inicio a la fecha límite) y dentro aparece el avance registrado en esa semana.</t>
        </is>
      </c>
      <c r="B2" s="60" t="n"/>
      <c r="C2" s="60" t="n"/>
      <c r="D2" s="60" t="n"/>
      <c r="E2" s="60" t="n"/>
      <c r="F2" s="60" t="n"/>
      <c r="G2" s="60" t="n"/>
      <c r="H2" s="60" t="n"/>
      <c r="I2" s="60" t="n"/>
      <c r="J2" s="60" t="n"/>
      <c r="K2" s="60" t="n"/>
      <c r="L2" s="60" t="n"/>
      <c r="M2" s="60" t="n"/>
    </row>
    <row r="3">
      <c r="F3" s="61" t="inlineStr">
        <is>
          <t>Semana del:</t>
        </is>
      </c>
      <c r="G3" s="62">
        <f>(InicioCiclo+0)</f>
        <v/>
      </c>
      <c r="H3" s="62">
        <f>(InicioCiclo+7)</f>
        <v/>
      </c>
      <c r="I3" s="62">
        <f>(InicioCiclo+14)</f>
        <v/>
      </c>
      <c r="J3" s="62">
        <f>(InicioCiclo+21)</f>
        <v/>
      </c>
    </row>
    <row r="4" ht="34" customHeight="1">
      <c r="A4" s="52" t="inlineStr">
        <is>
          <t>N°</t>
        </is>
      </c>
      <c r="B4" s="52" t="inlineStr">
        <is>
          <t>Macro Actividad</t>
        </is>
      </c>
      <c r="C4" s="52" t="inlineStr">
        <is>
          <t>Responsable</t>
        </is>
      </c>
      <c r="D4" s="52" t="inlineStr">
        <is>
          <t>Fecha de inicio</t>
        </is>
      </c>
      <c r="E4" s="52" t="inlineStr">
        <is>
          <t>Fecha límite</t>
        </is>
      </c>
      <c r="F4" s="52" t="inlineStr">
        <is>
          <t>Semana de entrega</t>
        </is>
      </c>
      <c r="G4" s="67" t="inlineStr">
        <is>
          <t>Semana 1</t>
        </is>
      </c>
      <c r="H4" s="67" t="inlineStr">
        <is>
          <t>Semana 2</t>
        </is>
      </c>
      <c r="I4" s="67" t="inlineStr">
        <is>
          <t>Semana 3</t>
        </is>
      </c>
      <c r="J4" s="67" t="inlineStr">
        <is>
          <t>Semana 4</t>
        </is>
      </c>
      <c r="K4" s="52" t="inlineStr">
        <is>
          <t>% Avance actual</t>
        </is>
      </c>
      <c r="L4" s="52" t="inlineStr">
        <is>
          <t>Estado</t>
        </is>
      </c>
      <c r="M4" s="52" t="inlineStr">
        <is>
          <t>Observaciones</t>
        </is>
      </c>
    </row>
    <row r="5">
      <c r="A5" s="22">
        <f>IF('Cronograma R. Financiero'!$A5="","",'Cronograma R. Financiero'!$A5)</f>
        <v/>
      </c>
      <c r="B5" s="41">
        <f>IF('Cronograma R. Financiero'!$A5="","",'Cronograma R. Financiero'!$B5&amp;"")</f>
        <v/>
      </c>
      <c r="C5" s="41">
        <f>IF('Cronograma R. Financiero'!$A5="","",'Cronograma R. Financiero'!$C5&amp;"")</f>
        <v/>
      </c>
      <c r="D5" s="63">
        <f>IF(OR('Cronograma R. Financiero'!$A5="",'Cronograma R. Financiero'!$D5=""),"",'Cronograma R. Financiero'!$D5)</f>
        <v/>
      </c>
      <c r="E5" s="63">
        <f>IF(OR('Cronograma R. Financiero'!$A5="",'Cronograma R. Financiero'!$E5=""),"",'Cronograma R. Financiero'!$E5)</f>
        <v/>
      </c>
      <c r="F5" s="22">
        <f>IF(OR('Cronograma R. Financiero'!$A5="",NOT(ISNUMBER('Cronograma R. Financiero'!$E5))),"",IF('Cronograma R. Financiero'!$E5&lt;InicioCiclo,"Antes del ciclo",IF('Cronograma R. Financiero'!$E5&gt;=InicioCiclo+28,"Después del ciclo","Semana "&amp;(INT(('Cronograma R. Financiero'!$E5-InicioCiclo)/7)+1))))</f>
        <v/>
      </c>
      <c r="G5" s="20">
        <f>IF(OR('Cronograma R. Financiero'!$A5="",'Cronograma R. Financiero'!$G5=""),"",'Cronograma R. Financiero'!$G5)</f>
        <v/>
      </c>
      <c r="H5" s="20">
        <f>IF(OR('Cronograma R. Financiero'!$A5="",'Cronograma R. Financiero'!$H5=""),"",'Cronograma R. Financiero'!$H5)</f>
        <v/>
      </c>
      <c r="I5" s="20">
        <f>IF(OR('Cronograma R. Financiero'!$A5="",'Cronograma R. Financiero'!$I5=""),"",'Cronograma R. Financiero'!$I5)</f>
        <v/>
      </c>
      <c r="J5" s="20">
        <f>IF(OR('Cronograma R. Financiero'!$A5="",'Cronograma R. Financiero'!$J5=""),"",'Cronograma R. Financiero'!$J5)</f>
        <v/>
      </c>
      <c r="K5" s="20">
        <f>IF('Cronograma R. Financiero'!$A5="","",'Cronograma R. Financiero'!$K5)</f>
        <v/>
      </c>
      <c r="L5" s="22">
        <f>IF('Cronograma R. Financiero'!$A5="","",IF(N('Cronograma R. Financiero'!$K5)&gt;=1,"Completado",IF(AND(ISNUMBER('Cronograma R. Financiero'!$E5),'Cronograma R. Financiero'!$E5&lt;FechaRef),"Vencida",IF(N('Cronograma R. Financiero'!$K5)&gt;0,"En curso","Pendiente"))))</f>
        <v/>
      </c>
      <c r="M5" s="41">
        <f>IF('Cronograma R. Financiero'!$A5="","",'Cronograma R. Financiero'!$M5&amp;"")</f>
        <v/>
      </c>
    </row>
    <row r="6">
      <c r="A6" s="22">
        <f>IF('Cronograma R. Financiero'!$A6="","",'Cronograma R. Financiero'!$A6)</f>
        <v/>
      </c>
      <c r="B6" s="41">
        <f>IF('Cronograma R. Financiero'!$A6="","",'Cronograma R. Financiero'!$B6&amp;"")</f>
        <v/>
      </c>
      <c r="C6" s="41">
        <f>IF('Cronograma R. Financiero'!$A6="","",'Cronograma R. Financiero'!$C6&amp;"")</f>
        <v/>
      </c>
      <c r="D6" s="63">
        <f>IF(OR('Cronograma R. Financiero'!$A6="",'Cronograma R. Financiero'!$D6=""),"",'Cronograma R. Financiero'!$D6)</f>
        <v/>
      </c>
      <c r="E6" s="63">
        <f>IF(OR('Cronograma R. Financiero'!$A6="",'Cronograma R. Financiero'!$E6=""),"",'Cronograma R. Financiero'!$E6)</f>
        <v/>
      </c>
      <c r="F6" s="22">
        <f>IF(OR('Cronograma R. Financiero'!$A6="",NOT(ISNUMBER('Cronograma R. Financiero'!$E6))),"",IF('Cronograma R. Financiero'!$E6&lt;InicioCiclo,"Antes del ciclo",IF('Cronograma R. Financiero'!$E6&gt;=InicioCiclo+28,"Después del ciclo","Semana "&amp;(INT(('Cronograma R. Financiero'!$E6-InicioCiclo)/7)+1))))</f>
        <v/>
      </c>
      <c r="G6" s="20">
        <f>IF(OR('Cronograma R. Financiero'!$A6="",'Cronograma R. Financiero'!$G6=""),"",'Cronograma R. Financiero'!$G6)</f>
        <v/>
      </c>
      <c r="H6" s="20">
        <f>IF(OR('Cronograma R. Financiero'!$A6="",'Cronograma R. Financiero'!$H6=""),"",'Cronograma R. Financiero'!$H6)</f>
        <v/>
      </c>
      <c r="I6" s="20">
        <f>IF(OR('Cronograma R. Financiero'!$A6="",'Cronograma R. Financiero'!$I6=""),"",'Cronograma R. Financiero'!$I6)</f>
        <v/>
      </c>
      <c r="J6" s="20">
        <f>IF(OR('Cronograma R. Financiero'!$A6="",'Cronograma R. Financiero'!$J6=""),"",'Cronograma R. Financiero'!$J6)</f>
        <v/>
      </c>
      <c r="K6" s="20">
        <f>IF('Cronograma R. Financiero'!$A6="","",'Cronograma R. Financiero'!$K6)</f>
        <v/>
      </c>
      <c r="L6" s="22">
        <f>IF('Cronograma R. Financiero'!$A6="","",IF(N('Cronograma R. Financiero'!$K6)&gt;=1,"Completado",IF(AND(ISNUMBER('Cronograma R. Financiero'!$E6),'Cronograma R. Financiero'!$E6&lt;FechaRef),"Vencida",IF(N('Cronograma R. Financiero'!$K6)&gt;0,"En curso","Pendiente"))))</f>
        <v/>
      </c>
      <c r="M6" s="41">
        <f>IF('Cronograma R. Financiero'!$A6="","",'Cronograma R. Financiero'!$M6&amp;"")</f>
        <v/>
      </c>
    </row>
    <row r="7">
      <c r="A7" s="22">
        <f>IF('Cronograma R. Financiero'!$A7="","",'Cronograma R. Financiero'!$A7)</f>
        <v/>
      </c>
      <c r="B7" s="41">
        <f>IF('Cronograma R. Financiero'!$A7="","",'Cronograma R. Financiero'!$B7&amp;"")</f>
        <v/>
      </c>
      <c r="C7" s="41">
        <f>IF('Cronograma R. Financiero'!$A7="","",'Cronograma R. Financiero'!$C7&amp;"")</f>
        <v/>
      </c>
      <c r="D7" s="63">
        <f>IF(OR('Cronograma R. Financiero'!$A7="",'Cronograma R. Financiero'!$D7=""),"",'Cronograma R. Financiero'!$D7)</f>
        <v/>
      </c>
      <c r="E7" s="63">
        <f>IF(OR('Cronograma R. Financiero'!$A7="",'Cronograma R. Financiero'!$E7=""),"",'Cronograma R. Financiero'!$E7)</f>
        <v/>
      </c>
      <c r="F7" s="22">
        <f>IF(OR('Cronograma R. Financiero'!$A7="",NOT(ISNUMBER('Cronograma R. Financiero'!$E7))),"",IF('Cronograma R. Financiero'!$E7&lt;InicioCiclo,"Antes del ciclo",IF('Cronograma R. Financiero'!$E7&gt;=InicioCiclo+28,"Después del ciclo","Semana "&amp;(INT(('Cronograma R. Financiero'!$E7-InicioCiclo)/7)+1))))</f>
        <v/>
      </c>
      <c r="G7" s="20">
        <f>IF(OR('Cronograma R. Financiero'!$A7="",'Cronograma R. Financiero'!$G7=""),"",'Cronograma R. Financiero'!$G7)</f>
        <v/>
      </c>
      <c r="H7" s="20">
        <f>IF(OR('Cronograma R. Financiero'!$A7="",'Cronograma R. Financiero'!$H7=""),"",'Cronograma R. Financiero'!$H7)</f>
        <v/>
      </c>
      <c r="I7" s="20">
        <f>IF(OR('Cronograma R. Financiero'!$A7="",'Cronograma R. Financiero'!$I7=""),"",'Cronograma R. Financiero'!$I7)</f>
        <v/>
      </c>
      <c r="J7" s="20">
        <f>IF(OR('Cronograma R. Financiero'!$A7="",'Cronograma R. Financiero'!$J7=""),"",'Cronograma R. Financiero'!$J7)</f>
        <v/>
      </c>
      <c r="K7" s="20">
        <f>IF('Cronograma R. Financiero'!$A7="","",'Cronograma R. Financiero'!$K7)</f>
        <v/>
      </c>
      <c r="L7" s="22">
        <f>IF('Cronograma R. Financiero'!$A7="","",IF(N('Cronograma R. Financiero'!$K7)&gt;=1,"Completado",IF(AND(ISNUMBER('Cronograma R. Financiero'!$E7),'Cronograma R. Financiero'!$E7&lt;FechaRef),"Vencida",IF(N('Cronograma R. Financiero'!$K7)&gt;0,"En curso","Pendiente"))))</f>
        <v/>
      </c>
      <c r="M7" s="41">
        <f>IF('Cronograma R. Financiero'!$A7="","",'Cronograma R. Financiero'!$M7&amp;"")</f>
        <v/>
      </c>
    </row>
    <row r="8">
      <c r="A8" s="22">
        <f>IF('Cronograma R. Financiero'!$A8="","",'Cronograma R. Financiero'!$A8)</f>
        <v/>
      </c>
      <c r="B8" s="41">
        <f>IF('Cronograma R. Financiero'!$A8="","",'Cronograma R. Financiero'!$B8&amp;"")</f>
        <v/>
      </c>
      <c r="C8" s="41">
        <f>IF('Cronograma R. Financiero'!$A8="","",'Cronograma R. Financiero'!$C8&amp;"")</f>
        <v/>
      </c>
      <c r="D8" s="63">
        <f>IF(OR('Cronograma R. Financiero'!$A8="",'Cronograma R. Financiero'!$D8=""),"",'Cronograma R. Financiero'!$D8)</f>
        <v/>
      </c>
      <c r="E8" s="63">
        <f>IF(OR('Cronograma R. Financiero'!$A8="",'Cronograma R. Financiero'!$E8=""),"",'Cronograma R. Financiero'!$E8)</f>
        <v/>
      </c>
      <c r="F8" s="22">
        <f>IF(OR('Cronograma R. Financiero'!$A8="",NOT(ISNUMBER('Cronograma R. Financiero'!$E8))),"",IF('Cronograma R. Financiero'!$E8&lt;InicioCiclo,"Antes del ciclo",IF('Cronograma R. Financiero'!$E8&gt;=InicioCiclo+28,"Después del ciclo","Semana "&amp;(INT(('Cronograma R. Financiero'!$E8-InicioCiclo)/7)+1))))</f>
        <v/>
      </c>
      <c r="G8" s="20">
        <f>IF(OR('Cronograma R. Financiero'!$A8="",'Cronograma R. Financiero'!$G8=""),"",'Cronograma R. Financiero'!$G8)</f>
        <v/>
      </c>
      <c r="H8" s="20">
        <f>IF(OR('Cronograma R. Financiero'!$A8="",'Cronograma R. Financiero'!$H8=""),"",'Cronograma R. Financiero'!$H8)</f>
        <v/>
      </c>
      <c r="I8" s="20">
        <f>IF(OR('Cronograma R. Financiero'!$A8="",'Cronograma R. Financiero'!$I8=""),"",'Cronograma R. Financiero'!$I8)</f>
        <v/>
      </c>
      <c r="J8" s="20">
        <f>IF(OR('Cronograma R. Financiero'!$A8="",'Cronograma R. Financiero'!$J8=""),"",'Cronograma R. Financiero'!$J8)</f>
        <v/>
      </c>
      <c r="K8" s="20">
        <f>IF('Cronograma R. Financiero'!$A8="","",'Cronograma R. Financiero'!$K8)</f>
        <v/>
      </c>
      <c r="L8" s="22">
        <f>IF('Cronograma R. Financiero'!$A8="","",IF(N('Cronograma R. Financiero'!$K8)&gt;=1,"Completado",IF(AND(ISNUMBER('Cronograma R. Financiero'!$E8),'Cronograma R. Financiero'!$E8&lt;FechaRef),"Vencida",IF(N('Cronograma R. Financiero'!$K8)&gt;0,"En curso","Pendiente"))))</f>
        <v/>
      </c>
      <c r="M8" s="41">
        <f>IF('Cronograma R. Financiero'!$A8="","",'Cronograma R. Financiero'!$M8&amp;"")</f>
        <v/>
      </c>
    </row>
    <row r="9">
      <c r="A9" s="22">
        <f>IF('Cronograma R. Financiero'!$A9="","",'Cronograma R. Financiero'!$A9)</f>
        <v/>
      </c>
      <c r="B9" s="41">
        <f>IF('Cronograma R. Financiero'!$A9="","",'Cronograma R. Financiero'!$B9&amp;"")</f>
        <v/>
      </c>
      <c r="C9" s="41">
        <f>IF('Cronograma R. Financiero'!$A9="","",'Cronograma R. Financiero'!$C9&amp;"")</f>
        <v/>
      </c>
      <c r="D9" s="63">
        <f>IF(OR('Cronograma R. Financiero'!$A9="",'Cronograma R. Financiero'!$D9=""),"",'Cronograma R. Financiero'!$D9)</f>
        <v/>
      </c>
      <c r="E9" s="63">
        <f>IF(OR('Cronograma R. Financiero'!$A9="",'Cronograma R. Financiero'!$E9=""),"",'Cronograma R. Financiero'!$E9)</f>
        <v/>
      </c>
      <c r="F9" s="22">
        <f>IF(OR('Cronograma R. Financiero'!$A9="",NOT(ISNUMBER('Cronograma R. Financiero'!$E9))),"",IF('Cronograma R. Financiero'!$E9&lt;InicioCiclo,"Antes del ciclo",IF('Cronograma R. Financiero'!$E9&gt;=InicioCiclo+28,"Después del ciclo","Semana "&amp;(INT(('Cronograma R. Financiero'!$E9-InicioCiclo)/7)+1))))</f>
        <v/>
      </c>
      <c r="G9" s="20">
        <f>IF(OR('Cronograma R. Financiero'!$A9="",'Cronograma R. Financiero'!$G9=""),"",'Cronograma R. Financiero'!$G9)</f>
        <v/>
      </c>
      <c r="H9" s="20">
        <f>IF(OR('Cronograma R. Financiero'!$A9="",'Cronograma R. Financiero'!$H9=""),"",'Cronograma R. Financiero'!$H9)</f>
        <v/>
      </c>
      <c r="I9" s="20">
        <f>IF(OR('Cronograma R. Financiero'!$A9="",'Cronograma R. Financiero'!$I9=""),"",'Cronograma R. Financiero'!$I9)</f>
        <v/>
      </c>
      <c r="J9" s="20">
        <f>IF(OR('Cronograma R. Financiero'!$A9="",'Cronograma R. Financiero'!$J9=""),"",'Cronograma R. Financiero'!$J9)</f>
        <v/>
      </c>
      <c r="K9" s="20">
        <f>IF('Cronograma R. Financiero'!$A9="","",'Cronograma R. Financiero'!$K9)</f>
        <v/>
      </c>
      <c r="L9" s="22">
        <f>IF('Cronograma R. Financiero'!$A9="","",IF(N('Cronograma R. Financiero'!$K9)&gt;=1,"Completado",IF(AND(ISNUMBER('Cronograma R. Financiero'!$E9),'Cronograma R. Financiero'!$E9&lt;FechaRef),"Vencida",IF(N('Cronograma R. Financiero'!$K9)&gt;0,"En curso","Pendiente"))))</f>
        <v/>
      </c>
      <c r="M9" s="41">
        <f>IF('Cronograma R. Financiero'!$A9="","",'Cronograma R. Financiero'!$M9&amp;"")</f>
        <v/>
      </c>
    </row>
    <row r="10">
      <c r="A10" s="22">
        <f>IF('Cronograma R. Financiero'!$A10="","",'Cronograma R. Financiero'!$A10)</f>
        <v/>
      </c>
      <c r="B10" s="41">
        <f>IF('Cronograma R. Financiero'!$A10="","",'Cronograma R. Financiero'!$B10&amp;"")</f>
        <v/>
      </c>
      <c r="C10" s="41">
        <f>IF('Cronograma R. Financiero'!$A10="","",'Cronograma R. Financiero'!$C10&amp;"")</f>
        <v/>
      </c>
      <c r="D10" s="63">
        <f>IF(OR('Cronograma R. Financiero'!$A10="",'Cronograma R. Financiero'!$D10=""),"",'Cronograma R. Financiero'!$D10)</f>
        <v/>
      </c>
      <c r="E10" s="63">
        <f>IF(OR('Cronograma R. Financiero'!$A10="",'Cronograma R. Financiero'!$E10=""),"",'Cronograma R. Financiero'!$E10)</f>
        <v/>
      </c>
      <c r="F10" s="22">
        <f>IF(OR('Cronograma R. Financiero'!$A10="",NOT(ISNUMBER('Cronograma R. Financiero'!$E10))),"",IF('Cronograma R. Financiero'!$E10&lt;InicioCiclo,"Antes del ciclo",IF('Cronograma R. Financiero'!$E10&gt;=InicioCiclo+28,"Después del ciclo","Semana "&amp;(INT(('Cronograma R. Financiero'!$E10-InicioCiclo)/7)+1))))</f>
        <v/>
      </c>
      <c r="G10" s="20">
        <f>IF(OR('Cronograma R. Financiero'!$A10="",'Cronograma R. Financiero'!$G10=""),"",'Cronograma R. Financiero'!$G10)</f>
        <v/>
      </c>
      <c r="H10" s="20">
        <f>IF(OR('Cronograma R. Financiero'!$A10="",'Cronograma R. Financiero'!$H10=""),"",'Cronograma R. Financiero'!$H10)</f>
        <v/>
      </c>
      <c r="I10" s="20">
        <f>IF(OR('Cronograma R. Financiero'!$A10="",'Cronograma R. Financiero'!$I10=""),"",'Cronograma R. Financiero'!$I10)</f>
        <v/>
      </c>
      <c r="J10" s="20">
        <f>IF(OR('Cronograma R. Financiero'!$A10="",'Cronograma R. Financiero'!$J10=""),"",'Cronograma R. Financiero'!$J10)</f>
        <v/>
      </c>
      <c r="K10" s="20">
        <f>IF('Cronograma R. Financiero'!$A10="","",'Cronograma R. Financiero'!$K10)</f>
        <v/>
      </c>
      <c r="L10" s="22">
        <f>IF('Cronograma R. Financiero'!$A10="","",IF(N('Cronograma R. Financiero'!$K10)&gt;=1,"Completado",IF(AND(ISNUMBER('Cronograma R. Financiero'!$E10),'Cronograma R. Financiero'!$E10&lt;FechaRef),"Vencida",IF(N('Cronograma R. Financiero'!$K10)&gt;0,"En curso","Pendiente"))))</f>
        <v/>
      </c>
      <c r="M10" s="41">
        <f>IF('Cronograma R. Financiero'!$A10="","",'Cronograma R. Financiero'!$M10&amp;"")</f>
        <v/>
      </c>
    </row>
    <row r="11">
      <c r="A11" s="22">
        <f>IF('Cronograma R. Financiero'!$A11="","",'Cronograma R. Financiero'!$A11)</f>
        <v/>
      </c>
      <c r="B11" s="41">
        <f>IF('Cronograma R. Financiero'!$A11="","",'Cronograma R. Financiero'!$B11&amp;"")</f>
        <v/>
      </c>
      <c r="C11" s="41">
        <f>IF('Cronograma R. Financiero'!$A11="","",'Cronograma R. Financiero'!$C11&amp;"")</f>
        <v/>
      </c>
      <c r="D11" s="63">
        <f>IF(OR('Cronograma R. Financiero'!$A11="",'Cronograma R. Financiero'!$D11=""),"",'Cronograma R. Financiero'!$D11)</f>
        <v/>
      </c>
      <c r="E11" s="63">
        <f>IF(OR('Cronograma R. Financiero'!$A11="",'Cronograma R. Financiero'!$E11=""),"",'Cronograma R. Financiero'!$E11)</f>
        <v/>
      </c>
      <c r="F11" s="22">
        <f>IF(OR('Cronograma R. Financiero'!$A11="",NOT(ISNUMBER('Cronograma R. Financiero'!$E11))),"",IF('Cronograma R. Financiero'!$E11&lt;InicioCiclo,"Antes del ciclo",IF('Cronograma R. Financiero'!$E11&gt;=InicioCiclo+28,"Después del ciclo","Semana "&amp;(INT(('Cronograma R. Financiero'!$E11-InicioCiclo)/7)+1))))</f>
        <v/>
      </c>
      <c r="G11" s="20">
        <f>IF(OR('Cronograma R. Financiero'!$A11="",'Cronograma R. Financiero'!$G11=""),"",'Cronograma R. Financiero'!$G11)</f>
        <v/>
      </c>
      <c r="H11" s="20">
        <f>IF(OR('Cronograma R. Financiero'!$A11="",'Cronograma R. Financiero'!$H11=""),"",'Cronograma R. Financiero'!$H11)</f>
        <v/>
      </c>
      <c r="I11" s="20">
        <f>IF(OR('Cronograma R. Financiero'!$A11="",'Cronograma R. Financiero'!$I11=""),"",'Cronograma R. Financiero'!$I11)</f>
        <v/>
      </c>
      <c r="J11" s="20">
        <f>IF(OR('Cronograma R. Financiero'!$A11="",'Cronograma R. Financiero'!$J11=""),"",'Cronograma R. Financiero'!$J11)</f>
        <v/>
      </c>
      <c r="K11" s="20">
        <f>IF('Cronograma R. Financiero'!$A11="","",'Cronograma R. Financiero'!$K11)</f>
        <v/>
      </c>
      <c r="L11" s="22">
        <f>IF('Cronograma R. Financiero'!$A11="","",IF(N('Cronograma R. Financiero'!$K11)&gt;=1,"Completado",IF(AND(ISNUMBER('Cronograma R. Financiero'!$E11),'Cronograma R. Financiero'!$E11&lt;FechaRef),"Vencida",IF(N('Cronograma R. Financiero'!$K11)&gt;0,"En curso","Pendiente"))))</f>
        <v/>
      </c>
      <c r="M11" s="41">
        <f>IF('Cronograma R. Financiero'!$A11="","",'Cronograma R. Financiero'!$M11&amp;"")</f>
        <v/>
      </c>
    </row>
    <row r="12">
      <c r="A12" s="22">
        <f>IF('Cronograma R. Financiero'!$A12="","",'Cronograma R. Financiero'!$A12)</f>
        <v/>
      </c>
      <c r="B12" s="41">
        <f>IF('Cronograma R. Financiero'!$A12="","",'Cronograma R. Financiero'!$B12&amp;"")</f>
        <v/>
      </c>
      <c r="C12" s="41">
        <f>IF('Cronograma R. Financiero'!$A12="","",'Cronograma R. Financiero'!$C12&amp;"")</f>
        <v/>
      </c>
      <c r="D12" s="63">
        <f>IF(OR('Cronograma R. Financiero'!$A12="",'Cronograma R. Financiero'!$D12=""),"",'Cronograma R. Financiero'!$D12)</f>
        <v/>
      </c>
      <c r="E12" s="63">
        <f>IF(OR('Cronograma R. Financiero'!$A12="",'Cronograma R. Financiero'!$E12=""),"",'Cronograma R. Financiero'!$E12)</f>
        <v/>
      </c>
      <c r="F12" s="22">
        <f>IF(OR('Cronograma R. Financiero'!$A12="",NOT(ISNUMBER('Cronograma R. Financiero'!$E12))),"",IF('Cronograma R. Financiero'!$E12&lt;InicioCiclo,"Antes del ciclo",IF('Cronograma R. Financiero'!$E12&gt;=InicioCiclo+28,"Después del ciclo","Semana "&amp;(INT(('Cronograma R. Financiero'!$E12-InicioCiclo)/7)+1))))</f>
        <v/>
      </c>
      <c r="G12" s="20">
        <f>IF(OR('Cronograma R. Financiero'!$A12="",'Cronograma R. Financiero'!$G12=""),"",'Cronograma R. Financiero'!$G12)</f>
        <v/>
      </c>
      <c r="H12" s="20">
        <f>IF(OR('Cronograma R. Financiero'!$A12="",'Cronograma R. Financiero'!$H12=""),"",'Cronograma R. Financiero'!$H12)</f>
        <v/>
      </c>
      <c r="I12" s="20">
        <f>IF(OR('Cronograma R. Financiero'!$A12="",'Cronograma R. Financiero'!$I12=""),"",'Cronograma R. Financiero'!$I12)</f>
        <v/>
      </c>
      <c r="J12" s="20">
        <f>IF(OR('Cronograma R. Financiero'!$A12="",'Cronograma R. Financiero'!$J12=""),"",'Cronograma R. Financiero'!$J12)</f>
        <v/>
      </c>
      <c r="K12" s="20">
        <f>IF('Cronograma R. Financiero'!$A12="","",'Cronograma R. Financiero'!$K12)</f>
        <v/>
      </c>
      <c r="L12" s="22">
        <f>IF('Cronograma R. Financiero'!$A12="","",IF(N('Cronograma R. Financiero'!$K12)&gt;=1,"Completado",IF(AND(ISNUMBER('Cronograma R. Financiero'!$E12),'Cronograma R. Financiero'!$E12&lt;FechaRef),"Vencida",IF(N('Cronograma R. Financiero'!$K12)&gt;0,"En curso","Pendiente"))))</f>
        <v/>
      </c>
      <c r="M12" s="41">
        <f>IF('Cronograma R. Financiero'!$A12="","",'Cronograma R. Financiero'!$M12&amp;"")</f>
        <v/>
      </c>
    </row>
    <row r="13">
      <c r="A13" s="22">
        <f>IF('Cronograma R. Financiero'!$A13="","",'Cronograma R. Financiero'!$A13)</f>
        <v/>
      </c>
      <c r="B13" s="41">
        <f>IF('Cronograma R. Financiero'!$A13="","",'Cronograma R. Financiero'!$B13&amp;"")</f>
        <v/>
      </c>
      <c r="C13" s="41">
        <f>IF('Cronograma R. Financiero'!$A13="","",'Cronograma R. Financiero'!$C13&amp;"")</f>
        <v/>
      </c>
      <c r="D13" s="63">
        <f>IF(OR('Cronograma R. Financiero'!$A13="",'Cronograma R. Financiero'!$D13=""),"",'Cronograma R. Financiero'!$D13)</f>
        <v/>
      </c>
      <c r="E13" s="63">
        <f>IF(OR('Cronograma R. Financiero'!$A13="",'Cronograma R. Financiero'!$E13=""),"",'Cronograma R. Financiero'!$E13)</f>
        <v/>
      </c>
      <c r="F13" s="22">
        <f>IF(OR('Cronograma R. Financiero'!$A13="",NOT(ISNUMBER('Cronograma R. Financiero'!$E13))),"",IF('Cronograma R. Financiero'!$E13&lt;InicioCiclo,"Antes del ciclo",IF('Cronograma R. Financiero'!$E13&gt;=InicioCiclo+28,"Después del ciclo","Semana "&amp;(INT(('Cronograma R. Financiero'!$E13-InicioCiclo)/7)+1))))</f>
        <v/>
      </c>
      <c r="G13" s="20">
        <f>IF(OR('Cronograma R. Financiero'!$A13="",'Cronograma R. Financiero'!$G13=""),"",'Cronograma R. Financiero'!$G13)</f>
        <v/>
      </c>
      <c r="H13" s="20">
        <f>IF(OR('Cronograma R. Financiero'!$A13="",'Cronograma R. Financiero'!$H13=""),"",'Cronograma R. Financiero'!$H13)</f>
        <v/>
      </c>
      <c r="I13" s="20">
        <f>IF(OR('Cronograma R. Financiero'!$A13="",'Cronograma R. Financiero'!$I13=""),"",'Cronograma R. Financiero'!$I13)</f>
        <v/>
      </c>
      <c r="J13" s="20">
        <f>IF(OR('Cronograma R. Financiero'!$A13="",'Cronograma R. Financiero'!$J13=""),"",'Cronograma R. Financiero'!$J13)</f>
        <v/>
      </c>
      <c r="K13" s="20">
        <f>IF('Cronograma R. Financiero'!$A13="","",'Cronograma R. Financiero'!$K13)</f>
        <v/>
      </c>
      <c r="L13" s="22">
        <f>IF('Cronograma R. Financiero'!$A13="","",IF(N('Cronograma R. Financiero'!$K13)&gt;=1,"Completado",IF(AND(ISNUMBER('Cronograma R. Financiero'!$E13),'Cronograma R. Financiero'!$E13&lt;FechaRef),"Vencida",IF(N('Cronograma R. Financiero'!$K13)&gt;0,"En curso","Pendiente"))))</f>
        <v/>
      </c>
      <c r="M13" s="41">
        <f>IF('Cronograma R. Financiero'!$A13="","",'Cronograma R. Financiero'!$M13&amp;"")</f>
        <v/>
      </c>
    </row>
    <row r="14">
      <c r="A14" s="22">
        <f>IF('Cronograma R. Financiero'!$A14="","",'Cronograma R. Financiero'!$A14)</f>
        <v/>
      </c>
      <c r="B14" s="41">
        <f>IF('Cronograma R. Financiero'!$A14="","",'Cronograma R. Financiero'!$B14&amp;"")</f>
        <v/>
      </c>
      <c r="C14" s="41">
        <f>IF('Cronograma R. Financiero'!$A14="","",'Cronograma R. Financiero'!$C14&amp;"")</f>
        <v/>
      </c>
      <c r="D14" s="63">
        <f>IF(OR('Cronograma R. Financiero'!$A14="",'Cronograma R. Financiero'!$D14=""),"",'Cronograma R. Financiero'!$D14)</f>
        <v/>
      </c>
      <c r="E14" s="63">
        <f>IF(OR('Cronograma R. Financiero'!$A14="",'Cronograma R. Financiero'!$E14=""),"",'Cronograma R. Financiero'!$E14)</f>
        <v/>
      </c>
      <c r="F14" s="22">
        <f>IF(OR('Cronograma R. Financiero'!$A14="",NOT(ISNUMBER('Cronograma R. Financiero'!$E14))),"",IF('Cronograma R. Financiero'!$E14&lt;InicioCiclo,"Antes del ciclo",IF('Cronograma R. Financiero'!$E14&gt;=InicioCiclo+28,"Después del ciclo","Semana "&amp;(INT(('Cronograma R. Financiero'!$E14-InicioCiclo)/7)+1))))</f>
        <v/>
      </c>
      <c r="G14" s="20">
        <f>IF(OR('Cronograma R. Financiero'!$A14="",'Cronograma R. Financiero'!$G14=""),"",'Cronograma R. Financiero'!$G14)</f>
        <v/>
      </c>
      <c r="H14" s="20">
        <f>IF(OR('Cronograma R. Financiero'!$A14="",'Cronograma R. Financiero'!$H14=""),"",'Cronograma R. Financiero'!$H14)</f>
        <v/>
      </c>
      <c r="I14" s="20">
        <f>IF(OR('Cronograma R. Financiero'!$A14="",'Cronograma R. Financiero'!$I14=""),"",'Cronograma R. Financiero'!$I14)</f>
        <v/>
      </c>
      <c r="J14" s="20">
        <f>IF(OR('Cronograma R. Financiero'!$A14="",'Cronograma R. Financiero'!$J14=""),"",'Cronograma R. Financiero'!$J14)</f>
        <v/>
      </c>
      <c r="K14" s="20">
        <f>IF('Cronograma R. Financiero'!$A14="","",'Cronograma R. Financiero'!$K14)</f>
        <v/>
      </c>
      <c r="L14" s="22">
        <f>IF('Cronograma R. Financiero'!$A14="","",IF(N('Cronograma R. Financiero'!$K14)&gt;=1,"Completado",IF(AND(ISNUMBER('Cronograma R. Financiero'!$E14),'Cronograma R. Financiero'!$E14&lt;FechaRef),"Vencida",IF(N('Cronograma R. Financiero'!$K14)&gt;0,"En curso","Pendiente"))))</f>
        <v/>
      </c>
      <c r="M14" s="41">
        <f>IF('Cronograma R. Financiero'!$A14="","",'Cronograma R. Financiero'!$M14&amp;"")</f>
        <v/>
      </c>
    </row>
    <row r="15">
      <c r="A15" s="22">
        <f>IF('Cronograma R. Financiero'!$A15="","",'Cronograma R. Financiero'!$A15)</f>
        <v/>
      </c>
      <c r="B15" s="41">
        <f>IF('Cronograma R. Financiero'!$A15="","",'Cronograma R. Financiero'!$B15&amp;"")</f>
        <v/>
      </c>
      <c r="C15" s="41">
        <f>IF('Cronograma R. Financiero'!$A15="","",'Cronograma R. Financiero'!$C15&amp;"")</f>
        <v/>
      </c>
      <c r="D15" s="63">
        <f>IF(OR('Cronograma R. Financiero'!$A15="",'Cronograma R. Financiero'!$D15=""),"",'Cronograma R. Financiero'!$D15)</f>
        <v/>
      </c>
      <c r="E15" s="63">
        <f>IF(OR('Cronograma R. Financiero'!$A15="",'Cronograma R. Financiero'!$E15=""),"",'Cronograma R. Financiero'!$E15)</f>
        <v/>
      </c>
      <c r="F15" s="22">
        <f>IF(OR('Cronograma R. Financiero'!$A15="",NOT(ISNUMBER('Cronograma R. Financiero'!$E15))),"",IF('Cronograma R. Financiero'!$E15&lt;InicioCiclo,"Antes del ciclo",IF('Cronograma R. Financiero'!$E15&gt;=InicioCiclo+28,"Después del ciclo","Semana "&amp;(INT(('Cronograma R. Financiero'!$E15-InicioCiclo)/7)+1))))</f>
        <v/>
      </c>
      <c r="G15" s="20">
        <f>IF(OR('Cronograma R. Financiero'!$A15="",'Cronograma R. Financiero'!$G15=""),"",'Cronograma R. Financiero'!$G15)</f>
        <v/>
      </c>
      <c r="H15" s="20">
        <f>IF(OR('Cronograma R. Financiero'!$A15="",'Cronograma R. Financiero'!$H15=""),"",'Cronograma R. Financiero'!$H15)</f>
        <v/>
      </c>
      <c r="I15" s="20">
        <f>IF(OR('Cronograma R. Financiero'!$A15="",'Cronograma R. Financiero'!$I15=""),"",'Cronograma R. Financiero'!$I15)</f>
        <v/>
      </c>
      <c r="J15" s="20">
        <f>IF(OR('Cronograma R. Financiero'!$A15="",'Cronograma R. Financiero'!$J15=""),"",'Cronograma R. Financiero'!$J15)</f>
        <v/>
      </c>
      <c r="K15" s="20">
        <f>IF('Cronograma R. Financiero'!$A15="","",'Cronograma R. Financiero'!$K15)</f>
        <v/>
      </c>
      <c r="L15" s="22">
        <f>IF('Cronograma R. Financiero'!$A15="","",IF(N('Cronograma R. Financiero'!$K15)&gt;=1,"Completado",IF(AND(ISNUMBER('Cronograma R. Financiero'!$E15),'Cronograma R. Financiero'!$E15&lt;FechaRef),"Vencida",IF(N('Cronograma R. Financiero'!$K15)&gt;0,"En curso","Pendiente"))))</f>
        <v/>
      </c>
      <c r="M15" s="41">
        <f>IF('Cronograma R. Financiero'!$A15="","",'Cronograma R. Financiero'!$M15&amp;"")</f>
        <v/>
      </c>
    </row>
    <row r="16">
      <c r="A16" s="22">
        <f>IF('Cronograma R. Financiero'!$A16="","",'Cronograma R. Financiero'!$A16)</f>
        <v/>
      </c>
      <c r="B16" s="41">
        <f>IF('Cronograma R. Financiero'!$A16="","",'Cronograma R. Financiero'!$B16&amp;"")</f>
        <v/>
      </c>
      <c r="C16" s="41">
        <f>IF('Cronograma R. Financiero'!$A16="","",'Cronograma R. Financiero'!$C16&amp;"")</f>
        <v/>
      </c>
      <c r="D16" s="63">
        <f>IF(OR('Cronograma R. Financiero'!$A16="",'Cronograma R. Financiero'!$D16=""),"",'Cronograma R. Financiero'!$D16)</f>
        <v/>
      </c>
      <c r="E16" s="63">
        <f>IF(OR('Cronograma R. Financiero'!$A16="",'Cronograma R. Financiero'!$E16=""),"",'Cronograma R. Financiero'!$E16)</f>
        <v/>
      </c>
      <c r="F16" s="22">
        <f>IF(OR('Cronograma R. Financiero'!$A16="",NOT(ISNUMBER('Cronograma R. Financiero'!$E16))),"",IF('Cronograma R. Financiero'!$E16&lt;InicioCiclo,"Antes del ciclo",IF('Cronograma R. Financiero'!$E16&gt;=InicioCiclo+28,"Después del ciclo","Semana "&amp;(INT(('Cronograma R. Financiero'!$E16-InicioCiclo)/7)+1))))</f>
        <v/>
      </c>
      <c r="G16" s="20">
        <f>IF(OR('Cronograma R. Financiero'!$A16="",'Cronograma R. Financiero'!$G16=""),"",'Cronograma R. Financiero'!$G16)</f>
        <v/>
      </c>
      <c r="H16" s="20">
        <f>IF(OR('Cronograma R. Financiero'!$A16="",'Cronograma R. Financiero'!$H16=""),"",'Cronograma R. Financiero'!$H16)</f>
        <v/>
      </c>
      <c r="I16" s="20">
        <f>IF(OR('Cronograma R. Financiero'!$A16="",'Cronograma R. Financiero'!$I16=""),"",'Cronograma R. Financiero'!$I16)</f>
        <v/>
      </c>
      <c r="J16" s="20">
        <f>IF(OR('Cronograma R. Financiero'!$A16="",'Cronograma R. Financiero'!$J16=""),"",'Cronograma R. Financiero'!$J16)</f>
        <v/>
      </c>
      <c r="K16" s="20">
        <f>IF('Cronograma R. Financiero'!$A16="","",'Cronograma R. Financiero'!$K16)</f>
        <v/>
      </c>
      <c r="L16" s="22">
        <f>IF('Cronograma R. Financiero'!$A16="","",IF(N('Cronograma R. Financiero'!$K16)&gt;=1,"Completado",IF(AND(ISNUMBER('Cronograma R. Financiero'!$E16),'Cronograma R. Financiero'!$E16&lt;FechaRef),"Vencida",IF(N('Cronograma R. Financiero'!$K16)&gt;0,"En curso","Pendiente"))))</f>
        <v/>
      </c>
      <c r="M16" s="41">
        <f>IF('Cronograma R. Financiero'!$A16="","",'Cronograma R. Financiero'!$M16&amp;"")</f>
        <v/>
      </c>
    </row>
    <row r="17">
      <c r="A17" s="22">
        <f>IF('Cronograma R. Financiero'!$A17="","",'Cronograma R. Financiero'!$A17)</f>
        <v/>
      </c>
      <c r="B17" s="41">
        <f>IF('Cronograma R. Financiero'!$A17="","",'Cronograma R. Financiero'!$B17&amp;"")</f>
        <v/>
      </c>
      <c r="C17" s="41">
        <f>IF('Cronograma R. Financiero'!$A17="","",'Cronograma R. Financiero'!$C17&amp;"")</f>
        <v/>
      </c>
      <c r="D17" s="63">
        <f>IF(OR('Cronograma R. Financiero'!$A17="",'Cronograma R. Financiero'!$D17=""),"",'Cronograma R. Financiero'!$D17)</f>
        <v/>
      </c>
      <c r="E17" s="63">
        <f>IF(OR('Cronograma R. Financiero'!$A17="",'Cronograma R. Financiero'!$E17=""),"",'Cronograma R. Financiero'!$E17)</f>
        <v/>
      </c>
      <c r="F17" s="22">
        <f>IF(OR('Cronograma R. Financiero'!$A17="",NOT(ISNUMBER('Cronograma R. Financiero'!$E17))),"",IF('Cronograma R. Financiero'!$E17&lt;InicioCiclo,"Antes del ciclo",IF('Cronograma R. Financiero'!$E17&gt;=InicioCiclo+28,"Después del ciclo","Semana "&amp;(INT(('Cronograma R. Financiero'!$E17-InicioCiclo)/7)+1))))</f>
        <v/>
      </c>
      <c r="G17" s="20">
        <f>IF(OR('Cronograma R. Financiero'!$A17="",'Cronograma R. Financiero'!$G17=""),"",'Cronograma R. Financiero'!$G17)</f>
        <v/>
      </c>
      <c r="H17" s="20">
        <f>IF(OR('Cronograma R. Financiero'!$A17="",'Cronograma R. Financiero'!$H17=""),"",'Cronograma R. Financiero'!$H17)</f>
        <v/>
      </c>
      <c r="I17" s="20">
        <f>IF(OR('Cronograma R. Financiero'!$A17="",'Cronograma R. Financiero'!$I17=""),"",'Cronograma R. Financiero'!$I17)</f>
        <v/>
      </c>
      <c r="J17" s="20">
        <f>IF(OR('Cronograma R. Financiero'!$A17="",'Cronograma R. Financiero'!$J17=""),"",'Cronograma R. Financiero'!$J17)</f>
        <v/>
      </c>
      <c r="K17" s="20">
        <f>IF('Cronograma R. Financiero'!$A17="","",'Cronograma R. Financiero'!$K17)</f>
        <v/>
      </c>
      <c r="L17" s="22">
        <f>IF('Cronograma R. Financiero'!$A17="","",IF(N('Cronograma R. Financiero'!$K17)&gt;=1,"Completado",IF(AND(ISNUMBER('Cronograma R. Financiero'!$E17),'Cronograma R. Financiero'!$E17&lt;FechaRef),"Vencida",IF(N('Cronograma R. Financiero'!$K17)&gt;0,"En curso","Pendiente"))))</f>
        <v/>
      </c>
      <c r="M17" s="41">
        <f>IF('Cronograma R. Financiero'!$A17="","",'Cronograma R. Financiero'!$M17&amp;"")</f>
        <v/>
      </c>
    </row>
    <row r="18">
      <c r="A18" s="22">
        <f>IF('Cronograma R. Financiero'!$A18="","",'Cronograma R. Financiero'!$A18)</f>
        <v/>
      </c>
      <c r="B18" s="41">
        <f>IF('Cronograma R. Financiero'!$A18="","",'Cronograma R. Financiero'!$B18&amp;"")</f>
        <v/>
      </c>
      <c r="C18" s="41">
        <f>IF('Cronograma R. Financiero'!$A18="","",'Cronograma R. Financiero'!$C18&amp;"")</f>
        <v/>
      </c>
      <c r="D18" s="63">
        <f>IF(OR('Cronograma R. Financiero'!$A18="",'Cronograma R. Financiero'!$D18=""),"",'Cronograma R. Financiero'!$D18)</f>
        <v/>
      </c>
      <c r="E18" s="63">
        <f>IF(OR('Cronograma R. Financiero'!$A18="",'Cronograma R. Financiero'!$E18=""),"",'Cronograma R. Financiero'!$E18)</f>
        <v/>
      </c>
      <c r="F18" s="22">
        <f>IF(OR('Cronograma R. Financiero'!$A18="",NOT(ISNUMBER('Cronograma R. Financiero'!$E18))),"",IF('Cronograma R. Financiero'!$E18&lt;InicioCiclo,"Antes del ciclo",IF('Cronograma R. Financiero'!$E18&gt;=InicioCiclo+28,"Después del ciclo","Semana "&amp;(INT(('Cronograma R. Financiero'!$E18-InicioCiclo)/7)+1))))</f>
        <v/>
      </c>
      <c r="G18" s="20">
        <f>IF(OR('Cronograma R. Financiero'!$A18="",'Cronograma R. Financiero'!$G18=""),"",'Cronograma R. Financiero'!$G18)</f>
        <v/>
      </c>
      <c r="H18" s="20">
        <f>IF(OR('Cronograma R. Financiero'!$A18="",'Cronograma R. Financiero'!$H18=""),"",'Cronograma R. Financiero'!$H18)</f>
        <v/>
      </c>
      <c r="I18" s="20">
        <f>IF(OR('Cronograma R. Financiero'!$A18="",'Cronograma R. Financiero'!$I18=""),"",'Cronograma R. Financiero'!$I18)</f>
        <v/>
      </c>
      <c r="J18" s="20">
        <f>IF(OR('Cronograma R. Financiero'!$A18="",'Cronograma R. Financiero'!$J18=""),"",'Cronograma R. Financiero'!$J18)</f>
        <v/>
      </c>
      <c r="K18" s="20">
        <f>IF('Cronograma R. Financiero'!$A18="","",'Cronograma R. Financiero'!$K18)</f>
        <v/>
      </c>
      <c r="L18" s="22">
        <f>IF('Cronograma R. Financiero'!$A18="","",IF(N('Cronograma R. Financiero'!$K18)&gt;=1,"Completado",IF(AND(ISNUMBER('Cronograma R. Financiero'!$E18),'Cronograma R. Financiero'!$E18&lt;FechaRef),"Vencida",IF(N('Cronograma R. Financiero'!$K18)&gt;0,"En curso","Pendiente"))))</f>
        <v/>
      </c>
      <c r="M18" s="41">
        <f>IF('Cronograma R. Financiero'!$A18="","",'Cronograma R. Financiero'!$M18&amp;"")</f>
        <v/>
      </c>
    </row>
    <row r="19">
      <c r="A19" s="22">
        <f>IF('Cronograma R. Financiero'!$A19="","",'Cronograma R. Financiero'!$A19)</f>
        <v/>
      </c>
      <c r="B19" s="41">
        <f>IF('Cronograma R. Financiero'!$A19="","",'Cronograma R. Financiero'!$B19&amp;"")</f>
        <v/>
      </c>
      <c r="C19" s="41">
        <f>IF('Cronograma R. Financiero'!$A19="","",'Cronograma R. Financiero'!$C19&amp;"")</f>
        <v/>
      </c>
      <c r="D19" s="63">
        <f>IF(OR('Cronograma R. Financiero'!$A19="",'Cronograma R. Financiero'!$D19=""),"",'Cronograma R. Financiero'!$D19)</f>
        <v/>
      </c>
      <c r="E19" s="63">
        <f>IF(OR('Cronograma R. Financiero'!$A19="",'Cronograma R. Financiero'!$E19=""),"",'Cronograma R. Financiero'!$E19)</f>
        <v/>
      </c>
      <c r="F19" s="22">
        <f>IF(OR('Cronograma R. Financiero'!$A19="",NOT(ISNUMBER('Cronograma R. Financiero'!$E19))),"",IF('Cronograma R. Financiero'!$E19&lt;InicioCiclo,"Antes del ciclo",IF('Cronograma R. Financiero'!$E19&gt;=InicioCiclo+28,"Después del ciclo","Semana "&amp;(INT(('Cronograma R. Financiero'!$E19-InicioCiclo)/7)+1))))</f>
        <v/>
      </c>
      <c r="G19" s="20">
        <f>IF(OR('Cronograma R. Financiero'!$A19="",'Cronograma R. Financiero'!$G19=""),"",'Cronograma R. Financiero'!$G19)</f>
        <v/>
      </c>
      <c r="H19" s="20">
        <f>IF(OR('Cronograma R. Financiero'!$A19="",'Cronograma R. Financiero'!$H19=""),"",'Cronograma R. Financiero'!$H19)</f>
        <v/>
      </c>
      <c r="I19" s="20">
        <f>IF(OR('Cronograma R. Financiero'!$A19="",'Cronograma R. Financiero'!$I19=""),"",'Cronograma R. Financiero'!$I19)</f>
        <v/>
      </c>
      <c r="J19" s="20">
        <f>IF(OR('Cronograma R. Financiero'!$A19="",'Cronograma R. Financiero'!$J19=""),"",'Cronograma R. Financiero'!$J19)</f>
        <v/>
      </c>
      <c r="K19" s="20">
        <f>IF('Cronograma R. Financiero'!$A19="","",'Cronograma R. Financiero'!$K19)</f>
        <v/>
      </c>
      <c r="L19" s="22">
        <f>IF('Cronograma R. Financiero'!$A19="","",IF(N('Cronograma R. Financiero'!$K19)&gt;=1,"Completado",IF(AND(ISNUMBER('Cronograma R. Financiero'!$E19),'Cronograma R. Financiero'!$E19&lt;FechaRef),"Vencida",IF(N('Cronograma R. Financiero'!$K19)&gt;0,"En curso","Pendiente"))))</f>
        <v/>
      </c>
      <c r="M19" s="41">
        <f>IF('Cronograma R. Financiero'!$A19="","",'Cronograma R. Financiero'!$M19&amp;"")</f>
        <v/>
      </c>
    </row>
    <row r="20">
      <c r="A20" s="22">
        <f>IF('Cronograma R. Financiero'!$A20="","",'Cronograma R. Financiero'!$A20)</f>
        <v/>
      </c>
      <c r="B20" s="41">
        <f>IF('Cronograma R. Financiero'!$A20="","",'Cronograma R. Financiero'!$B20&amp;"")</f>
        <v/>
      </c>
      <c r="C20" s="41">
        <f>IF('Cronograma R. Financiero'!$A20="","",'Cronograma R. Financiero'!$C20&amp;"")</f>
        <v/>
      </c>
      <c r="D20" s="63">
        <f>IF(OR('Cronograma R. Financiero'!$A20="",'Cronograma R. Financiero'!$D20=""),"",'Cronograma R. Financiero'!$D20)</f>
        <v/>
      </c>
      <c r="E20" s="63">
        <f>IF(OR('Cronograma R. Financiero'!$A20="",'Cronograma R. Financiero'!$E20=""),"",'Cronograma R. Financiero'!$E20)</f>
        <v/>
      </c>
      <c r="F20" s="22">
        <f>IF(OR('Cronograma R. Financiero'!$A20="",NOT(ISNUMBER('Cronograma R. Financiero'!$E20))),"",IF('Cronograma R. Financiero'!$E20&lt;InicioCiclo,"Antes del ciclo",IF('Cronograma R. Financiero'!$E20&gt;=InicioCiclo+28,"Después del ciclo","Semana "&amp;(INT(('Cronograma R. Financiero'!$E20-InicioCiclo)/7)+1))))</f>
        <v/>
      </c>
      <c r="G20" s="20">
        <f>IF(OR('Cronograma R. Financiero'!$A20="",'Cronograma R. Financiero'!$G20=""),"",'Cronograma R. Financiero'!$G20)</f>
        <v/>
      </c>
      <c r="H20" s="20">
        <f>IF(OR('Cronograma R. Financiero'!$A20="",'Cronograma R. Financiero'!$H20=""),"",'Cronograma R. Financiero'!$H20)</f>
        <v/>
      </c>
      <c r="I20" s="20">
        <f>IF(OR('Cronograma R. Financiero'!$A20="",'Cronograma R. Financiero'!$I20=""),"",'Cronograma R. Financiero'!$I20)</f>
        <v/>
      </c>
      <c r="J20" s="20">
        <f>IF(OR('Cronograma R. Financiero'!$A20="",'Cronograma R. Financiero'!$J20=""),"",'Cronograma R. Financiero'!$J20)</f>
        <v/>
      </c>
      <c r="K20" s="20">
        <f>IF('Cronograma R. Financiero'!$A20="","",'Cronograma R. Financiero'!$K20)</f>
        <v/>
      </c>
      <c r="L20" s="22">
        <f>IF('Cronograma R. Financiero'!$A20="","",IF(N('Cronograma R. Financiero'!$K20)&gt;=1,"Completado",IF(AND(ISNUMBER('Cronograma R. Financiero'!$E20),'Cronograma R. Financiero'!$E20&lt;FechaRef),"Vencida",IF(N('Cronograma R. Financiero'!$K20)&gt;0,"En curso","Pendiente"))))</f>
        <v/>
      </c>
      <c r="M20" s="41">
        <f>IF('Cronograma R. Financiero'!$A20="","",'Cronograma R. Financiero'!$M20&amp;"")</f>
        <v/>
      </c>
    </row>
    <row r="21">
      <c r="A21" s="22">
        <f>IF('Cronograma R. Financiero'!$A21="","",'Cronograma R. Financiero'!$A21)</f>
        <v/>
      </c>
      <c r="B21" s="41">
        <f>IF('Cronograma R. Financiero'!$A21="","",'Cronograma R. Financiero'!$B21&amp;"")</f>
        <v/>
      </c>
      <c r="C21" s="41">
        <f>IF('Cronograma R. Financiero'!$A21="","",'Cronograma R. Financiero'!$C21&amp;"")</f>
        <v/>
      </c>
      <c r="D21" s="63">
        <f>IF(OR('Cronograma R. Financiero'!$A21="",'Cronograma R. Financiero'!$D21=""),"",'Cronograma R. Financiero'!$D21)</f>
        <v/>
      </c>
      <c r="E21" s="63">
        <f>IF(OR('Cronograma R. Financiero'!$A21="",'Cronograma R. Financiero'!$E21=""),"",'Cronograma R. Financiero'!$E21)</f>
        <v/>
      </c>
      <c r="F21" s="22">
        <f>IF(OR('Cronograma R. Financiero'!$A21="",NOT(ISNUMBER('Cronograma R. Financiero'!$E21))),"",IF('Cronograma R. Financiero'!$E21&lt;InicioCiclo,"Antes del ciclo",IF('Cronograma R. Financiero'!$E21&gt;=InicioCiclo+28,"Después del ciclo","Semana "&amp;(INT(('Cronograma R. Financiero'!$E21-InicioCiclo)/7)+1))))</f>
        <v/>
      </c>
      <c r="G21" s="20">
        <f>IF(OR('Cronograma R. Financiero'!$A21="",'Cronograma R. Financiero'!$G21=""),"",'Cronograma R. Financiero'!$G21)</f>
        <v/>
      </c>
      <c r="H21" s="20">
        <f>IF(OR('Cronograma R. Financiero'!$A21="",'Cronograma R. Financiero'!$H21=""),"",'Cronograma R. Financiero'!$H21)</f>
        <v/>
      </c>
      <c r="I21" s="20">
        <f>IF(OR('Cronograma R. Financiero'!$A21="",'Cronograma R. Financiero'!$I21=""),"",'Cronograma R. Financiero'!$I21)</f>
        <v/>
      </c>
      <c r="J21" s="20">
        <f>IF(OR('Cronograma R. Financiero'!$A21="",'Cronograma R. Financiero'!$J21=""),"",'Cronograma R. Financiero'!$J21)</f>
        <v/>
      </c>
      <c r="K21" s="20">
        <f>IF('Cronograma R. Financiero'!$A21="","",'Cronograma R. Financiero'!$K21)</f>
        <v/>
      </c>
      <c r="L21" s="22">
        <f>IF('Cronograma R. Financiero'!$A21="","",IF(N('Cronograma R. Financiero'!$K21)&gt;=1,"Completado",IF(AND(ISNUMBER('Cronograma R. Financiero'!$E21),'Cronograma R. Financiero'!$E21&lt;FechaRef),"Vencida",IF(N('Cronograma R. Financiero'!$K21)&gt;0,"En curso","Pendiente"))))</f>
        <v/>
      </c>
      <c r="M21" s="41">
        <f>IF('Cronograma R. Financiero'!$A21="","",'Cronograma R. Financiero'!$M21&amp;"")</f>
        <v/>
      </c>
    </row>
    <row r="22">
      <c r="A22" s="22">
        <f>IF('Cronograma R. Financiero'!$A22="","",'Cronograma R. Financiero'!$A22)</f>
        <v/>
      </c>
      <c r="B22" s="41">
        <f>IF('Cronograma R. Financiero'!$A22="","",'Cronograma R. Financiero'!$B22&amp;"")</f>
        <v/>
      </c>
      <c r="C22" s="41">
        <f>IF('Cronograma R. Financiero'!$A22="","",'Cronograma R. Financiero'!$C22&amp;"")</f>
        <v/>
      </c>
      <c r="D22" s="63">
        <f>IF(OR('Cronograma R. Financiero'!$A22="",'Cronograma R. Financiero'!$D22=""),"",'Cronograma R. Financiero'!$D22)</f>
        <v/>
      </c>
      <c r="E22" s="63">
        <f>IF(OR('Cronograma R. Financiero'!$A22="",'Cronograma R. Financiero'!$E22=""),"",'Cronograma R. Financiero'!$E22)</f>
        <v/>
      </c>
      <c r="F22" s="22">
        <f>IF(OR('Cronograma R. Financiero'!$A22="",NOT(ISNUMBER('Cronograma R. Financiero'!$E22))),"",IF('Cronograma R. Financiero'!$E22&lt;InicioCiclo,"Antes del ciclo",IF('Cronograma R. Financiero'!$E22&gt;=InicioCiclo+28,"Después del ciclo","Semana "&amp;(INT(('Cronograma R. Financiero'!$E22-InicioCiclo)/7)+1))))</f>
        <v/>
      </c>
      <c r="G22" s="20">
        <f>IF(OR('Cronograma R. Financiero'!$A22="",'Cronograma R. Financiero'!$G22=""),"",'Cronograma R. Financiero'!$G22)</f>
        <v/>
      </c>
      <c r="H22" s="20">
        <f>IF(OR('Cronograma R. Financiero'!$A22="",'Cronograma R. Financiero'!$H22=""),"",'Cronograma R. Financiero'!$H22)</f>
        <v/>
      </c>
      <c r="I22" s="20">
        <f>IF(OR('Cronograma R. Financiero'!$A22="",'Cronograma R. Financiero'!$I22=""),"",'Cronograma R. Financiero'!$I22)</f>
        <v/>
      </c>
      <c r="J22" s="20">
        <f>IF(OR('Cronograma R. Financiero'!$A22="",'Cronograma R. Financiero'!$J22=""),"",'Cronograma R. Financiero'!$J22)</f>
        <v/>
      </c>
      <c r="K22" s="20">
        <f>IF('Cronograma R. Financiero'!$A22="","",'Cronograma R. Financiero'!$K22)</f>
        <v/>
      </c>
      <c r="L22" s="22">
        <f>IF('Cronograma R. Financiero'!$A22="","",IF(N('Cronograma R. Financiero'!$K22)&gt;=1,"Completado",IF(AND(ISNUMBER('Cronograma R. Financiero'!$E22),'Cronograma R. Financiero'!$E22&lt;FechaRef),"Vencida",IF(N('Cronograma R. Financiero'!$K22)&gt;0,"En curso","Pendiente"))))</f>
        <v/>
      </c>
      <c r="M22" s="41">
        <f>IF('Cronograma R. Financiero'!$A22="","",'Cronograma R. Financiero'!$M22&amp;"")</f>
        <v/>
      </c>
    </row>
    <row r="23">
      <c r="A23" s="22">
        <f>IF('Cronograma R. Financiero'!$A23="","",'Cronograma R. Financiero'!$A23)</f>
        <v/>
      </c>
      <c r="B23" s="41">
        <f>IF('Cronograma R. Financiero'!$A23="","",'Cronograma R. Financiero'!$B23&amp;"")</f>
        <v/>
      </c>
      <c r="C23" s="41">
        <f>IF('Cronograma R. Financiero'!$A23="","",'Cronograma R. Financiero'!$C23&amp;"")</f>
        <v/>
      </c>
      <c r="D23" s="63">
        <f>IF(OR('Cronograma R. Financiero'!$A23="",'Cronograma R. Financiero'!$D23=""),"",'Cronograma R. Financiero'!$D23)</f>
        <v/>
      </c>
      <c r="E23" s="63">
        <f>IF(OR('Cronograma R. Financiero'!$A23="",'Cronograma R. Financiero'!$E23=""),"",'Cronograma R. Financiero'!$E23)</f>
        <v/>
      </c>
      <c r="F23" s="22">
        <f>IF(OR('Cronograma R. Financiero'!$A23="",NOT(ISNUMBER('Cronograma R. Financiero'!$E23))),"",IF('Cronograma R. Financiero'!$E23&lt;InicioCiclo,"Antes del ciclo",IF('Cronograma R. Financiero'!$E23&gt;=InicioCiclo+28,"Después del ciclo","Semana "&amp;(INT(('Cronograma R. Financiero'!$E23-InicioCiclo)/7)+1))))</f>
        <v/>
      </c>
      <c r="G23" s="20">
        <f>IF(OR('Cronograma R. Financiero'!$A23="",'Cronograma R. Financiero'!$G23=""),"",'Cronograma R. Financiero'!$G23)</f>
        <v/>
      </c>
      <c r="H23" s="20">
        <f>IF(OR('Cronograma R. Financiero'!$A23="",'Cronograma R. Financiero'!$H23=""),"",'Cronograma R. Financiero'!$H23)</f>
        <v/>
      </c>
      <c r="I23" s="20">
        <f>IF(OR('Cronograma R. Financiero'!$A23="",'Cronograma R. Financiero'!$I23=""),"",'Cronograma R. Financiero'!$I23)</f>
        <v/>
      </c>
      <c r="J23" s="20">
        <f>IF(OR('Cronograma R. Financiero'!$A23="",'Cronograma R. Financiero'!$J23=""),"",'Cronograma R. Financiero'!$J23)</f>
        <v/>
      </c>
      <c r="K23" s="20">
        <f>IF('Cronograma R. Financiero'!$A23="","",'Cronograma R. Financiero'!$K23)</f>
        <v/>
      </c>
      <c r="L23" s="22">
        <f>IF('Cronograma R. Financiero'!$A23="","",IF(N('Cronograma R. Financiero'!$K23)&gt;=1,"Completado",IF(AND(ISNUMBER('Cronograma R. Financiero'!$E23),'Cronograma R. Financiero'!$E23&lt;FechaRef),"Vencida",IF(N('Cronograma R. Financiero'!$K23)&gt;0,"En curso","Pendiente"))))</f>
        <v/>
      </c>
      <c r="M23" s="41">
        <f>IF('Cronograma R. Financiero'!$A23="","",'Cronograma R. Financiero'!$M23&amp;"")</f>
        <v/>
      </c>
    </row>
    <row r="24">
      <c r="A24" s="22">
        <f>IF('Cronograma R. Financiero'!$A24="","",'Cronograma R. Financiero'!$A24)</f>
        <v/>
      </c>
      <c r="B24" s="41">
        <f>IF('Cronograma R. Financiero'!$A24="","",'Cronograma R. Financiero'!$B24&amp;"")</f>
        <v/>
      </c>
      <c r="C24" s="41">
        <f>IF('Cronograma R. Financiero'!$A24="","",'Cronograma R. Financiero'!$C24&amp;"")</f>
        <v/>
      </c>
      <c r="D24" s="63">
        <f>IF(OR('Cronograma R. Financiero'!$A24="",'Cronograma R. Financiero'!$D24=""),"",'Cronograma R. Financiero'!$D24)</f>
        <v/>
      </c>
      <c r="E24" s="63">
        <f>IF(OR('Cronograma R. Financiero'!$A24="",'Cronograma R. Financiero'!$E24=""),"",'Cronograma R. Financiero'!$E24)</f>
        <v/>
      </c>
      <c r="F24" s="22">
        <f>IF(OR('Cronograma R. Financiero'!$A24="",NOT(ISNUMBER('Cronograma R. Financiero'!$E24))),"",IF('Cronograma R. Financiero'!$E24&lt;InicioCiclo,"Antes del ciclo",IF('Cronograma R. Financiero'!$E24&gt;=InicioCiclo+28,"Después del ciclo","Semana "&amp;(INT(('Cronograma R. Financiero'!$E24-InicioCiclo)/7)+1))))</f>
        <v/>
      </c>
      <c r="G24" s="20">
        <f>IF(OR('Cronograma R. Financiero'!$A24="",'Cronograma R. Financiero'!$G24=""),"",'Cronograma R. Financiero'!$G24)</f>
        <v/>
      </c>
      <c r="H24" s="20">
        <f>IF(OR('Cronograma R. Financiero'!$A24="",'Cronograma R. Financiero'!$H24=""),"",'Cronograma R. Financiero'!$H24)</f>
        <v/>
      </c>
      <c r="I24" s="20">
        <f>IF(OR('Cronograma R. Financiero'!$A24="",'Cronograma R. Financiero'!$I24=""),"",'Cronograma R. Financiero'!$I24)</f>
        <v/>
      </c>
      <c r="J24" s="20">
        <f>IF(OR('Cronograma R. Financiero'!$A24="",'Cronograma R. Financiero'!$J24=""),"",'Cronograma R. Financiero'!$J24)</f>
        <v/>
      </c>
      <c r="K24" s="20">
        <f>IF('Cronograma R. Financiero'!$A24="","",'Cronograma R. Financiero'!$K24)</f>
        <v/>
      </c>
      <c r="L24" s="22">
        <f>IF('Cronograma R. Financiero'!$A24="","",IF(N('Cronograma R. Financiero'!$K24)&gt;=1,"Completado",IF(AND(ISNUMBER('Cronograma R. Financiero'!$E24),'Cronograma R. Financiero'!$E24&lt;FechaRef),"Vencida",IF(N('Cronograma R. Financiero'!$K24)&gt;0,"En curso","Pendiente"))))</f>
        <v/>
      </c>
      <c r="M24" s="41">
        <f>IF('Cronograma R. Financiero'!$A24="","",'Cronograma R. Financiero'!$M24&amp;"")</f>
        <v/>
      </c>
    </row>
    <row r="25">
      <c r="A25" s="22">
        <f>IF('Cronograma R. Financiero'!$A25="","",'Cronograma R. Financiero'!$A25)</f>
        <v/>
      </c>
      <c r="B25" s="41">
        <f>IF('Cronograma R. Financiero'!$A25="","",'Cronograma R. Financiero'!$B25&amp;"")</f>
        <v/>
      </c>
      <c r="C25" s="41">
        <f>IF('Cronograma R. Financiero'!$A25="","",'Cronograma R. Financiero'!$C25&amp;"")</f>
        <v/>
      </c>
      <c r="D25" s="63">
        <f>IF(OR('Cronograma R. Financiero'!$A25="",'Cronograma R. Financiero'!$D25=""),"",'Cronograma R. Financiero'!$D25)</f>
        <v/>
      </c>
      <c r="E25" s="63">
        <f>IF(OR('Cronograma R. Financiero'!$A25="",'Cronograma R. Financiero'!$E25=""),"",'Cronograma R. Financiero'!$E25)</f>
        <v/>
      </c>
      <c r="F25" s="22">
        <f>IF(OR('Cronograma R. Financiero'!$A25="",NOT(ISNUMBER('Cronograma R. Financiero'!$E25))),"",IF('Cronograma R. Financiero'!$E25&lt;InicioCiclo,"Antes del ciclo",IF('Cronograma R. Financiero'!$E25&gt;=InicioCiclo+28,"Después del ciclo","Semana "&amp;(INT(('Cronograma R. Financiero'!$E25-InicioCiclo)/7)+1))))</f>
        <v/>
      </c>
      <c r="G25" s="20">
        <f>IF(OR('Cronograma R. Financiero'!$A25="",'Cronograma R. Financiero'!$G25=""),"",'Cronograma R. Financiero'!$G25)</f>
        <v/>
      </c>
      <c r="H25" s="20">
        <f>IF(OR('Cronograma R. Financiero'!$A25="",'Cronograma R. Financiero'!$H25=""),"",'Cronograma R. Financiero'!$H25)</f>
        <v/>
      </c>
      <c r="I25" s="20">
        <f>IF(OR('Cronograma R. Financiero'!$A25="",'Cronograma R. Financiero'!$I25=""),"",'Cronograma R. Financiero'!$I25)</f>
        <v/>
      </c>
      <c r="J25" s="20">
        <f>IF(OR('Cronograma R. Financiero'!$A25="",'Cronograma R. Financiero'!$J25=""),"",'Cronograma R. Financiero'!$J25)</f>
        <v/>
      </c>
      <c r="K25" s="20">
        <f>IF('Cronograma R. Financiero'!$A25="","",'Cronograma R. Financiero'!$K25)</f>
        <v/>
      </c>
      <c r="L25" s="22">
        <f>IF('Cronograma R. Financiero'!$A25="","",IF(N('Cronograma R. Financiero'!$K25)&gt;=1,"Completado",IF(AND(ISNUMBER('Cronograma R. Financiero'!$E25),'Cronograma R. Financiero'!$E25&lt;FechaRef),"Vencida",IF(N('Cronograma R. Financiero'!$K25)&gt;0,"En curso","Pendiente"))))</f>
        <v/>
      </c>
      <c r="M25" s="41">
        <f>IF('Cronograma R. Financiero'!$A25="","",'Cronograma R. Financiero'!$M25&amp;"")</f>
        <v/>
      </c>
    </row>
    <row r="26">
      <c r="A26" s="22">
        <f>IF('Cronograma R. Financiero'!$A26="","",'Cronograma R. Financiero'!$A26)</f>
        <v/>
      </c>
      <c r="B26" s="41">
        <f>IF('Cronograma R. Financiero'!$A26="","",'Cronograma R. Financiero'!$B26&amp;"")</f>
        <v/>
      </c>
      <c r="C26" s="41">
        <f>IF('Cronograma R. Financiero'!$A26="","",'Cronograma R. Financiero'!$C26&amp;"")</f>
        <v/>
      </c>
      <c r="D26" s="63">
        <f>IF(OR('Cronograma R. Financiero'!$A26="",'Cronograma R. Financiero'!$D26=""),"",'Cronograma R. Financiero'!$D26)</f>
        <v/>
      </c>
      <c r="E26" s="63">
        <f>IF(OR('Cronograma R. Financiero'!$A26="",'Cronograma R. Financiero'!$E26=""),"",'Cronograma R. Financiero'!$E26)</f>
        <v/>
      </c>
      <c r="F26" s="22">
        <f>IF(OR('Cronograma R. Financiero'!$A26="",NOT(ISNUMBER('Cronograma R. Financiero'!$E26))),"",IF('Cronograma R. Financiero'!$E26&lt;InicioCiclo,"Antes del ciclo",IF('Cronograma R. Financiero'!$E26&gt;=InicioCiclo+28,"Después del ciclo","Semana "&amp;(INT(('Cronograma R. Financiero'!$E26-InicioCiclo)/7)+1))))</f>
        <v/>
      </c>
      <c r="G26" s="20">
        <f>IF(OR('Cronograma R. Financiero'!$A26="",'Cronograma R. Financiero'!$G26=""),"",'Cronograma R. Financiero'!$G26)</f>
        <v/>
      </c>
      <c r="H26" s="20">
        <f>IF(OR('Cronograma R. Financiero'!$A26="",'Cronograma R. Financiero'!$H26=""),"",'Cronograma R. Financiero'!$H26)</f>
        <v/>
      </c>
      <c r="I26" s="20">
        <f>IF(OR('Cronograma R. Financiero'!$A26="",'Cronograma R. Financiero'!$I26=""),"",'Cronograma R. Financiero'!$I26)</f>
        <v/>
      </c>
      <c r="J26" s="20">
        <f>IF(OR('Cronograma R. Financiero'!$A26="",'Cronograma R. Financiero'!$J26=""),"",'Cronograma R. Financiero'!$J26)</f>
        <v/>
      </c>
      <c r="K26" s="20">
        <f>IF('Cronograma R. Financiero'!$A26="","",'Cronograma R. Financiero'!$K26)</f>
        <v/>
      </c>
      <c r="L26" s="22">
        <f>IF('Cronograma R. Financiero'!$A26="","",IF(N('Cronograma R. Financiero'!$K26)&gt;=1,"Completado",IF(AND(ISNUMBER('Cronograma R. Financiero'!$E26),'Cronograma R. Financiero'!$E26&lt;FechaRef),"Vencida",IF(N('Cronograma R. Financiero'!$K26)&gt;0,"En curso","Pendiente"))))</f>
        <v/>
      </c>
      <c r="M26" s="41">
        <f>IF('Cronograma R. Financiero'!$A26="","",'Cronograma R. Financiero'!$M26&amp;"")</f>
        <v/>
      </c>
    </row>
    <row r="27">
      <c r="A27" s="22">
        <f>IF('Cronograma R. Financiero'!$A27="","",'Cronograma R. Financiero'!$A27)</f>
        <v/>
      </c>
      <c r="B27" s="41">
        <f>IF('Cronograma R. Financiero'!$A27="","",'Cronograma R. Financiero'!$B27&amp;"")</f>
        <v/>
      </c>
      <c r="C27" s="41">
        <f>IF('Cronograma R. Financiero'!$A27="","",'Cronograma R. Financiero'!$C27&amp;"")</f>
        <v/>
      </c>
      <c r="D27" s="63">
        <f>IF(OR('Cronograma R. Financiero'!$A27="",'Cronograma R. Financiero'!$D27=""),"",'Cronograma R. Financiero'!$D27)</f>
        <v/>
      </c>
      <c r="E27" s="63">
        <f>IF(OR('Cronograma R. Financiero'!$A27="",'Cronograma R. Financiero'!$E27=""),"",'Cronograma R. Financiero'!$E27)</f>
        <v/>
      </c>
      <c r="F27" s="22">
        <f>IF(OR('Cronograma R. Financiero'!$A27="",NOT(ISNUMBER('Cronograma R. Financiero'!$E27))),"",IF('Cronograma R. Financiero'!$E27&lt;InicioCiclo,"Antes del ciclo",IF('Cronograma R. Financiero'!$E27&gt;=InicioCiclo+28,"Después del ciclo","Semana "&amp;(INT(('Cronograma R. Financiero'!$E27-InicioCiclo)/7)+1))))</f>
        <v/>
      </c>
      <c r="G27" s="20">
        <f>IF(OR('Cronograma R. Financiero'!$A27="",'Cronograma R. Financiero'!$G27=""),"",'Cronograma R. Financiero'!$G27)</f>
        <v/>
      </c>
      <c r="H27" s="20">
        <f>IF(OR('Cronograma R. Financiero'!$A27="",'Cronograma R. Financiero'!$H27=""),"",'Cronograma R. Financiero'!$H27)</f>
        <v/>
      </c>
      <c r="I27" s="20">
        <f>IF(OR('Cronograma R. Financiero'!$A27="",'Cronograma R. Financiero'!$I27=""),"",'Cronograma R. Financiero'!$I27)</f>
        <v/>
      </c>
      <c r="J27" s="20">
        <f>IF(OR('Cronograma R. Financiero'!$A27="",'Cronograma R. Financiero'!$J27=""),"",'Cronograma R. Financiero'!$J27)</f>
        <v/>
      </c>
      <c r="K27" s="20">
        <f>IF('Cronograma R. Financiero'!$A27="","",'Cronograma R. Financiero'!$K27)</f>
        <v/>
      </c>
      <c r="L27" s="22">
        <f>IF('Cronograma R. Financiero'!$A27="","",IF(N('Cronograma R. Financiero'!$K27)&gt;=1,"Completado",IF(AND(ISNUMBER('Cronograma R. Financiero'!$E27),'Cronograma R. Financiero'!$E27&lt;FechaRef),"Vencida",IF(N('Cronograma R. Financiero'!$K27)&gt;0,"En curso","Pendiente"))))</f>
        <v/>
      </c>
      <c r="M27" s="41">
        <f>IF('Cronograma R. Financiero'!$A27="","",'Cronograma R. Financiero'!$M27&amp;"")</f>
        <v/>
      </c>
    </row>
    <row r="28">
      <c r="A28" s="22">
        <f>IF('Cronograma R. Financiero'!$A28="","",'Cronograma R. Financiero'!$A28)</f>
        <v/>
      </c>
      <c r="B28" s="41">
        <f>IF('Cronograma R. Financiero'!$A28="","",'Cronograma R. Financiero'!$B28&amp;"")</f>
        <v/>
      </c>
      <c r="C28" s="41">
        <f>IF('Cronograma R. Financiero'!$A28="","",'Cronograma R. Financiero'!$C28&amp;"")</f>
        <v/>
      </c>
      <c r="D28" s="63">
        <f>IF(OR('Cronograma R. Financiero'!$A28="",'Cronograma R. Financiero'!$D28=""),"",'Cronograma R. Financiero'!$D28)</f>
        <v/>
      </c>
      <c r="E28" s="63">
        <f>IF(OR('Cronograma R. Financiero'!$A28="",'Cronograma R. Financiero'!$E28=""),"",'Cronograma R. Financiero'!$E28)</f>
        <v/>
      </c>
      <c r="F28" s="22">
        <f>IF(OR('Cronograma R. Financiero'!$A28="",NOT(ISNUMBER('Cronograma R. Financiero'!$E28))),"",IF('Cronograma R. Financiero'!$E28&lt;InicioCiclo,"Antes del ciclo",IF('Cronograma R. Financiero'!$E28&gt;=InicioCiclo+28,"Después del ciclo","Semana "&amp;(INT(('Cronograma R. Financiero'!$E28-InicioCiclo)/7)+1))))</f>
        <v/>
      </c>
      <c r="G28" s="20">
        <f>IF(OR('Cronograma R. Financiero'!$A28="",'Cronograma R. Financiero'!$G28=""),"",'Cronograma R. Financiero'!$G28)</f>
        <v/>
      </c>
      <c r="H28" s="20">
        <f>IF(OR('Cronograma R. Financiero'!$A28="",'Cronograma R. Financiero'!$H28=""),"",'Cronograma R. Financiero'!$H28)</f>
        <v/>
      </c>
      <c r="I28" s="20">
        <f>IF(OR('Cronograma R. Financiero'!$A28="",'Cronograma R. Financiero'!$I28=""),"",'Cronograma R. Financiero'!$I28)</f>
        <v/>
      </c>
      <c r="J28" s="20">
        <f>IF(OR('Cronograma R. Financiero'!$A28="",'Cronograma R. Financiero'!$J28=""),"",'Cronograma R. Financiero'!$J28)</f>
        <v/>
      </c>
      <c r="K28" s="20">
        <f>IF('Cronograma R. Financiero'!$A28="","",'Cronograma R. Financiero'!$K28)</f>
        <v/>
      </c>
      <c r="L28" s="22">
        <f>IF('Cronograma R. Financiero'!$A28="","",IF(N('Cronograma R. Financiero'!$K28)&gt;=1,"Completado",IF(AND(ISNUMBER('Cronograma R. Financiero'!$E28),'Cronograma R. Financiero'!$E28&lt;FechaRef),"Vencida",IF(N('Cronograma R. Financiero'!$K28)&gt;0,"En curso","Pendiente"))))</f>
        <v/>
      </c>
      <c r="M28" s="41">
        <f>IF('Cronograma R. Financiero'!$A28="","",'Cronograma R. Financiero'!$M28&amp;"")</f>
        <v/>
      </c>
    </row>
    <row r="29">
      <c r="A29" s="22">
        <f>IF('Cronograma R. Financiero'!$A29="","",'Cronograma R. Financiero'!$A29)</f>
        <v/>
      </c>
      <c r="B29" s="41">
        <f>IF('Cronograma R. Financiero'!$A29="","",'Cronograma R. Financiero'!$B29&amp;"")</f>
        <v/>
      </c>
      <c r="C29" s="41">
        <f>IF('Cronograma R. Financiero'!$A29="","",'Cronograma R. Financiero'!$C29&amp;"")</f>
        <v/>
      </c>
      <c r="D29" s="63">
        <f>IF(OR('Cronograma R. Financiero'!$A29="",'Cronograma R. Financiero'!$D29=""),"",'Cronograma R. Financiero'!$D29)</f>
        <v/>
      </c>
      <c r="E29" s="63">
        <f>IF(OR('Cronograma R. Financiero'!$A29="",'Cronograma R. Financiero'!$E29=""),"",'Cronograma R. Financiero'!$E29)</f>
        <v/>
      </c>
      <c r="F29" s="22">
        <f>IF(OR('Cronograma R. Financiero'!$A29="",NOT(ISNUMBER('Cronograma R. Financiero'!$E29))),"",IF('Cronograma R. Financiero'!$E29&lt;InicioCiclo,"Antes del ciclo",IF('Cronograma R. Financiero'!$E29&gt;=InicioCiclo+28,"Después del ciclo","Semana "&amp;(INT(('Cronograma R. Financiero'!$E29-InicioCiclo)/7)+1))))</f>
        <v/>
      </c>
      <c r="G29" s="20">
        <f>IF(OR('Cronograma R. Financiero'!$A29="",'Cronograma R. Financiero'!$G29=""),"",'Cronograma R. Financiero'!$G29)</f>
        <v/>
      </c>
      <c r="H29" s="20">
        <f>IF(OR('Cronograma R. Financiero'!$A29="",'Cronograma R. Financiero'!$H29=""),"",'Cronograma R. Financiero'!$H29)</f>
        <v/>
      </c>
      <c r="I29" s="20">
        <f>IF(OR('Cronograma R. Financiero'!$A29="",'Cronograma R. Financiero'!$I29=""),"",'Cronograma R. Financiero'!$I29)</f>
        <v/>
      </c>
      <c r="J29" s="20">
        <f>IF(OR('Cronograma R. Financiero'!$A29="",'Cronograma R. Financiero'!$J29=""),"",'Cronograma R. Financiero'!$J29)</f>
        <v/>
      </c>
      <c r="K29" s="20">
        <f>IF('Cronograma R. Financiero'!$A29="","",'Cronograma R. Financiero'!$K29)</f>
        <v/>
      </c>
      <c r="L29" s="22">
        <f>IF('Cronograma R. Financiero'!$A29="","",IF(N('Cronograma R. Financiero'!$K29)&gt;=1,"Completado",IF(AND(ISNUMBER('Cronograma R. Financiero'!$E29),'Cronograma R. Financiero'!$E29&lt;FechaRef),"Vencida",IF(N('Cronograma R. Financiero'!$K29)&gt;0,"En curso","Pendiente"))))</f>
        <v/>
      </c>
      <c r="M29" s="41">
        <f>IF('Cronograma R. Financiero'!$A29="","",'Cronograma R. Financiero'!$M29&amp;"")</f>
        <v/>
      </c>
    </row>
    <row r="30">
      <c r="A30" s="22">
        <f>IF('Cronograma R. Financiero'!$A30="","",'Cronograma R. Financiero'!$A30)</f>
        <v/>
      </c>
      <c r="B30" s="41">
        <f>IF('Cronograma R. Financiero'!$A30="","",'Cronograma R. Financiero'!$B30&amp;"")</f>
        <v/>
      </c>
      <c r="C30" s="41">
        <f>IF('Cronograma R. Financiero'!$A30="","",'Cronograma R. Financiero'!$C30&amp;"")</f>
        <v/>
      </c>
      <c r="D30" s="63">
        <f>IF(OR('Cronograma R. Financiero'!$A30="",'Cronograma R. Financiero'!$D30=""),"",'Cronograma R. Financiero'!$D30)</f>
        <v/>
      </c>
      <c r="E30" s="63">
        <f>IF(OR('Cronograma R. Financiero'!$A30="",'Cronograma R. Financiero'!$E30=""),"",'Cronograma R. Financiero'!$E30)</f>
        <v/>
      </c>
      <c r="F30" s="22">
        <f>IF(OR('Cronograma R. Financiero'!$A30="",NOT(ISNUMBER('Cronograma R. Financiero'!$E30))),"",IF('Cronograma R. Financiero'!$E30&lt;InicioCiclo,"Antes del ciclo",IF('Cronograma R. Financiero'!$E30&gt;=InicioCiclo+28,"Después del ciclo","Semana "&amp;(INT(('Cronograma R. Financiero'!$E30-InicioCiclo)/7)+1))))</f>
        <v/>
      </c>
      <c r="G30" s="20">
        <f>IF(OR('Cronograma R. Financiero'!$A30="",'Cronograma R. Financiero'!$G30=""),"",'Cronograma R. Financiero'!$G30)</f>
        <v/>
      </c>
      <c r="H30" s="20">
        <f>IF(OR('Cronograma R. Financiero'!$A30="",'Cronograma R. Financiero'!$H30=""),"",'Cronograma R. Financiero'!$H30)</f>
        <v/>
      </c>
      <c r="I30" s="20">
        <f>IF(OR('Cronograma R. Financiero'!$A30="",'Cronograma R. Financiero'!$I30=""),"",'Cronograma R. Financiero'!$I30)</f>
        <v/>
      </c>
      <c r="J30" s="20">
        <f>IF(OR('Cronograma R. Financiero'!$A30="",'Cronograma R. Financiero'!$J30=""),"",'Cronograma R. Financiero'!$J30)</f>
        <v/>
      </c>
      <c r="K30" s="20">
        <f>IF('Cronograma R. Financiero'!$A30="","",'Cronograma R. Financiero'!$K30)</f>
        <v/>
      </c>
      <c r="L30" s="22">
        <f>IF('Cronograma R. Financiero'!$A30="","",IF(N('Cronograma R. Financiero'!$K30)&gt;=1,"Completado",IF(AND(ISNUMBER('Cronograma R. Financiero'!$E30),'Cronograma R. Financiero'!$E30&lt;FechaRef),"Vencida",IF(N('Cronograma R. Financiero'!$K30)&gt;0,"En curso","Pendiente"))))</f>
        <v/>
      </c>
      <c r="M30" s="41">
        <f>IF('Cronograma R. Financiero'!$A30="","",'Cronograma R. Financiero'!$M30&amp;"")</f>
        <v/>
      </c>
    </row>
    <row r="31">
      <c r="A31" s="22">
        <f>IF('Cronograma R. Financiero'!$A31="","",'Cronograma R. Financiero'!$A31)</f>
        <v/>
      </c>
      <c r="B31" s="41">
        <f>IF('Cronograma R. Financiero'!$A31="","",'Cronograma R. Financiero'!$B31&amp;"")</f>
        <v/>
      </c>
      <c r="C31" s="41">
        <f>IF('Cronograma R. Financiero'!$A31="","",'Cronograma R. Financiero'!$C31&amp;"")</f>
        <v/>
      </c>
      <c r="D31" s="63">
        <f>IF(OR('Cronograma R. Financiero'!$A31="",'Cronograma R. Financiero'!$D31=""),"",'Cronograma R. Financiero'!$D31)</f>
        <v/>
      </c>
      <c r="E31" s="63">
        <f>IF(OR('Cronograma R. Financiero'!$A31="",'Cronograma R. Financiero'!$E31=""),"",'Cronograma R. Financiero'!$E31)</f>
        <v/>
      </c>
      <c r="F31" s="22">
        <f>IF(OR('Cronograma R. Financiero'!$A31="",NOT(ISNUMBER('Cronograma R. Financiero'!$E31))),"",IF('Cronograma R. Financiero'!$E31&lt;InicioCiclo,"Antes del ciclo",IF('Cronograma R. Financiero'!$E31&gt;=InicioCiclo+28,"Después del ciclo","Semana "&amp;(INT(('Cronograma R. Financiero'!$E31-InicioCiclo)/7)+1))))</f>
        <v/>
      </c>
      <c r="G31" s="20">
        <f>IF(OR('Cronograma R. Financiero'!$A31="",'Cronograma R. Financiero'!$G31=""),"",'Cronograma R. Financiero'!$G31)</f>
        <v/>
      </c>
      <c r="H31" s="20">
        <f>IF(OR('Cronograma R. Financiero'!$A31="",'Cronograma R. Financiero'!$H31=""),"",'Cronograma R. Financiero'!$H31)</f>
        <v/>
      </c>
      <c r="I31" s="20">
        <f>IF(OR('Cronograma R. Financiero'!$A31="",'Cronograma R. Financiero'!$I31=""),"",'Cronograma R. Financiero'!$I31)</f>
        <v/>
      </c>
      <c r="J31" s="20">
        <f>IF(OR('Cronograma R. Financiero'!$A31="",'Cronograma R. Financiero'!$J31=""),"",'Cronograma R. Financiero'!$J31)</f>
        <v/>
      </c>
      <c r="K31" s="20">
        <f>IF('Cronograma R. Financiero'!$A31="","",'Cronograma R. Financiero'!$K31)</f>
        <v/>
      </c>
      <c r="L31" s="22">
        <f>IF('Cronograma R. Financiero'!$A31="","",IF(N('Cronograma R. Financiero'!$K31)&gt;=1,"Completado",IF(AND(ISNUMBER('Cronograma R. Financiero'!$E31),'Cronograma R. Financiero'!$E31&lt;FechaRef),"Vencida",IF(N('Cronograma R. Financiero'!$K31)&gt;0,"En curso","Pendiente"))))</f>
        <v/>
      </c>
      <c r="M31" s="41">
        <f>IF('Cronograma R. Financiero'!$A31="","",'Cronograma R. Financiero'!$M31&amp;"")</f>
        <v/>
      </c>
    </row>
    <row r="32">
      <c r="A32" s="22">
        <f>IF('Cronograma R. Financiero'!$A32="","",'Cronograma R. Financiero'!$A32)</f>
        <v/>
      </c>
      <c r="B32" s="41">
        <f>IF('Cronograma R. Financiero'!$A32="","",'Cronograma R. Financiero'!$B32&amp;"")</f>
        <v/>
      </c>
      <c r="C32" s="41">
        <f>IF('Cronograma R. Financiero'!$A32="","",'Cronograma R. Financiero'!$C32&amp;"")</f>
        <v/>
      </c>
      <c r="D32" s="63">
        <f>IF(OR('Cronograma R. Financiero'!$A32="",'Cronograma R. Financiero'!$D32=""),"",'Cronograma R. Financiero'!$D32)</f>
        <v/>
      </c>
      <c r="E32" s="63">
        <f>IF(OR('Cronograma R. Financiero'!$A32="",'Cronograma R. Financiero'!$E32=""),"",'Cronograma R. Financiero'!$E32)</f>
        <v/>
      </c>
      <c r="F32" s="22">
        <f>IF(OR('Cronograma R. Financiero'!$A32="",NOT(ISNUMBER('Cronograma R. Financiero'!$E32))),"",IF('Cronograma R. Financiero'!$E32&lt;InicioCiclo,"Antes del ciclo",IF('Cronograma R. Financiero'!$E32&gt;=InicioCiclo+28,"Después del ciclo","Semana "&amp;(INT(('Cronograma R. Financiero'!$E32-InicioCiclo)/7)+1))))</f>
        <v/>
      </c>
      <c r="G32" s="20">
        <f>IF(OR('Cronograma R. Financiero'!$A32="",'Cronograma R. Financiero'!$G32=""),"",'Cronograma R. Financiero'!$G32)</f>
        <v/>
      </c>
      <c r="H32" s="20">
        <f>IF(OR('Cronograma R. Financiero'!$A32="",'Cronograma R. Financiero'!$H32=""),"",'Cronograma R. Financiero'!$H32)</f>
        <v/>
      </c>
      <c r="I32" s="20">
        <f>IF(OR('Cronograma R. Financiero'!$A32="",'Cronograma R. Financiero'!$I32=""),"",'Cronograma R. Financiero'!$I32)</f>
        <v/>
      </c>
      <c r="J32" s="20">
        <f>IF(OR('Cronograma R. Financiero'!$A32="",'Cronograma R. Financiero'!$J32=""),"",'Cronograma R. Financiero'!$J32)</f>
        <v/>
      </c>
      <c r="K32" s="20">
        <f>IF('Cronograma R. Financiero'!$A32="","",'Cronograma R. Financiero'!$K32)</f>
        <v/>
      </c>
      <c r="L32" s="22">
        <f>IF('Cronograma R. Financiero'!$A32="","",IF(N('Cronograma R. Financiero'!$K32)&gt;=1,"Completado",IF(AND(ISNUMBER('Cronograma R. Financiero'!$E32),'Cronograma R. Financiero'!$E32&lt;FechaRef),"Vencida",IF(N('Cronograma R. Financiero'!$K32)&gt;0,"En curso","Pendiente"))))</f>
        <v/>
      </c>
      <c r="M32" s="41">
        <f>IF('Cronograma R. Financiero'!$A32="","",'Cronograma R. Financiero'!$M32&amp;"")</f>
        <v/>
      </c>
    </row>
    <row r="33">
      <c r="A33" s="22">
        <f>IF('Cronograma R. Financiero'!$A33="","",'Cronograma R. Financiero'!$A33)</f>
        <v/>
      </c>
      <c r="B33" s="41">
        <f>IF('Cronograma R. Financiero'!$A33="","",'Cronograma R. Financiero'!$B33&amp;"")</f>
        <v/>
      </c>
      <c r="C33" s="41">
        <f>IF('Cronograma R. Financiero'!$A33="","",'Cronograma R. Financiero'!$C33&amp;"")</f>
        <v/>
      </c>
      <c r="D33" s="63">
        <f>IF(OR('Cronograma R. Financiero'!$A33="",'Cronograma R. Financiero'!$D33=""),"",'Cronograma R. Financiero'!$D33)</f>
        <v/>
      </c>
      <c r="E33" s="63">
        <f>IF(OR('Cronograma R. Financiero'!$A33="",'Cronograma R. Financiero'!$E33=""),"",'Cronograma R. Financiero'!$E33)</f>
        <v/>
      </c>
      <c r="F33" s="22">
        <f>IF(OR('Cronograma R. Financiero'!$A33="",NOT(ISNUMBER('Cronograma R. Financiero'!$E33))),"",IF('Cronograma R. Financiero'!$E33&lt;InicioCiclo,"Antes del ciclo",IF('Cronograma R. Financiero'!$E33&gt;=InicioCiclo+28,"Después del ciclo","Semana "&amp;(INT(('Cronograma R. Financiero'!$E33-InicioCiclo)/7)+1))))</f>
        <v/>
      </c>
      <c r="G33" s="20">
        <f>IF(OR('Cronograma R. Financiero'!$A33="",'Cronograma R. Financiero'!$G33=""),"",'Cronograma R. Financiero'!$G33)</f>
        <v/>
      </c>
      <c r="H33" s="20">
        <f>IF(OR('Cronograma R. Financiero'!$A33="",'Cronograma R. Financiero'!$H33=""),"",'Cronograma R. Financiero'!$H33)</f>
        <v/>
      </c>
      <c r="I33" s="20">
        <f>IF(OR('Cronograma R. Financiero'!$A33="",'Cronograma R. Financiero'!$I33=""),"",'Cronograma R. Financiero'!$I33)</f>
        <v/>
      </c>
      <c r="J33" s="20">
        <f>IF(OR('Cronograma R. Financiero'!$A33="",'Cronograma R. Financiero'!$J33=""),"",'Cronograma R. Financiero'!$J33)</f>
        <v/>
      </c>
      <c r="K33" s="20">
        <f>IF('Cronograma R. Financiero'!$A33="","",'Cronograma R. Financiero'!$K33)</f>
        <v/>
      </c>
      <c r="L33" s="22">
        <f>IF('Cronograma R. Financiero'!$A33="","",IF(N('Cronograma R. Financiero'!$K33)&gt;=1,"Completado",IF(AND(ISNUMBER('Cronograma R. Financiero'!$E33),'Cronograma R. Financiero'!$E33&lt;FechaRef),"Vencida",IF(N('Cronograma R. Financiero'!$K33)&gt;0,"En curso","Pendiente"))))</f>
        <v/>
      </c>
      <c r="M33" s="41">
        <f>IF('Cronograma R. Financiero'!$A33="","",'Cronograma R. Financiero'!$M33&amp;"")</f>
        <v/>
      </c>
    </row>
    <row r="34">
      <c r="A34" s="22">
        <f>IF('Cronograma R. Financiero'!$A34="","",'Cronograma R. Financiero'!$A34)</f>
        <v/>
      </c>
      <c r="B34" s="41">
        <f>IF('Cronograma R. Financiero'!$A34="","",'Cronograma R. Financiero'!$B34&amp;"")</f>
        <v/>
      </c>
      <c r="C34" s="41">
        <f>IF('Cronograma R. Financiero'!$A34="","",'Cronograma R. Financiero'!$C34&amp;"")</f>
        <v/>
      </c>
      <c r="D34" s="63">
        <f>IF(OR('Cronograma R. Financiero'!$A34="",'Cronograma R. Financiero'!$D34=""),"",'Cronograma R. Financiero'!$D34)</f>
        <v/>
      </c>
      <c r="E34" s="63">
        <f>IF(OR('Cronograma R. Financiero'!$A34="",'Cronograma R. Financiero'!$E34=""),"",'Cronograma R. Financiero'!$E34)</f>
        <v/>
      </c>
      <c r="F34" s="22">
        <f>IF(OR('Cronograma R. Financiero'!$A34="",NOT(ISNUMBER('Cronograma R. Financiero'!$E34))),"",IF('Cronograma R. Financiero'!$E34&lt;InicioCiclo,"Antes del ciclo",IF('Cronograma R. Financiero'!$E34&gt;=InicioCiclo+28,"Después del ciclo","Semana "&amp;(INT(('Cronograma R. Financiero'!$E34-InicioCiclo)/7)+1))))</f>
        <v/>
      </c>
      <c r="G34" s="20">
        <f>IF(OR('Cronograma R. Financiero'!$A34="",'Cronograma R. Financiero'!$G34=""),"",'Cronograma R. Financiero'!$G34)</f>
        <v/>
      </c>
      <c r="H34" s="20">
        <f>IF(OR('Cronograma R. Financiero'!$A34="",'Cronograma R. Financiero'!$H34=""),"",'Cronograma R. Financiero'!$H34)</f>
        <v/>
      </c>
      <c r="I34" s="20">
        <f>IF(OR('Cronograma R. Financiero'!$A34="",'Cronograma R. Financiero'!$I34=""),"",'Cronograma R. Financiero'!$I34)</f>
        <v/>
      </c>
      <c r="J34" s="20">
        <f>IF(OR('Cronograma R. Financiero'!$A34="",'Cronograma R. Financiero'!$J34=""),"",'Cronograma R. Financiero'!$J34)</f>
        <v/>
      </c>
      <c r="K34" s="20">
        <f>IF('Cronograma R. Financiero'!$A34="","",'Cronograma R. Financiero'!$K34)</f>
        <v/>
      </c>
      <c r="L34" s="22">
        <f>IF('Cronograma R. Financiero'!$A34="","",IF(N('Cronograma R. Financiero'!$K34)&gt;=1,"Completado",IF(AND(ISNUMBER('Cronograma R. Financiero'!$E34),'Cronograma R. Financiero'!$E34&lt;FechaRef),"Vencida",IF(N('Cronograma R. Financiero'!$K34)&gt;0,"En curso","Pendiente"))))</f>
        <v/>
      </c>
      <c r="M34" s="41">
        <f>IF('Cronograma R. Financiero'!$A34="","",'Cronograma R. Financiero'!$M34&amp;"")</f>
        <v/>
      </c>
    </row>
    <row r="35">
      <c r="A35" s="22">
        <f>IF('Cronograma R. Financiero'!$A35="","",'Cronograma R. Financiero'!$A35)</f>
        <v/>
      </c>
      <c r="B35" s="41">
        <f>IF('Cronograma R. Financiero'!$A35="","",'Cronograma R. Financiero'!$B35&amp;"")</f>
        <v/>
      </c>
      <c r="C35" s="41">
        <f>IF('Cronograma R. Financiero'!$A35="","",'Cronograma R. Financiero'!$C35&amp;"")</f>
        <v/>
      </c>
      <c r="D35" s="63">
        <f>IF(OR('Cronograma R. Financiero'!$A35="",'Cronograma R. Financiero'!$D35=""),"",'Cronograma R. Financiero'!$D35)</f>
        <v/>
      </c>
      <c r="E35" s="63">
        <f>IF(OR('Cronograma R. Financiero'!$A35="",'Cronograma R. Financiero'!$E35=""),"",'Cronograma R. Financiero'!$E35)</f>
        <v/>
      </c>
      <c r="F35" s="22">
        <f>IF(OR('Cronograma R. Financiero'!$A35="",NOT(ISNUMBER('Cronograma R. Financiero'!$E35))),"",IF('Cronograma R. Financiero'!$E35&lt;InicioCiclo,"Antes del ciclo",IF('Cronograma R. Financiero'!$E35&gt;=InicioCiclo+28,"Después del ciclo","Semana "&amp;(INT(('Cronograma R. Financiero'!$E35-InicioCiclo)/7)+1))))</f>
        <v/>
      </c>
      <c r="G35" s="20">
        <f>IF(OR('Cronograma R. Financiero'!$A35="",'Cronograma R. Financiero'!$G35=""),"",'Cronograma R. Financiero'!$G35)</f>
        <v/>
      </c>
      <c r="H35" s="20">
        <f>IF(OR('Cronograma R. Financiero'!$A35="",'Cronograma R. Financiero'!$H35=""),"",'Cronograma R. Financiero'!$H35)</f>
        <v/>
      </c>
      <c r="I35" s="20">
        <f>IF(OR('Cronograma R. Financiero'!$A35="",'Cronograma R. Financiero'!$I35=""),"",'Cronograma R. Financiero'!$I35)</f>
        <v/>
      </c>
      <c r="J35" s="20">
        <f>IF(OR('Cronograma R. Financiero'!$A35="",'Cronograma R. Financiero'!$J35=""),"",'Cronograma R. Financiero'!$J35)</f>
        <v/>
      </c>
      <c r="K35" s="20">
        <f>IF('Cronograma R. Financiero'!$A35="","",'Cronograma R. Financiero'!$K35)</f>
        <v/>
      </c>
      <c r="L35" s="22">
        <f>IF('Cronograma R. Financiero'!$A35="","",IF(N('Cronograma R. Financiero'!$K35)&gt;=1,"Completado",IF(AND(ISNUMBER('Cronograma R. Financiero'!$E35),'Cronograma R. Financiero'!$E35&lt;FechaRef),"Vencida",IF(N('Cronograma R. Financiero'!$K35)&gt;0,"En curso","Pendiente"))))</f>
        <v/>
      </c>
      <c r="M35" s="41">
        <f>IF('Cronograma R. Financiero'!$A35="","",'Cronograma R. Financiero'!$M35&amp;"")</f>
        <v/>
      </c>
    </row>
    <row r="36">
      <c r="A36" s="22">
        <f>IF('Cronograma R. Financiero'!$A36="","",'Cronograma R. Financiero'!$A36)</f>
        <v/>
      </c>
      <c r="B36" s="41">
        <f>IF('Cronograma R. Financiero'!$A36="","",'Cronograma R. Financiero'!$B36&amp;"")</f>
        <v/>
      </c>
      <c r="C36" s="41">
        <f>IF('Cronograma R. Financiero'!$A36="","",'Cronograma R. Financiero'!$C36&amp;"")</f>
        <v/>
      </c>
      <c r="D36" s="63">
        <f>IF(OR('Cronograma R. Financiero'!$A36="",'Cronograma R. Financiero'!$D36=""),"",'Cronograma R. Financiero'!$D36)</f>
        <v/>
      </c>
      <c r="E36" s="63">
        <f>IF(OR('Cronograma R. Financiero'!$A36="",'Cronograma R. Financiero'!$E36=""),"",'Cronograma R. Financiero'!$E36)</f>
        <v/>
      </c>
      <c r="F36" s="22">
        <f>IF(OR('Cronograma R. Financiero'!$A36="",NOT(ISNUMBER('Cronograma R. Financiero'!$E36))),"",IF('Cronograma R. Financiero'!$E36&lt;InicioCiclo,"Antes del ciclo",IF('Cronograma R. Financiero'!$E36&gt;=InicioCiclo+28,"Después del ciclo","Semana "&amp;(INT(('Cronograma R. Financiero'!$E36-InicioCiclo)/7)+1))))</f>
        <v/>
      </c>
      <c r="G36" s="20">
        <f>IF(OR('Cronograma R. Financiero'!$A36="",'Cronograma R. Financiero'!$G36=""),"",'Cronograma R. Financiero'!$G36)</f>
        <v/>
      </c>
      <c r="H36" s="20">
        <f>IF(OR('Cronograma R. Financiero'!$A36="",'Cronograma R. Financiero'!$H36=""),"",'Cronograma R. Financiero'!$H36)</f>
        <v/>
      </c>
      <c r="I36" s="20">
        <f>IF(OR('Cronograma R. Financiero'!$A36="",'Cronograma R. Financiero'!$I36=""),"",'Cronograma R. Financiero'!$I36)</f>
        <v/>
      </c>
      <c r="J36" s="20">
        <f>IF(OR('Cronograma R. Financiero'!$A36="",'Cronograma R. Financiero'!$J36=""),"",'Cronograma R. Financiero'!$J36)</f>
        <v/>
      </c>
      <c r="K36" s="20">
        <f>IF('Cronograma R. Financiero'!$A36="","",'Cronograma R. Financiero'!$K36)</f>
        <v/>
      </c>
      <c r="L36" s="22">
        <f>IF('Cronograma R. Financiero'!$A36="","",IF(N('Cronograma R. Financiero'!$K36)&gt;=1,"Completado",IF(AND(ISNUMBER('Cronograma R. Financiero'!$E36),'Cronograma R. Financiero'!$E36&lt;FechaRef),"Vencida",IF(N('Cronograma R. Financiero'!$K36)&gt;0,"En curso","Pendiente"))))</f>
        <v/>
      </c>
      <c r="M36" s="41">
        <f>IF('Cronograma R. Financiero'!$A36="","",'Cronograma R. Financiero'!$M36&amp;"")</f>
        <v/>
      </c>
    </row>
    <row r="37">
      <c r="A37" s="22">
        <f>IF('Cronograma R. Financiero'!$A37="","",'Cronograma R. Financiero'!$A37)</f>
        <v/>
      </c>
      <c r="B37" s="41">
        <f>IF('Cronograma R. Financiero'!$A37="","",'Cronograma R. Financiero'!$B37&amp;"")</f>
        <v/>
      </c>
      <c r="C37" s="41">
        <f>IF('Cronograma R. Financiero'!$A37="","",'Cronograma R. Financiero'!$C37&amp;"")</f>
        <v/>
      </c>
      <c r="D37" s="63">
        <f>IF(OR('Cronograma R. Financiero'!$A37="",'Cronograma R. Financiero'!$D37=""),"",'Cronograma R. Financiero'!$D37)</f>
        <v/>
      </c>
      <c r="E37" s="63">
        <f>IF(OR('Cronograma R. Financiero'!$A37="",'Cronograma R. Financiero'!$E37=""),"",'Cronograma R. Financiero'!$E37)</f>
        <v/>
      </c>
      <c r="F37" s="22">
        <f>IF(OR('Cronograma R. Financiero'!$A37="",NOT(ISNUMBER('Cronograma R. Financiero'!$E37))),"",IF('Cronograma R. Financiero'!$E37&lt;InicioCiclo,"Antes del ciclo",IF('Cronograma R. Financiero'!$E37&gt;=InicioCiclo+28,"Después del ciclo","Semana "&amp;(INT(('Cronograma R. Financiero'!$E37-InicioCiclo)/7)+1))))</f>
        <v/>
      </c>
      <c r="G37" s="20">
        <f>IF(OR('Cronograma R. Financiero'!$A37="",'Cronograma R. Financiero'!$G37=""),"",'Cronograma R. Financiero'!$G37)</f>
        <v/>
      </c>
      <c r="H37" s="20">
        <f>IF(OR('Cronograma R. Financiero'!$A37="",'Cronograma R. Financiero'!$H37=""),"",'Cronograma R. Financiero'!$H37)</f>
        <v/>
      </c>
      <c r="I37" s="20">
        <f>IF(OR('Cronograma R. Financiero'!$A37="",'Cronograma R. Financiero'!$I37=""),"",'Cronograma R. Financiero'!$I37)</f>
        <v/>
      </c>
      <c r="J37" s="20">
        <f>IF(OR('Cronograma R. Financiero'!$A37="",'Cronograma R. Financiero'!$J37=""),"",'Cronograma R. Financiero'!$J37)</f>
        <v/>
      </c>
      <c r="K37" s="20">
        <f>IF('Cronograma R. Financiero'!$A37="","",'Cronograma R. Financiero'!$K37)</f>
        <v/>
      </c>
      <c r="L37" s="22">
        <f>IF('Cronograma R. Financiero'!$A37="","",IF(N('Cronograma R. Financiero'!$K37)&gt;=1,"Completado",IF(AND(ISNUMBER('Cronograma R. Financiero'!$E37),'Cronograma R. Financiero'!$E37&lt;FechaRef),"Vencida",IF(N('Cronograma R. Financiero'!$K37)&gt;0,"En curso","Pendiente"))))</f>
        <v/>
      </c>
      <c r="M37" s="41">
        <f>IF('Cronograma R. Financiero'!$A37="","",'Cronograma R. Financiero'!$M37&amp;"")</f>
        <v/>
      </c>
    </row>
    <row r="38">
      <c r="A38" s="22">
        <f>IF('Cronograma R. Financiero'!$A38="","",'Cronograma R. Financiero'!$A38)</f>
        <v/>
      </c>
      <c r="B38" s="41">
        <f>IF('Cronograma R. Financiero'!$A38="","",'Cronograma R. Financiero'!$B38&amp;"")</f>
        <v/>
      </c>
      <c r="C38" s="41">
        <f>IF('Cronograma R. Financiero'!$A38="","",'Cronograma R. Financiero'!$C38&amp;"")</f>
        <v/>
      </c>
      <c r="D38" s="63">
        <f>IF(OR('Cronograma R. Financiero'!$A38="",'Cronograma R. Financiero'!$D38=""),"",'Cronograma R. Financiero'!$D38)</f>
        <v/>
      </c>
      <c r="E38" s="63">
        <f>IF(OR('Cronograma R. Financiero'!$A38="",'Cronograma R. Financiero'!$E38=""),"",'Cronograma R. Financiero'!$E38)</f>
        <v/>
      </c>
      <c r="F38" s="22">
        <f>IF(OR('Cronograma R. Financiero'!$A38="",NOT(ISNUMBER('Cronograma R. Financiero'!$E38))),"",IF('Cronograma R. Financiero'!$E38&lt;InicioCiclo,"Antes del ciclo",IF('Cronograma R. Financiero'!$E38&gt;=InicioCiclo+28,"Después del ciclo","Semana "&amp;(INT(('Cronograma R. Financiero'!$E38-InicioCiclo)/7)+1))))</f>
        <v/>
      </c>
      <c r="G38" s="20">
        <f>IF(OR('Cronograma R. Financiero'!$A38="",'Cronograma R. Financiero'!$G38=""),"",'Cronograma R. Financiero'!$G38)</f>
        <v/>
      </c>
      <c r="H38" s="20">
        <f>IF(OR('Cronograma R. Financiero'!$A38="",'Cronograma R. Financiero'!$H38=""),"",'Cronograma R. Financiero'!$H38)</f>
        <v/>
      </c>
      <c r="I38" s="20">
        <f>IF(OR('Cronograma R. Financiero'!$A38="",'Cronograma R. Financiero'!$I38=""),"",'Cronograma R. Financiero'!$I38)</f>
        <v/>
      </c>
      <c r="J38" s="20">
        <f>IF(OR('Cronograma R. Financiero'!$A38="",'Cronograma R. Financiero'!$J38=""),"",'Cronograma R. Financiero'!$J38)</f>
        <v/>
      </c>
      <c r="K38" s="20">
        <f>IF('Cronograma R. Financiero'!$A38="","",'Cronograma R. Financiero'!$K38)</f>
        <v/>
      </c>
      <c r="L38" s="22">
        <f>IF('Cronograma R. Financiero'!$A38="","",IF(N('Cronograma R. Financiero'!$K38)&gt;=1,"Completado",IF(AND(ISNUMBER('Cronograma R. Financiero'!$E38),'Cronograma R. Financiero'!$E38&lt;FechaRef),"Vencida",IF(N('Cronograma R. Financiero'!$K38)&gt;0,"En curso","Pendiente"))))</f>
        <v/>
      </c>
      <c r="M38" s="41">
        <f>IF('Cronograma R. Financiero'!$A38="","",'Cronograma R. Financiero'!$M38&amp;"")</f>
        <v/>
      </c>
    </row>
    <row r="39">
      <c r="A39" s="22">
        <f>IF('Cronograma R. Financiero'!$A39="","",'Cronograma R. Financiero'!$A39)</f>
        <v/>
      </c>
      <c r="B39" s="41">
        <f>IF('Cronograma R. Financiero'!$A39="","",'Cronograma R. Financiero'!$B39&amp;"")</f>
        <v/>
      </c>
      <c r="C39" s="41">
        <f>IF('Cronograma R. Financiero'!$A39="","",'Cronograma R. Financiero'!$C39&amp;"")</f>
        <v/>
      </c>
      <c r="D39" s="63">
        <f>IF(OR('Cronograma R. Financiero'!$A39="",'Cronograma R. Financiero'!$D39=""),"",'Cronograma R. Financiero'!$D39)</f>
        <v/>
      </c>
      <c r="E39" s="63">
        <f>IF(OR('Cronograma R. Financiero'!$A39="",'Cronograma R. Financiero'!$E39=""),"",'Cronograma R. Financiero'!$E39)</f>
        <v/>
      </c>
      <c r="F39" s="22">
        <f>IF(OR('Cronograma R. Financiero'!$A39="",NOT(ISNUMBER('Cronograma R. Financiero'!$E39))),"",IF('Cronograma R. Financiero'!$E39&lt;InicioCiclo,"Antes del ciclo",IF('Cronograma R. Financiero'!$E39&gt;=InicioCiclo+28,"Después del ciclo","Semana "&amp;(INT(('Cronograma R. Financiero'!$E39-InicioCiclo)/7)+1))))</f>
        <v/>
      </c>
      <c r="G39" s="20">
        <f>IF(OR('Cronograma R. Financiero'!$A39="",'Cronograma R. Financiero'!$G39=""),"",'Cronograma R. Financiero'!$G39)</f>
        <v/>
      </c>
      <c r="H39" s="20">
        <f>IF(OR('Cronograma R. Financiero'!$A39="",'Cronograma R. Financiero'!$H39=""),"",'Cronograma R. Financiero'!$H39)</f>
        <v/>
      </c>
      <c r="I39" s="20">
        <f>IF(OR('Cronograma R. Financiero'!$A39="",'Cronograma R. Financiero'!$I39=""),"",'Cronograma R. Financiero'!$I39)</f>
        <v/>
      </c>
      <c r="J39" s="20">
        <f>IF(OR('Cronograma R. Financiero'!$A39="",'Cronograma R. Financiero'!$J39=""),"",'Cronograma R. Financiero'!$J39)</f>
        <v/>
      </c>
      <c r="K39" s="20">
        <f>IF('Cronograma R. Financiero'!$A39="","",'Cronograma R. Financiero'!$K39)</f>
        <v/>
      </c>
      <c r="L39" s="22">
        <f>IF('Cronograma R. Financiero'!$A39="","",IF(N('Cronograma R. Financiero'!$K39)&gt;=1,"Completado",IF(AND(ISNUMBER('Cronograma R. Financiero'!$E39),'Cronograma R. Financiero'!$E39&lt;FechaRef),"Vencida",IF(N('Cronograma R. Financiero'!$K39)&gt;0,"En curso","Pendiente"))))</f>
        <v/>
      </c>
      <c r="M39" s="41">
        <f>IF('Cronograma R. Financiero'!$A39="","",'Cronograma R. Financiero'!$M39&amp;"")</f>
        <v/>
      </c>
    </row>
    <row r="40">
      <c r="A40" s="22">
        <f>IF('Cronograma R. Financiero'!$A40="","",'Cronograma R. Financiero'!$A40)</f>
        <v/>
      </c>
      <c r="B40" s="41">
        <f>IF('Cronograma R. Financiero'!$A40="","",'Cronograma R. Financiero'!$B40&amp;"")</f>
        <v/>
      </c>
      <c r="C40" s="41">
        <f>IF('Cronograma R. Financiero'!$A40="","",'Cronograma R. Financiero'!$C40&amp;"")</f>
        <v/>
      </c>
      <c r="D40" s="63">
        <f>IF(OR('Cronograma R. Financiero'!$A40="",'Cronograma R. Financiero'!$D40=""),"",'Cronograma R. Financiero'!$D40)</f>
        <v/>
      </c>
      <c r="E40" s="63">
        <f>IF(OR('Cronograma R. Financiero'!$A40="",'Cronograma R. Financiero'!$E40=""),"",'Cronograma R. Financiero'!$E40)</f>
        <v/>
      </c>
      <c r="F40" s="22">
        <f>IF(OR('Cronograma R. Financiero'!$A40="",NOT(ISNUMBER('Cronograma R. Financiero'!$E40))),"",IF('Cronograma R. Financiero'!$E40&lt;InicioCiclo,"Antes del ciclo",IF('Cronograma R. Financiero'!$E40&gt;=InicioCiclo+28,"Después del ciclo","Semana "&amp;(INT(('Cronograma R. Financiero'!$E40-InicioCiclo)/7)+1))))</f>
        <v/>
      </c>
      <c r="G40" s="20">
        <f>IF(OR('Cronograma R. Financiero'!$A40="",'Cronograma R. Financiero'!$G40=""),"",'Cronograma R. Financiero'!$G40)</f>
        <v/>
      </c>
      <c r="H40" s="20">
        <f>IF(OR('Cronograma R. Financiero'!$A40="",'Cronograma R. Financiero'!$H40=""),"",'Cronograma R. Financiero'!$H40)</f>
        <v/>
      </c>
      <c r="I40" s="20">
        <f>IF(OR('Cronograma R. Financiero'!$A40="",'Cronograma R. Financiero'!$I40=""),"",'Cronograma R. Financiero'!$I40)</f>
        <v/>
      </c>
      <c r="J40" s="20">
        <f>IF(OR('Cronograma R. Financiero'!$A40="",'Cronograma R. Financiero'!$J40=""),"",'Cronograma R. Financiero'!$J40)</f>
        <v/>
      </c>
      <c r="K40" s="20">
        <f>IF('Cronograma R. Financiero'!$A40="","",'Cronograma R. Financiero'!$K40)</f>
        <v/>
      </c>
      <c r="L40" s="22">
        <f>IF('Cronograma R. Financiero'!$A40="","",IF(N('Cronograma R. Financiero'!$K40)&gt;=1,"Completado",IF(AND(ISNUMBER('Cronograma R. Financiero'!$E40),'Cronograma R. Financiero'!$E40&lt;FechaRef),"Vencida",IF(N('Cronograma R. Financiero'!$K40)&gt;0,"En curso","Pendiente"))))</f>
        <v/>
      </c>
      <c r="M40" s="41">
        <f>IF('Cronograma R. Financiero'!$A40="","",'Cronograma R. Financiero'!$M40&amp;"")</f>
        <v/>
      </c>
    </row>
    <row r="41">
      <c r="A41" s="22">
        <f>IF('Cronograma R. Financiero'!$A41="","",'Cronograma R. Financiero'!$A41)</f>
        <v/>
      </c>
      <c r="B41" s="41">
        <f>IF('Cronograma R. Financiero'!$A41="","",'Cronograma R. Financiero'!$B41&amp;"")</f>
        <v/>
      </c>
      <c r="C41" s="41">
        <f>IF('Cronograma R. Financiero'!$A41="","",'Cronograma R. Financiero'!$C41&amp;"")</f>
        <v/>
      </c>
      <c r="D41" s="63">
        <f>IF(OR('Cronograma R. Financiero'!$A41="",'Cronograma R. Financiero'!$D41=""),"",'Cronograma R. Financiero'!$D41)</f>
        <v/>
      </c>
      <c r="E41" s="63">
        <f>IF(OR('Cronograma R. Financiero'!$A41="",'Cronograma R. Financiero'!$E41=""),"",'Cronograma R. Financiero'!$E41)</f>
        <v/>
      </c>
      <c r="F41" s="22">
        <f>IF(OR('Cronograma R. Financiero'!$A41="",NOT(ISNUMBER('Cronograma R. Financiero'!$E41))),"",IF('Cronograma R. Financiero'!$E41&lt;InicioCiclo,"Antes del ciclo",IF('Cronograma R. Financiero'!$E41&gt;=InicioCiclo+28,"Después del ciclo","Semana "&amp;(INT(('Cronograma R. Financiero'!$E41-InicioCiclo)/7)+1))))</f>
        <v/>
      </c>
      <c r="G41" s="20">
        <f>IF(OR('Cronograma R. Financiero'!$A41="",'Cronograma R. Financiero'!$G41=""),"",'Cronograma R. Financiero'!$G41)</f>
        <v/>
      </c>
      <c r="H41" s="20">
        <f>IF(OR('Cronograma R. Financiero'!$A41="",'Cronograma R. Financiero'!$H41=""),"",'Cronograma R. Financiero'!$H41)</f>
        <v/>
      </c>
      <c r="I41" s="20">
        <f>IF(OR('Cronograma R. Financiero'!$A41="",'Cronograma R. Financiero'!$I41=""),"",'Cronograma R. Financiero'!$I41)</f>
        <v/>
      </c>
      <c r="J41" s="20">
        <f>IF(OR('Cronograma R. Financiero'!$A41="",'Cronograma R. Financiero'!$J41=""),"",'Cronograma R. Financiero'!$J41)</f>
        <v/>
      </c>
      <c r="K41" s="20">
        <f>IF('Cronograma R. Financiero'!$A41="","",'Cronograma R. Financiero'!$K41)</f>
        <v/>
      </c>
      <c r="L41" s="22">
        <f>IF('Cronograma R. Financiero'!$A41="","",IF(N('Cronograma R. Financiero'!$K41)&gt;=1,"Completado",IF(AND(ISNUMBER('Cronograma R. Financiero'!$E41),'Cronograma R. Financiero'!$E41&lt;FechaRef),"Vencida",IF(N('Cronograma R. Financiero'!$K41)&gt;0,"En curso","Pendiente"))))</f>
        <v/>
      </c>
      <c r="M41" s="41">
        <f>IF('Cronograma R. Financiero'!$A41="","",'Cronograma R. Financiero'!$M41&amp;"")</f>
        <v/>
      </c>
    </row>
    <row r="42">
      <c r="A42" s="22">
        <f>IF('Cronograma R. Financiero'!$A42="","",'Cronograma R. Financiero'!$A42)</f>
        <v/>
      </c>
      <c r="B42" s="41">
        <f>IF('Cronograma R. Financiero'!$A42="","",'Cronograma R. Financiero'!$B42&amp;"")</f>
        <v/>
      </c>
      <c r="C42" s="41">
        <f>IF('Cronograma R. Financiero'!$A42="","",'Cronograma R. Financiero'!$C42&amp;"")</f>
        <v/>
      </c>
      <c r="D42" s="63">
        <f>IF(OR('Cronograma R. Financiero'!$A42="",'Cronograma R. Financiero'!$D42=""),"",'Cronograma R. Financiero'!$D42)</f>
        <v/>
      </c>
      <c r="E42" s="63">
        <f>IF(OR('Cronograma R. Financiero'!$A42="",'Cronograma R. Financiero'!$E42=""),"",'Cronograma R. Financiero'!$E42)</f>
        <v/>
      </c>
      <c r="F42" s="22">
        <f>IF(OR('Cronograma R. Financiero'!$A42="",NOT(ISNUMBER('Cronograma R. Financiero'!$E42))),"",IF('Cronograma R. Financiero'!$E42&lt;InicioCiclo,"Antes del ciclo",IF('Cronograma R. Financiero'!$E42&gt;=InicioCiclo+28,"Después del ciclo","Semana "&amp;(INT(('Cronograma R. Financiero'!$E42-InicioCiclo)/7)+1))))</f>
        <v/>
      </c>
      <c r="G42" s="20">
        <f>IF(OR('Cronograma R. Financiero'!$A42="",'Cronograma R. Financiero'!$G42=""),"",'Cronograma R. Financiero'!$G42)</f>
        <v/>
      </c>
      <c r="H42" s="20">
        <f>IF(OR('Cronograma R. Financiero'!$A42="",'Cronograma R. Financiero'!$H42=""),"",'Cronograma R. Financiero'!$H42)</f>
        <v/>
      </c>
      <c r="I42" s="20">
        <f>IF(OR('Cronograma R. Financiero'!$A42="",'Cronograma R. Financiero'!$I42=""),"",'Cronograma R. Financiero'!$I42)</f>
        <v/>
      </c>
      <c r="J42" s="20">
        <f>IF(OR('Cronograma R. Financiero'!$A42="",'Cronograma R. Financiero'!$J42=""),"",'Cronograma R. Financiero'!$J42)</f>
        <v/>
      </c>
      <c r="K42" s="20">
        <f>IF('Cronograma R. Financiero'!$A42="","",'Cronograma R. Financiero'!$K42)</f>
        <v/>
      </c>
      <c r="L42" s="22">
        <f>IF('Cronograma R. Financiero'!$A42="","",IF(N('Cronograma R. Financiero'!$K42)&gt;=1,"Completado",IF(AND(ISNUMBER('Cronograma R. Financiero'!$E42),'Cronograma R. Financiero'!$E42&lt;FechaRef),"Vencida",IF(N('Cronograma R. Financiero'!$K42)&gt;0,"En curso","Pendiente"))))</f>
        <v/>
      </c>
      <c r="M42" s="41">
        <f>IF('Cronograma R. Financiero'!$A42="","",'Cronograma R. Financiero'!$M42&amp;"")</f>
        <v/>
      </c>
    </row>
    <row r="43">
      <c r="A43" s="22">
        <f>IF('Cronograma R. Financiero'!$A43="","",'Cronograma R. Financiero'!$A43)</f>
        <v/>
      </c>
      <c r="B43" s="41">
        <f>IF('Cronograma R. Financiero'!$A43="","",'Cronograma R. Financiero'!$B43&amp;"")</f>
        <v/>
      </c>
      <c r="C43" s="41">
        <f>IF('Cronograma R. Financiero'!$A43="","",'Cronograma R. Financiero'!$C43&amp;"")</f>
        <v/>
      </c>
      <c r="D43" s="63">
        <f>IF(OR('Cronograma R. Financiero'!$A43="",'Cronograma R. Financiero'!$D43=""),"",'Cronograma R. Financiero'!$D43)</f>
        <v/>
      </c>
      <c r="E43" s="63">
        <f>IF(OR('Cronograma R. Financiero'!$A43="",'Cronograma R. Financiero'!$E43=""),"",'Cronograma R. Financiero'!$E43)</f>
        <v/>
      </c>
      <c r="F43" s="22">
        <f>IF(OR('Cronograma R. Financiero'!$A43="",NOT(ISNUMBER('Cronograma R. Financiero'!$E43))),"",IF('Cronograma R. Financiero'!$E43&lt;InicioCiclo,"Antes del ciclo",IF('Cronograma R. Financiero'!$E43&gt;=InicioCiclo+28,"Después del ciclo","Semana "&amp;(INT(('Cronograma R. Financiero'!$E43-InicioCiclo)/7)+1))))</f>
        <v/>
      </c>
      <c r="G43" s="20">
        <f>IF(OR('Cronograma R. Financiero'!$A43="",'Cronograma R. Financiero'!$G43=""),"",'Cronograma R. Financiero'!$G43)</f>
        <v/>
      </c>
      <c r="H43" s="20">
        <f>IF(OR('Cronograma R. Financiero'!$A43="",'Cronograma R. Financiero'!$H43=""),"",'Cronograma R. Financiero'!$H43)</f>
        <v/>
      </c>
      <c r="I43" s="20">
        <f>IF(OR('Cronograma R. Financiero'!$A43="",'Cronograma R. Financiero'!$I43=""),"",'Cronograma R. Financiero'!$I43)</f>
        <v/>
      </c>
      <c r="J43" s="20">
        <f>IF(OR('Cronograma R. Financiero'!$A43="",'Cronograma R. Financiero'!$J43=""),"",'Cronograma R. Financiero'!$J43)</f>
        <v/>
      </c>
      <c r="K43" s="20">
        <f>IF('Cronograma R. Financiero'!$A43="","",'Cronograma R. Financiero'!$K43)</f>
        <v/>
      </c>
      <c r="L43" s="22">
        <f>IF('Cronograma R. Financiero'!$A43="","",IF(N('Cronograma R. Financiero'!$K43)&gt;=1,"Completado",IF(AND(ISNUMBER('Cronograma R. Financiero'!$E43),'Cronograma R. Financiero'!$E43&lt;FechaRef),"Vencida",IF(N('Cronograma R. Financiero'!$K43)&gt;0,"En curso","Pendiente"))))</f>
        <v/>
      </c>
      <c r="M43" s="41">
        <f>IF('Cronograma R. Financiero'!$A43="","",'Cronograma R. Financiero'!$M43&amp;"")</f>
        <v/>
      </c>
    </row>
    <row r="44">
      <c r="A44" s="22">
        <f>IF('Cronograma R. Financiero'!$A44="","",'Cronograma R. Financiero'!$A44)</f>
        <v/>
      </c>
      <c r="B44" s="41">
        <f>IF('Cronograma R. Financiero'!$A44="","",'Cronograma R. Financiero'!$B44&amp;"")</f>
        <v/>
      </c>
      <c r="C44" s="41">
        <f>IF('Cronograma R. Financiero'!$A44="","",'Cronograma R. Financiero'!$C44&amp;"")</f>
        <v/>
      </c>
      <c r="D44" s="63">
        <f>IF(OR('Cronograma R. Financiero'!$A44="",'Cronograma R. Financiero'!$D44=""),"",'Cronograma R. Financiero'!$D44)</f>
        <v/>
      </c>
      <c r="E44" s="63">
        <f>IF(OR('Cronograma R. Financiero'!$A44="",'Cronograma R. Financiero'!$E44=""),"",'Cronograma R. Financiero'!$E44)</f>
        <v/>
      </c>
      <c r="F44" s="22">
        <f>IF(OR('Cronograma R. Financiero'!$A44="",NOT(ISNUMBER('Cronograma R. Financiero'!$E44))),"",IF('Cronograma R. Financiero'!$E44&lt;InicioCiclo,"Antes del ciclo",IF('Cronograma R. Financiero'!$E44&gt;=InicioCiclo+28,"Después del ciclo","Semana "&amp;(INT(('Cronograma R. Financiero'!$E44-InicioCiclo)/7)+1))))</f>
        <v/>
      </c>
      <c r="G44" s="20">
        <f>IF(OR('Cronograma R. Financiero'!$A44="",'Cronograma R. Financiero'!$G44=""),"",'Cronograma R. Financiero'!$G44)</f>
        <v/>
      </c>
      <c r="H44" s="20">
        <f>IF(OR('Cronograma R. Financiero'!$A44="",'Cronograma R. Financiero'!$H44=""),"",'Cronograma R. Financiero'!$H44)</f>
        <v/>
      </c>
      <c r="I44" s="20">
        <f>IF(OR('Cronograma R. Financiero'!$A44="",'Cronograma R. Financiero'!$I44=""),"",'Cronograma R. Financiero'!$I44)</f>
        <v/>
      </c>
      <c r="J44" s="20">
        <f>IF(OR('Cronograma R. Financiero'!$A44="",'Cronograma R. Financiero'!$J44=""),"",'Cronograma R. Financiero'!$J44)</f>
        <v/>
      </c>
      <c r="K44" s="20">
        <f>IF('Cronograma R. Financiero'!$A44="","",'Cronograma R. Financiero'!$K44)</f>
        <v/>
      </c>
      <c r="L44" s="22">
        <f>IF('Cronograma R. Financiero'!$A44="","",IF(N('Cronograma R. Financiero'!$K44)&gt;=1,"Completado",IF(AND(ISNUMBER('Cronograma R. Financiero'!$E44),'Cronograma R. Financiero'!$E44&lt;FechaRef),"Vencida",IF(N('Cronograma R. Financiero'!$K44)&gt;0,"En curso","Pendiente"))))</f>
        <v/>
      </c>
      <c r="M44" s="41">
        <f>IF('Cronograma R. Financiero'!$A44="","",'Cronograma R. Financiero'!$M44&amp;"")</f>
        <v/>
      </c>
    </row>
    <row r="45">
      <c r="A45" s="22">
        <f>IF('Cronograma R. Financiero'!$A45="","",'Cronograma R. Financiero'!$A45)</f>
        <v/>
      </c>
      <c r="B45" s="41">
        <f>IF('Cronograma R. Financiero'!$A45="","",'Cronograma R. Financiero'!$B45&amp;"")</f>
        <v/>
      </c>
      <c r="C45" s="41">
        <f>IF('Cronograma R. Financiero'!$A45="","",'Cronograma R. Financiero'!$C45&amp;"")</f>
        <v/>
      </c>
      <c r="D45" s="63">
        <f>IF(OR('Cronograma R. Financiero'!$A45="",'Cronograma R. Financiero'!$D45=""),"",'Cronograma R. Financiero'!$D45)</f>
        <v/>
      </c>
      <c r="E45" s="63">
        <f>IF(OR('Cronograma R. Financiero'!$A45="",'Cronograma R. Financiero'!$E45=""),"",'Cronograma R. Financiero'!$E45)</f>
        <v/>
      </c>
      <c r="F45" s="22">
        <f>IF(OR('Cronograma R. Financiero'!$A45="",NOT(ISNUMBER('Cronograma R. Financiero'!$E45))),"",IF('Cronograma R. Financiero'!$E45&lt;InicioCiclo,"Antes del ciclo",IF('Cronograma R. Financiero'!$E45&gt;=InicioCiclo+28,"Después del ciclo","Semana "&amp;(INT(('Cronograma R. Financiero'!$E45-InicioCiclo)/7)+1))))</f>
        <v/>
      </c>
      <c r="G45" s="20">
        <f>IF(OR('Cronograma R. Financiero'!$A45="",'Cronograma R. Financiero'!$G45=""),"",'Cronograma R. Financiero'!$G45)</f>
        <v/>
      </c>
      <c r="H45" s="20">
        <f>IF(OR('Cronograma R. Financiero'!$A45="",'Cronograma R. Financiero'!$H45=""),"",'Cronograma R. Financiero'!$H45)</f>
        <v/>
      </c>
      <c r="I45" s="20">
        <f>IF(OR('Cronograma R. Financiero'!$A45="",'Cronograma R. Financiero'!$I45=""),"",'Cronograma R. Financiero'!$I45)</f>
        <v/>
      </c>
      <c r="J45" s="20">
        <f>IF(OR('Cronograma R. Financiero'!$A45="",'Cronograma R. Financiero'!$J45=""),"",'Cronograma R. Financiero'!$J45)</f>
        <v/>
      </c>
      <c r="K45" s="20">
        <f>IF('Cronograma R. Financiero'!$A45="","",'Cronograma R. Financiero'!$K45)</f>
        <v/>
      </c>
      <c r="L45" s="22">
        <f>IF('Cronograma R. Financiero'!$A45="","",IF(N('Cronograma R. Financiero'!$K45)&gt;=1,"Completado",IF(AND(ISNUMBER('Cronograma R. Financiero'!$E45),'Cronograma R. Financiero'!$E45&lt;FechaRef),"Vencida",IF(N('Cronograma R. Financiero'!$K45)&gt;0,"En curso","Pendiente"))))</f>
        <v/>
      </c>
      <c r="M45" s="41">
        <f>IF('Cronograma R. Financiero'!$A45="","",'Cronograma R. Financiero'!$M45&amp;"")</f>
        <v/>
      </c>
    </row>
    <row r="46">
      <c r="A46" s="22">
        <f>IF('Cronograma R. Financiero'!$A46="","",'Cronograma R. Financiero'!$A46)</f>
        <v/>
      </c>
      <c r="B46" s="41">
        <f>IF('Cronograma R. Financiero'!$A46="","",'Cronograma R. Financiero'!$B46&amp;"")</f>
        <v/>
      </c>
      <c r="C46" s="41">
        <f>IF('Cronograma R. Financiero'!$A46="","",'Cronograma R. Financiero'!$C46&amp;"")</f>
        <v/>
      </c>
      <c r="D46" s="63">
        <f>IF(OR('Cronograma R. Financiero'!$A46="",'Cronograma R. Financiero'!$D46=""),"",'Cronograma R. Financiero'!$D46)</f>
        <v/>
      </c>
      <c r="E46" s="63">
        <f>IF(OR('Cronograma R. Financiero'!$A46="",'Cronograma R. Financiero'!$E46=""),"",'Cronograma R. Financiero'!$E46)</f>
        <v/>
      </c>
      <c r="F46" s="22">
        <f>IF(OR('Cronograma R. Financiero'!$A46="",NOT(ISNUMBER('Cronograma R. Financiero'!$E46))),"",IF('Cronograma R. Financiero'!$E46&lt;InicioCiclo,"Antes del ciclo",IF('Cronograma R. Financiero'!$E46&gt;=InicioCiclo+28,"Después del ciclo","Semana "&amp;(INT(('Cronograma R. Financiero'!$E46-InicioCiclo)/7)+1))))</f>
        <v/>
      </c>
      <c r="G46" s="20">
        <f>IF(OR('Cronograma R. Financiero'!$A46="",'Cronograma R. Financiero'!$G46=""),"",'Cronograma R. Financiero'!$G46)</f>
        <v/>
      </c>
      <c r="H46" s="20">
        <f>IF(OR('Cronograma R. Financiero'!$A46="",'Cronograma R. Financiero'!$H46=""),"",'Cronograma R. Financiero'!$H46)</f>
        <v/>
      </c>
      <c r="I46" s="20">
        <f>IF(OR('Cronograma R. Financiero'!$A46="",'Cronograma R. Financiero'!$I46=""),"",'Cronograma R. Financiero'!$I46)</f>
        <v/>
      </c>
      <c r="J46" s="20">
        <f>IF(OR('Cronograma R. Financiero'!$A46="",'Cronograma R. Financiero'!$J46=""),"",'Cronograma R. Financiero'!$J46)</f>
        <v/>
      </c>
      <c r="K46" s="20">
        <f>IF('Cronograma R. Financiero'!$A46="","",'Cronograma R. Financiero'!$K46)</f>
        <v/>
      </c>
      <c r="L46" s="22">
        <f>IF('Cronograma R. Financiero'!$A46="","",IF(N('Cronograma R. Financiero'!$K46)&gt;=1,"Completado",IF(AND(ISNUMBER('Cronograma R. Financiero'!$E46),'Cronograma R. Financiero'!$E46&lt;FechaRef),"Vencida",IF(N('Cronograma R. Financiero'!$K46)&gt;0,"En curso","Pendiente"))))</f>
        <v/>
      </c>
      <c r="M46" s="41">
        <f>IF('Cronograma R. Financiero'!$A46="","",'Cronograma R. Financiero'!$M46&amp;"")</f>
        <v/>
      </c>
    </row>
    <row r="47">
      <c r="A47" s="22">
        <f>IF('Cronograma R. Financiero'!$A47="","",'Cronograma R. Financiero'!$A47)</f>
        <v/>
      </c>
      <c r="B47" s="41">
        <f>IF('Cronograma R. Financiero'!$A47="","",'Cronograma R. Financiero'!$B47&amp;"")</f>
        <v/>
      </c>
      <c r="C47" s="41">
        <f>IF('Cronograma R. Financiero'!$A47="","",'Cronograma R. Financiero'!$C47&amp;"")</f>
        <v/>
      </c>
      <c r="D47" s="63">
        <f>IF(OR('Cronograma R. Financiero'!$A47="",'Cronograma R. Financiero'!$D47=""),"",'Cronograma R. Financiero'!$D47)</f>
        <v/>
      </c>
      <c r="E47" s="63">
        <f>IF(OR('Cronograma R. Financiero'!$A47="",'Cronograma R. Financiero'!$E47=""),"",'Cronograma R. Financiero'!$E47)</f>
        <v/>
      </c>
      <c r="F47" s="22">
        <f>IF(OR('Cronograma R. Financiero'!$A47="",NOT(ISNUMBER('Cronograma R. Financiero'!$E47))),"",IF('Cronograma R. Financiero'!$E47&lt;InicioCiclo,"Antes del ciclo",IF('Cronograma R. Financiero'!$E47&gt;=InicioCiclo+28,"Después del ciclo","Semana "&amp;(INT(('Cronograma R. Financiero'!$E47-InicioCiclo)/7)+1))))</f>
        <v/>
      </c>
      <c r="G47" s="20">
        <f>IF(OR('Cronograma R. Financiero'!$A47="",'Cronograma R. Financiero'!$G47=""),"",'Cronograma R. Financiero'!$G47)</f>
        <v/>
      </c>
      <c r="H47" s="20">
        <f>IF(OR('Cronograma R. Financiero'!$A47="",'Cronograma R. Financiero'!$H47=""),"",'Cronograma R. Financiero'!$H47)</f>
        <v/>
      </c>
      <c r="I47" s="20">
        <f>IF(OR('Cronograma R. Financiero'!$A47="",'Cronograma R. Financiero'!$I47=""),"",'Cronograma R. Financiero'!$I47)</f>
        <v/>
      </c>
      <c r="J47" s="20">
        <f>IF(OR('Cronograma R. Financiero'!$A47="",'Cronograma R. Financiero'!$J47=""),"",'Cronograma R. Financiero'!$J47)</f>
        <v/>
      </c>
      <c r="K47" s="20">
        <f>IF('Cronograma R. Financiero'!$A47="","",'Cronograma R. Financiero'!$K47)</f>
        <v/>
      </c>
      <c r="L47" s="22">
        <f>IF('Cronograma R. Financiero'!$A47="","",IF(N('Cronograma R. Financiero'!$K47)&gt;=1,"Completado",IF(AND(ISNUMBER('Cronograma R. Financiero'!$E47),'Cronograma R. Financiero'!$E47&lt;FechaRef),"Vencida",IF(N('Cronograma R. Financiero'!$K47)&gt;0,"En curso","Pendiente"))))</f>
        <v/>
      </c>
      <c r="M47" s="41">
        <f>IF('Cronograma R. Financiero'!$A47="","",'Cronograma R. Financiero'!$M47&amp;"")</f>
        <v/>
      </c>
    </row>
    <row r="48">
      <c r="A48" s="22">
        <f>IF('Cronograma R. Financiero'!$A48="","",'Cronograma R. Financiero'!$A48)</f>
        <v/>
      </c>
      <c r="B48" s="41">
        <f>IF('Cronograma R. Financiero'!$A48="","",'Cronograma R. Financiero'!$B48&amp;"")</f>
        <v/>
      </c>
      <c r="C48" s="41">
        <f>IF('Cronograma R. Financiero'!$A48="","",'Cronograma R. Financiero'!$C48&amp;"")</f>
        <v/>
      </c>
      <c r="D48" s="63">
        <f>IF(OR('Cronograma R. Financiero'!$A48="",'Cronograma R. Financiero'!$D48=""),"",'Cronograma R. Financiero'!$D48)</f>
        <v/>
      </c>
      <c r="E48" s="63">
        <f>IF(OR('Cronograma R. Financiero'!$A48="",'Cronograma R. Financiero'!$E48=""),"",'Cronograma R. Financiero'!$E48)</f>
        <v/>
      </c>
      <c r="F48" s="22">
        <f>IF(OR('Cronograma R. Financiero'!$A48="",NOT(ISNUMBER('Cronograma R. Financiero'!$E48))),"",IF('Cronograma R. Financiero'!$E48&lt;InicioCiclo,"Antes del ciclo",IF('Cronograma R. Financiero'!$E48&gt;=InicioCiclo+28,"Después del ciclo","Semana "&amp;(INT(('Cronograma R. Financiero'!$E48-InicioCiclo)/7)+1))))</f>
        <v/>
      </c>
      <c r="G48" s="20">
        <f>IF(OR('Cronograma R. Financiero'!$A48="",'Cronograma R. Financiero'!$G48=""),"",'Cronograma R. Financiero'!$G48)</f>
        <v/>
      </c>
      <c r="H48" s="20">
        <f>IF(OR('Cronograma R. Financiero'!$A48="",'Cronograma R. Financiero'!$H48=""),"",'Cronograma R. Financiero'!$H48)</f>
        <v/>
      </c>
      <c r="I48" s="20">
        <f>IF(OR('Cronograma R. Financiero'!$A48="",'Cronograma R. Financiero'!$I48=""),"",'Cronograma R. Financiero'!$I48)</f>
        <v/>
      </c>
      <c r="J48" s="20">
        <f>IF(OR('Cronograma R. Financiero'!$A48="",'Cronograma R. Financiero'!$J48=""),"",'Cronograma R. Financiero'!$J48)</f>
        <v/>
      </c>
      <c r="K48" s="20">
        <f>IF('Cronograma R. Financiero'!$A48="","",'Cronograma R. Financiero'!$K48)</f>
        <v/>
      </c>
      <c r="L48" s="22">
        <f>IF('Cronograma R. Financiero'!$A48="","",IF(N('Cronograma R. Financiero'!$K48)&gt;=1,"Completado",IF(AND(ISNUMBER('Cronograma R. Financiero'!$E48),'Cronograma R. Financiero'!$E48&lt;FechaRef),"Vencida",IF(N('Cronograma R. Financiero'!$K48)&gt;0,"En curso","Pendiente"))))</f>
        <v/>
      </c>
      <c r="M48" s="41">
        <f>IF('Cronograma R. Financiero'!$A48="","",'Cronograma R. Financiero'!$M48&amp;"")</f>
        <v/>
      </c>
    </row>
    <row r="49">
      <c r="A49" s="22">
        <f>IF('Cronograma R. Financiero'!$A49="","",'Cronograma R. Financiero'!$A49)</f>
        <v/>
      </c>
      <c r="B49" s="41">
        <f>IF('Cronograma R. Financiero'!$A49="","",'Cronograma R. Financiero'!$B49&amp;"")</f>
        <v/>
      </c>
      <c r="C49" s="41">
        <f>IF('Cronograma R. Financiero'!$A49="","",'Cronograma R. Financiero'!$C49&amp;"")</f>
        <v/>
      </c>
      <c r="D49" s="63">
        <f>IF(OR('Cronograma R. Financiero'!$A49="",'Cronograma R. Financiero'!$D49=""),"",'Cronograma R. Financiero'!$D49)</f>
        <v/>
      </c>
      <c r="E49" s="63">
        <f>IF(OR('Cronograma R. Financiero'!$A49="",'Cronograma R. Financiero'!$E49=""),"",'Cronograma R. Financiero'!$E49)</f>
        <v/>
      </c>
      <c r="F49" s="22">
        <f>IF(OR('Cronograma R. Financiero'!$A49="",NOT(ISNUMBER('Cronograma R. Financiero'!$E49))),"",IF('Cronograma R. Financiero'!$E49&lt;InicioCiclo,"Antes del ciclo",IF('Cronograma R. Financiero'!$E49&gt;=InicioCiclo+28,"Después del ciclo","Semana "&amp;(INT(('Cronograma R. Financiero'!$E49-InicioCiclo)/7)+1))))</f>
        <v/>
      </c>
      <c r="G49" s="20">
        <f>IF(OR('Cronograma R. Financiero'!$A49="",'Cronograma R. Financiero'!$G49=""),"",'Cronograma R. Financiero'!$G49)</f>
        <v/>
      </c>
      <c r="H49" s="20">
        <f>IF(OR('Cronograma R. Financiero'!$A49="",'Cronograma R. Financiero'!$H49=""),"",'Cronograma R. Financiero'!$H49)</f>
        <v/>
      </c>
      <c r="I49" s="20">
        <f>IF(OR('Cronograma R. Financiero'!$A49="",'Cronograma R. Financiero'!$I49=""),"",'Cronograma R. Financiero'!$I49)</f>
        <v/>
      </c>
      <c r="J49" s="20">
        <f>IF(OR('Cronograma R. Financiero'!$A49="",'Cronograma R. Financiero'!$J49=""),"",'Cronograma R. Financiero'!$J49)</f>
        <v/>
      </c>
      <c r="K49" s="20">
        <f>IF('Cronograma R. Financiero'!$A49="","",'Cronograma R. Financiero'!$K49)</f>
        <v/>
      </c>
      <c r="L49" s="22">
        <f>IF('Cronograma R. Financiero'!$A49="","",IF(N('Cronograma R. Financiero'!$K49)&gt;=1,"Completado",IF(AND(ISNUMBER('Cronograma R. Financiero'!$E49),'Cronograma R. Financiero'!$E49&lt;FechaRef),"Vencida",IF(N('Cronograma R. Financiero'!$K49)&gt;0,"En curso","Pendiente"))))</f>
        <v/>
      </c>
      <c r="M49" s="41">
        <f>IF('Cronograma R. Financiero'!$A49="","",'Cronograma R. Financiero'!$M49&amp;"")</f>
        <v/>
      </c>
    </row>
    <row r="50">
      <c r="A50" s="22">
        <f>IF('Cronograma R. Financiero'!$A50="","",'Cronograma R. Financiero'!$A50)</f>
        <v/>
      </c>
      <c r="B50" s="41">
        <f>IF('Cronograma R. Financiero'!$A50="","",'Cronograma R. Financiero'!$B50&amp;"")</f>
        <v/>
      </c>
      <c r="C50" s="41">
        <f>IF('Cronograma R. Financiero'!$A50="","",'Cronograma R. Financiero'!$C50&amp;"")</f>
        <v/>
      </c>
      <c r="D50" s="63">
        <f>IF(OR('Cronograma R. Financiero'!$A50="",'Cronograma R. Financiero'!$D50=""),"",'Cronograma R. Financiero'!$D50)</f>
        <v/>
      </c>
      <c r="E50" s="63">
        <f>IF(OR('Cronograma R. Financiero'!$A50="",'Cronograma R. Financiero'!$E50=""),"",'Cronograma R. Financiero'!$E50)</f>
        <v/>
      </c>
      <c r="F50" s="22">
        <f>IF(OR('Cronograma R. Financiero'!$A50="",NOT(ISNUMBER('Cronograma R. Financiero'!$E50))),"",IF('Cronograma R. Financiero'!$E50&lt;InicioCiclo,"Antes del ciclo",IF('Cronograma R. Financiero'!$E50&gt;=InicioCiclo+28,"Después del ciclo","Semana "&amp;(INT(('Cronograma R. Financiero'!$E50-InicioCiclo)/7)+1))))</f>
        <v/>
      </c>
      <c r="G50" s="20">
        <f>IF(OR('Cronograma R. Financiero'!$A50="",'Cronograma R. Financiero'!$G50=""),"",'Cronograma R. Financiero'!$G50)</f>
        <v/>
      </c>
      <c r="H50" s="20">
        <f>IF(OR('Cronograma R. Financiero'!$A50="",'Cronograma R. Financiero'!$H50=""),"",'Cronograma R. Financiero'!$H50)</f>
        <v/>
      </c>
      <c r="I50" s="20">
        <f>IF(OR('Cronograma R. Financiero'!$A50="",'Cronograma R. Financiero'!$I50=""),"",'Cronograma R. Financiero'!$I50)</f>
        <v/>
      </c>
      <c r="J50" s="20">
        <f>IF(OR('Cronograma R. Financiero'!$A50="",'Cronograma R. Financiero'!$J50=""),"",'Cronograma R. Financiero'!$J50)</f>
        <v/>
      </c>
      <c r="K50" s="20">
        <f>IF('Cronograma R. Financiero'!$A50="","",'Cronograma R. Financiero'!$K50)</f>
        <v/>
      </c>
      <c r="L50" s="22">
        <f>IF('Cronograma R. Financiero'!$A50="","",IF(N('Cronograma R. Financiero'!$K50)&gt;=1,"Completado",IF(AND(ISNUMBER('Cronograma R. Financiero'!$E50),'Cronograma R. Financiero'!$E50&lt;FechaRef),"Vencida",IF(N('Cronograma R. Financiero'!$K50)&gt;0,"En curso","Pendiente"))))</f>
        <v/>
      </c>
      <c r="M50" s="41">
        <f>IF('Cronograma R. Financiero'!$A50="","",'Cronograma R. Financiero'!$M50&amp;"")</f>
        <v/>
      </c>
    </row>
    <row r="51">
      <c r="A51" s="22">
        <f>IF('Cronograma R. Financiero'!$A51="","",'Cronograma R. Financiero'!$A51)</f>
        <v/>
      </c>
      <c r="B51" s="41">
        <f>IF('Cronograma R. Financiero'!$A51="","",'Cronograma R. Financiero'!$B51&amp;"")</f>
        <v/>
      </c>
      <c r="C51" s="41">
        <f>IF('Cronograma R. Financiero'!$A51="","",'Cronograma R. Financiero'!$C51&amp;"")</f>
        <v/>
      </c>
      <c r="D51" s="63">
        <f>IF(OR('Cronograma R. Financiero'!$A51="",'Cronograma R. Financiero'!$D51=""),"",'Cronograma R. Financiero'!$D51)</f>
        <v/>
      </c>
      <c r="E51" s="63">
        <f>IF(OR('Cronograma R. Financiero'!$A51="",'Cronograma R. Financiero'!$E51=""),"",'Cronograma R. Financiero'!$E51)</f>
        <v/>
      </c>
      <c r="F51" s="22">
        <f>IF(OR('Cronograma R. Financiero'!$A51="",NOT(ISNUMBER('Cronograma R. Financiero'!$E51))),"",IF('Cronograma R. Financiero'!$E51&lt;InicioCiclo,"Antes del ciclo",IF('Cronograma R. Financiero'!$E51&gt;=InicioCiclo+28,"Después del ciclo","Semana "&amp;(INT(('Cronograma R. Financiero'!$E51-InicioCiclo)/7)+1))))</f>
        <v/>
      </c>
      <c r="G51" s="20">
        <f>IF(OR('Cronograma R. Financiero'!$A51="",'Cronograma R. Financiero'!$G51=""),"",'Cronograma R. Financiero'!$G51)</f>
        <v/>
      </c>
      <c r="H51" s="20">
        <f>IF(OR('Cronograma R. Financiero'!$A51="",'Cronograma R. Financiero'!$H51=""),"",'Cronograma R. Financiero'!$H51)</f>
        <v/>
      </c>
      <c r="I51" s="20">
        <f>IF(OR('Cronograma R. Financiero'!$A51="",'Cronograma R. Financiero'!$I51=""),"",'Cronograma R. Financiero'!$I51)</f>
        <v/>
      </c>
      <c r="J51" s="20">
        <f>IF(OR('Cronograma R. Financiero'!$A51="",'Cronograma R. Financiero'!$J51=""),"",'Cronograma R. Financiero'!$J51)</f>
        <v/>
      </c>
      <c r="K51" s="20">
        <f>IF('Cronograma R. Financiero'!$A51="","",'Cronograma R. Financiero'!$K51)</f>
        <v/>
      </c>
      <c r="L51" s="22">
        <f>IF('Cronograma R. Financiero'!$A51="","",IF(N('Cronograma R. Financiero'!$K51)&gt;=1,"Completado",IF(AND(ISNUMBER('Cronograma R. Financiero'!$E51),'Cronograma R. Financiero'!$E51&lt;FechaRef),"Vencida",IF(N('Cronograma R. Financiero'!$K51)&gt;0,"En curso","Pendiente"))))</f>
        <v/>
      </c>
      <c r="M51" s="41">
        <f>IF('Cronograma R. Financiero'!$A51="","",'Cronograma R. Financiero'!$M51&amp;"")</f>
        <v/>
      </c>
    </row>
    <row r="52">
      <c r="A52" s="22">
        <f>IF('Cronograma R. Financiero'!$A52="","",'Cronograma R. Financiero'!$A52)</f>
        <v/>
      </c>
      <c r="B52" s="41">
        <f>IF('Cronograma R. Financiero'!$A52="","",'Cronograma R. Financiero'!$B52&amp;"")</f>
        <v/>
      </c>
      <c r="C52" s="41">
        <f>IF('Cronograma R. Financiero'!$A52="","",'Cronograma R. Financiero'!$C52&amp;"")</f>
        <v/>
      </c>
      <c r="D52" s="63">
        <f>IF(OR('Cronograma R. Financiero'!$A52="",'Cronograma R. Financiero'!$D52=""),"",'Cronograma R. Financiero'!$D52)</f>
        <v/>
      </c>
      <c r="E52" s="63">
        <f>IF(OR('Cronograma R. Financiero'!$A52="",'Cronograma R. Financiero'!$E52=""),"",'Cronograma R. Financiero'!$E52)</f>
        <v/>
      </c>
      <c r="F52" s="22">
        <f>IF(OR('Cronograma R. Financiero'!$A52="",NOT(ISNUMBER('Cronograma R. Financiero'!$E52))),"",IF('Cronograma R. Financiero'!$E52&lt;InicioCiclo,"Antes del ciclo",IF('Cronograma R. Financiero'!$E52&gt;=InicioCiclo+28,"Después del ciclo","Semana "&amp;(INT(('Cronograma R. Financiero'!$E52-InicioCiclo)/7)+1))))</f>
        <v/>
      </c>
      <c r="G52" s="20">
        <f>IF(OR('Cronograma R. Financiero'!$A52="",'Cronograma R. Financiero'!$G52=""),"",'Cronograma R. Financiero'!$G52)</f>
        <v/>
      </c>
      <c r="H52" s="20">
        <f>IF(OR('Cronograma R. Financiero'!$A52="",'Cronograma R. Financiero'!$H52=""),"",'Cronograma R. Financiero'!$H52)</f>
        <v/>
      </c>
      <c r="I52" s="20">
        <f>IF(OR('Cronograma R. Financiero'!$A52="",'Cronograma R. Financiero'!$I52=""),"",'Cronograma R. Financiero'!$I52)</f>
        <v/>
      </c>
      <c r="J52" s="20">
        <f>IF(OR('Cronograma R. Financiero'!$A52="",'Cronograma R. Financiero'!$J52=""),"",'Cronograma R. Financiero'!$J52)</f>
        <v/>
      </c>
      <c r="K52" s="20">
        <f>IF('Cronograma R. Financiero'!$A52="","",'Cronograma R. Financiero'!$K52)</f>
        <v/>
      </c>
      <c r="L52" s="22">
        <f>IF('Cronograma R. Financiero'!$A52="","",IF(N('Cronograma R. Financiero'!$K52)&gt;=1,"Completado",IF(AND(ISNUMBER('Cronograma R. Financiero'!$E52),'Cronograma R. Financiero'!$E52&lt;FechaRef),"Vencida",IF(N('Cronograma R. Financiero'!$K52)&gt;0,"En curso","Pendiente"))))</f>
        <v/>
      </c>
      <c r="M52" s="41">
        <f>IF('Cronograma R. Financiero'!$A52="","",'Cronograma R. Financiero'!$M52&amp;"")</f>
        <v/>
      </c>
    </row>
    <row r="53">
      <c r="A53" s="22">
        <f>IF('Cronograma R. Financiero'!$A53="","",'Cronograma R. Financiero'!$A53)</f>
        <v/>
      </c>
      <c r="B53" s="41">
        <f>IF('Cronograma R. Financiero'!$A53="","",'Cronograma R. Financiero'!$B53&amp;"")</f>
        <v/>
      </c>
      <c r="C53" s="41">
        <f>IF('Cronograma R. Financiero'!$A53="","",'Cronograma R. Financiero'!$C53&amp;"")</f>
        <v/>
      </c>
      <c r="D53" s="63">
        <f>IF(OR('Cronograma R. Financiero'!$A53="",'Cronograma R. Financiero'!$D53=""),"",'Cronograma R. Financiero'!$D53)</f>
        <v/>
      </c>
      <c r="E53" s="63">
        <f>IF(OR('Cronograma R. Financiero'!$A53="",'Cronograma R. Financiero'!$E53=""),"",'Cronograma R. Financiero'!$E53)</f>
        <v/>
      </c>
      <c r="F53" s="22">
        <f>IF(OR('Cronograma R. Financiero'!$A53="",NOT(ISNUMBER('Cronograma R. Financiero'!$E53))),"",IF('Cronograma R. Financiero'!$E53&lt;InicioCiclo,"Antes del ciclo",IF('Cronograma R. Financiero'!$E53&gt;=InicioCiclo+28,"Después del ciclo","Semana "&amp;(INT(('Cronograma R. Financiero'!$E53-InicioCiclo)/7)+1))))</f>
        <v/>
      </c>
      <c r="G53" s="20">
        <f>IF(OR('Cronograma R. Financiero'!$A53="",'Cronograma R. Financiero'!$G53=""),"",'Cronograma R. Financiero'!$G53)</f>
        <v/>
      </c>
      <c r="H53" s="20">
        <f>IF(OR('Cronograma R. Financiero'!$A53="",'Cronograma R. Financiero'!$H53=""),"",'Cronograma R. Financiero'!$H53)</f>
        <v/>
      </c>
      <c r="I53" s="20">
        <f>IF(OR('Cronograma R. Financiero'!$A53="",'Cronograma R. Financiero'!$I53=""),"",'Cronograma R. Financiero'!$I53)</f>
        <v/>
      </c>
      <c r="J53" s="20">
        <f>IF(OR('Cronograma R. Financiero'!$A53="",'Cronograma R. Financiero'!$J53=""),"",'Cronograma R. Financiero'!$J53)</f>
        <v/>
      </c>
      <c r="K53" s="20">
        <f>IF('Cronograma R. Financiero'!$A53="","",'Cronograma R. Financiero'!$K53)</f>
        <v/>
      </c>
      <c r="L53" s="22">
        <f>IF('Cronograma R. Financiero'!$A53="","",IF(N('Cronograma R. Financiero'!$K53)&gt;=1,"Completado",IF(AND(ISNUMBER('Cronograma R. Financiero'!$E53),'Cronograma R. Financiero'!$E53&lt;FechaRef),"Vencida",IF(N('Cronograma R. Financiero'!$K53)&gt;0,"En curso","Pendiente"))))</f>
        <v/>
      </c>
      <c r="M53" s="41">
        <f>IF('Cronograma R. Financiero'!$A53="","",'Cronograma R. Financiero'!$M53&amp;"")</f>
        <v/>
      </c>
    </row>
    <row r="54">
      <c r="A54" s="22">
        <f>IF('Cronograma R. Financiero'!$A54="","",'Cronograma R. Financiero'!$A54)</f>
        <v/>
      </c>
      <c r="B54" s="41">
        <f>IF('Cronograma R. Financiero'!$A54="","",'Cronograma R. Financiero'!$B54&amp;"")</f>
        <v/>
      </c>
      <c r="C54" s="41">
        <f>IF('Cronograma R. Financiero'!$A54="","",'Cronograma R. Financiero'!$C54&amp;"")</f>
        <v/>
      </c>
      <c r="D54" s="63">
        <f>IF(OR('Cronograma R. Financiero'!$A54="",'Cronograma R. Financiero'!$D54=""),"",'Cronograma R. Financiero'!$D54)</f>
        <v/>
      </c>
      <c r="E54" s="63">
        <f>IF(OR('Cronograma R. Financiero'!$A54="",'Cronograma R. Financiero'!$E54=""),"",'Cronograma R. Financiero'!$E54)</f>
        <v/>
      </c>
      <c r="F54" s="22">
        <f>IF(OR('Cronograma R. Financiero'!$A54="",NOT(ISNUMBER('Cronograma R. Financiero'!$E54))),"",IF('Cronograma R. Financiero'!$E54&lt;InicioCiclo,"Antes del ciclo",IF('Cronograma R. Financiero'!$E54&gt;=InicioCiclo+28,"Después del ciclo","Semana "&amp;(INT(('Cronograma R. Financiero'!$E54-InicioCiclo)/7)+1))))</f>
        <v/>
      </c>
      <c r="G54" s="20">
        <f>IF(OR('Cronograma R. Financiero'!$A54="",'Cronograma R. Financiero'!$G54=""),"",'Cronograma R. Financiero'!$G54)</f>
        <v/>
      </c>
      <c r="H54" s="20">
        <f>IF(OR('Cronograma R. Financiero'!$A54="",'Cronograma R. Financiero'!$H54=""),"",'Cronograma R. Financiero'!$H54)</f>
        <v/>
      </c>
      <c r="I54" s="20">
        <f>IF(OR('Cronograma R. Financiero'!$A54="",'Cronograma R. Financiero'!$I54=""),"",'Cronograma R. Financiero'!$I54)</f>
        <v/>
      </c>
      <c r="J54" s="20">
        <f>IF(OR('Cronograma R. Financiero'!$A54="",'Cronograma R. Financiero'!$J54=""),"",'Cronograma R. Financiero'!$J54)</f>
        <v/>
      </c>
      <c r="K54" s="20">
        <f>IF('Cronograma R. Financiero'!$A54="","",'Cronograma R. Financiero'!$K54)</f>
        <v/>
      </c>
      <c r="L54" s="22">
        <f>IF('Cronograma R. Financiero'!$A54="","",IF(N('Cronograma R. Financiero'!$K54)&gt;=1,"Completado",IF(AND(ISNUMBER('Cronograma R. Financiero'!$E54),'Cronograma R. Financiero'!$E54&lt;FechaRef),"Vencida",IF(N('Cronograma R. Financiero'!$K54)&gt;0,"En curso","Pendiente"))))</f>
        <v/>
      </c>
      <c r="M54" s="41">
        <f>IF('Cronograma R. Financiero'!$A54="","",'Cronograma R. Financiero'!$M54&amp;"")</f>
        <v/>
      </c>
    </row>
    <row r="55">
      <c r="A55" s="22">
        <f>IF('Cronograma R. Financiero'!$A55="","",'Cronograma R. Financiero'!$A55)</f>
        <v/>
      </c>
      <c r="B55" s="41">
        <f>IF('Cronograma R. Financiero'!$A55="","",'Cronograma R. Financiero'!$B55&amp;"")</f>
        <v/>
      </c>
      <c r="C55" s="41">
        <f>IF('Cronograma R. Financiero'!$A55="","",'Cronograma R. Financiero'!$C55&amp;"")</f>
        <v/>
      </c>
      <c r="D55" s="63">
        <f>IF(OR('Cronograma R. Financiero'!$A55="",'Cronograma R. Financiero'!$D55=""),"",'Cronograma R. Financiero'!$D55)</f>
        <v/>
      </c>
      <c r="E55" s="63">
        <f>IF(OR('Cronograma R. Financiero'!$A55="",'Cronograma R. Financiero'!$E55=""),"",'Cronograma R. Financiero'!$E55)</f>
        <v/>
      </c>
      <c r="F55" s="22">
        <f>IF(OR('Cronograma R. Financiero'!$A55="",NOT(ISNUMBER('Cronograma R. Financiero'!$E55))),"",IF('Cronograma R. Financiero'!$E55&lt;InicioCiclo,"Antes del ciclo",IF('Cronograma R. Financiero'!$E55&gt;=InicioCiclo+28,"Después del ciclo","Semana "&amp;(INT(('Cronograma R. Financiero'!$E55-InicioCiclo)/7)+1))))</f>
        <v/>
      </c>
      <c r="G55" s="20">
        <f>IF(OR('Cronograma R. Financiero'!$A55="",'Cronograma R. Financiero'!$G55=""),"",'Cronograma R. Financiero'!$G55)</f>
        <v/>
      </c>
      <c r="H55" s="20">
        <f>IF(OR('Cronograma R. Financiero'!$A55="",'Cronograma R. Financiero'!$H55=""),"",'Cronograma R. Financiero'!$H55)</f>
        <v/>
      </c>
      <c r="I55" s="20">
        <f>IF(OR('Cronograma R. Financiero'!$A55="",'Cronograma R. Financiero'!$I55=""),"",'Cronograma R. Financiero'!$I55)</f>
        <v/>
      </c>
      <c r="J55" s="20">
        <f>IF(OR('Cronograma R. Financiero'!$A55="",'Cronograma R. Financiero'!$J55=""),"",'Cronograma R. Financiero'!$J55)</f>
        <v/>
      </c>
      <c r="K55" s="20">
        <f>IF('Cronograma R. Financiero'!$A55="","",'Cronograma R. Financiero'!$K55)</f>
        <v/>
      </c>
      <c r="L55" s="22">
        <f>IF('Cronograma R. Financiero'!$A55="","",IF(N('Cronograma R. Financiero'!$K55)&gt;=1,"Completado",IF(AND(ISNUMBER('Cronograma R. Financiero'!$E55),'Cronograma R. Financiero'!$E55&lt;FechaRef),"Vencida",IF(N('Cronograma R. Financiero'!$K55)&gt;0,"En curso","Pendiente"))))</f>
        <v/>
      </c>
      <c r="M55" s="41">
        <f>IF('Cronograma R. Financiero'!$A55="","",'Cronograma R. Financiero'!$M55&amp;"")</f>
        <v/>
      </c>
    </row>
    <row r="56">
      <c r="A56" s="22">
        <f>IF('Cronograma R. Financiero'!$A56="","",'Cronograma R. Financiero'!$A56)</f>
        <v/>
      </c>
      <c r="B56" s="41">
        <f>IF('Cronograma R. Financiero'!$A56="","",'Cronograma R. Financiero'!$B56&amp;"")</f>
        <v/>
      </c>
      <c r="C56" s="41">
        <f>IF('Cronograma R. Financiero'!$A56="","",'Cronograma R. Financiero'!$C56&amp;"")</f>
        <v/>
      </c>
      <c r="D56" s="63">
        <f>IF(OR('Cronograma R. Financiero'!$A56="",'Cronograma R. Financiero'!$D56=""),"",'Cronograma R. Financiero'!$D56)</f>
        <v/>
      </c>
      <c r="E56" s="63">
        <f>IF(OR('Cronograma R. Financiero'!$A56="",'Cronograma R. Financiero'!$E56=""),"",'Cronograma R. Financiero'!$E56)</f>
        <v/>
      </c>
      <c r="F56" s="22">
        <f>IF(OR('Cronograma R. Financiero'!$A56="",NOT(ISNUMBER('Cronograma R. Financiero'!$E56))),"",IF('Cronograma R. Financiero'!$E56&lt;InicioCiclo,"Antes del ciclo",IF('Cronograma R. Financiero'!$E56&gt;=InicioCiclo+28,"Después del ciclo","Semana "&amp;(INT(('Cronograma R. Financiero'!$E56-InicioCiclo)/7)+1))))</f>
        <v/>
      </c>
      <c r="G56" s="20">
        <f>IF(OR('Cronograma R. Financiero'!$A56="",'Cronograma R. Financiero'!$G56=""),"",'Cronograma R. Financiero'!$G56)</f>
        <v/>
      </c>
      <c r="H56" s="20">
        <f>IF(OR('Cronograma R. Financiero'!$A56="",'Cronograma R. Financiero'!$H56=""),"",'Cronograma R. Financiero'!$H56)</f>
        <v/>
      </c>
      <c r="I56" s="20">
        <f>IF(OR('Cronograma R. Financiero'!$A56="",'Cronograma R. Financiero'!$I56=""),"",'Cronograma R. Financiero'!$I56)</f>
        <v/>
      </c>
      <c r="J56" s="20">
        <f>IF(OR('Cronograma R. Financiero'!$A56="",'Cronograma R. Financiero'!$J56=""),"",'Cronograma R. Financiero'!$J56)</f>
        <v/>
      </c>
      <c r="K56" s="20">
        <f>IF('Cronograma R. Financiero'!$A56="","",'Cronograma R. Financiero'!$K56)</f>
        <v/>
      </c>
      <c r="L56" s="22">
        <f>IF('Cronograma R. Financiero'!$A56="","",IF(N('Cronograma R. Financiero'!$K56)&gt;=1,"Completado",IF(AND(ISNUMBER('Cronograma R. Financiero'!$E56),'Cronograma R. Financiero'!$E56&lt;FechaRef),"Vencida",IF(N('Cronograma R. Financiero'!$K56)&gt;0,"En curso","Pendiente"))))</f>
        <v/>
      </c>
      <c r="M56" s="41">
        <f>IF('Cronograma R. Financiero'!$A56="","",'Cronograma R. Financiero'!$M56&amp;"")</f>
        <v/>
      </c>
    </row>
    <row r="57">
      <c r="A57" s="22">
        <f>IF('Cronograma R. Financiero'!$A57="","",'Cronograma R. Financiero'!$A57)</f>
        <v/>
      </c>
      <c r="B57" s="41">
        <f>IF('Cronograma R. Financiero'!$A57="","",'Cronograma R. Financiero'!$B57&amp;"")</f>
        <v/>
      </c>
      <c r="C57" s="41">
        <f>IF('Cronograma R. Financiero'!$A57="","",'Cronograma R. Financiero'!$C57&amp;"")</f>
        <v/>
      </c>
      <c r="D57" s="63">
        <f>IF(OR('Cronograma R. Financiero'!$A57="",'Cronograma R. Financiero'!$D57=""),"",'Cronograma R. Financiero'!$D57)</f>
        <v/>
      </c>
      <c r="E57" s="63">
        <f>IF(OR('Cronograma R. Financiero'!$A57="",'Cronograma R. Financiero'!$E57=""),"",'Cronograma R. Financiero'!$E57)</f>
        <v/>
      </c>
      <c r="F57" s="22">
        <f>IF(OR('Cronograma R. Financiero'!$A57="",NOT(ISNUMBER('Cronograma R. Financiero'!$E57))),"",IF('Cronograma R. Financiero'!$E57&lt;InicioCiclo,"Antes del ciclo",IF('Cronograma R. Financiero'!$E57&gt;=InicioCiclo+28,"Después del ciclo","Semana "&amp;(INT(('Cronograma R. Financiero'!$E57-InicioCiclo)/7)+1))))</f>
        <v/>
      </c>
      <c r="G57" s="20">
        <f>IF(OR('Cronograma R. Financiero'!$A57="",'Cronograma R. Financiero'!$G57=""),"",'Cronograma R. Financiero'!$G57)</f>
        <v/>
      </c>
      <c r="H57" s="20">
        <f>IF(OR('Cronograma R. Financiero'!$A57="",'Cronograma R. Financiero'!$H57=""),"",'Cronograma R. Financiero'!$H57)</f>
        <v/>
      </c>
      <c r="I57" s="20">
        <f>IF(OR('Cronograma R. Financiero'!$A57="",'Cronograma R. Financiero'!$I57=""),"",'Cronograma R. Financiero'!$I57)</f>
        <v/>
      </c>
      <c r="J57" s="20">
        <f>IF(OR('Cronograma R. Financiero'!$A57="",'Cronograma R. Financiero'!$J57=""),"",'Cronograma R. Financiero'!$J57)</f>
        <v/>
      </c>
      <c r="K57" s="20">
        <f>IF('Cronograma R. Financiero'!$A57="","",'Cronograma R. Financiero'!$K57)</f>
        <v/>
      </c>
      <c r="L57" s="22">
        <f>IF('Cronograma R. Financiero'!$A57="","",IF(N('Cronograma R. Financiero'!$K57)&gt;=1,"Completado",IF(AND(ISNUMBER('Cronograma R. Financiero'!$E57),'Cronograma R. Financiero'!$E57&lt;FechaRef),"Vencida",IF(N('Cronograma R. Financiero'!$K57)&gt;0,"En curso","Pendiente"))))</f>
        <v/>
      </c>
      <c r="M57" s="41">
        <f>IF('Cronograma R. Financiero'!$A57="","",'Cronograma R. Financiero'!$M57&amp;"")</f>
        <v/>
      </c>
    </row>
    <row r="58">
      <c r="A58" s="22">
        <f>IF('Cronograma R. Financiero'!$A58="","",'Cronograma R. Financiero'!$A58)</f>
        <v/>
      </c>
      <c r="B58" s="41">
        <f>IF('Cronograma R. Financiero'!$A58="","",'Cronograma R. Financiero'!$B58&amp;"")</f>
        <v/>
      </c>
      <c r="C58" s="41">
        <f>IF('Cronograma R. Financiero'!$A58="","",'Cronograma R. Financiero'!$C58&amp;"")</f>
        <v/>
      </c>
      <c r="D58" s="63">
        <f>IF(OR('Cronograma R. Financiero'!$A58="",'Cronograma R. Financiero'!$D58=""),"",'Cronograma R. Financiero'!$D58)</f>
        <v/>
      </c>
      <c r="E58" s="63">
        <f>IF(OR('Cronograma R. Financiero'!$A58="",'Cronograma R. Financiero'!$E58=""),"",'Cronograma R. Financiero'!$E58)</f>
        <v/>
      </c>
      <c r="F58" s="22">
        <f>IF(OR('Cronograma R. Financiero'!$A58="",NOT(ISNUMBER('Cronograma R. Financiero'!$E58))),"",IF('Cronograma R. Financiero'!$E58&lt;InicioCiclo,"Antes del ciclo",IF('Cronograma R. Financiero'!$E58&gt;=InicioCiclo+28,"Después del ciclo","Semana "&amp;(INT(('Cronograma R. Financiero'!$E58-InicioCiclo)/7)+1))))</f>
        <v/>
      </c>
      <c r="G58" s="20">
        <f>IF(OR('Cronograma R. Financiero'!$A58="",'Cronograma R. Financiero'!$G58=""),"",'Cronograma R. Financiero'!$G58)</f>
        <v/>
      </c>
      <c r="H58" s="20">
        <f>IF(OR('Cronograma R. Financiero'!$A58="",'Cronograma R. Financiero'!$H58=""),"",'Cronograma R. Financiero'!$H58)</f>
        <v/>
      </c>
      <c r="I58" s="20">
        <f>IF(OR('Cronograma R. Financiero'!$A58="",'Cronograma R. Financiero'!$I58=""),"",'Cronograma R. Financiero'!$I58)</f>
        <v/>
      </c>
      <c r="J58" s="20">
        <f>IF(OR('Cronograma R. Financiero'!$A58="",'Cronograma R. Financiero'!$J58=""),"",'Cronograma R. Financiero'!$J58)</f>
        <v/>
      </c>
      <c r="K58" s="20">
        <f>IF('Cronograma R. Financiero'!$A58="","",'Cronograma R. Financiero'!$K58)</f>
        <v/>
      </c>
      <c r="L58" s="22">
        <f>IF('Cronograma R. Financiero'!$A58="","",IF(N('Cronograma R. Financiero'!$K58)&gt;=1,"Completado",IF(AND(ISNUMBER('Cronograma R. Financiero'!$E58),'Cronograma R. Financiero'!$E58&lt;FechaRef),"Vencida",IF(N('Cronograma R. Financiero'!$K58)&gt;0,"En curso","Pendiente"))))</f>
        <v/>
      </c>
      <c r="M58" s="41">
        <f>IF('Cronograma R. Financiero'!$A58="","",'Cronograma R. Financiero'!$M58&amp;"")</f>
        <v/>
      </c>
    </row>
    <row r="59">
      <c r="A59" s="22">
        <f>IF('Cronograma R. Financiero'!$A59="","",'Cronograma R. Financiero'!$A59)</f>
        <v/>
      </c>
      <c r="B59" s="41">
        <f>IF('Cronograma R. Financiero'!$A59="","",'Cronograma R. Financiero'!$B59&amp;"")</f>
        <v/>
      </c>
      <c r="C59" s="41">
        <f>IF('Cronograma R. Financiero'!$A59="","",'Cronograma R. Financiero'!$C59&amp;"")</f>
        <v/>
      </c>
      <c r="D59" s="63">
        <f>IF(OR('Cronograma R. Financiero'!$A59="",'Cronograma R. Financiero'!$D59=""),"",'Cronograma R. Financiero'!$D59)</f>
        <v/>
      </c>
      <c r="E59" s="63">
        <f>IF(OR('Cronograma R. Financiero'!$A59="",'Cronograma R. Financiero'!$E59=""),"",'Cronograma R. Financiero'!$E59)</f>
        <v/>
      </c>
      <c r="F59" s="22">
        <f>IF(OR('Cronograma R. Financiero'!$A59="",NOT(ISNUMBER('Cronograma R. Financiero'!$E59))),"",IF('Cronograma R. Financiero'!$E59&lt;InicioCiclo,"Antes del ciclo",IF('Cronograma R. Financiero'!$E59&gt;=InicioCiclo+28,"Después del ciclo","Semana "&amp;(INT(('Cronograma R. Financiero'!$E59-InicioCiclo)/7)+1))))</f>
        <v/>
      </c>
      <c r="G59" s="20">
        <f>IF(OR('Cronograma R. Financiero'!$A59="",'Cronograma R. Financiero'!$G59=""),"",'Cronograma R. Financiero'!$G59)</f>
        <v/>
      </c>
      <c r="H59" s="20">
        <f>IF(OR('Cronograma R. Financiero'!$A59="",'Cronograma R. Financiero'!$H59=""),"",'Cronograma R. Financiero'!$H59)</f>
        <v/>
      </c>
      <c r="I59" s="20">
        <f>IF(OR('Cronograma R. Financiero'!$A59="",'Cronograma R. Financiero'!$I59=""),"",'Cronograma R. Financiero'!$I59)</f>
        <v/>
      </c>
      <c r="J59" s="20">
        <f>IF(OR('Cronograma R. Financiero'!$A59="",'Cronograma R. Financiero'!$J59=""),"",'Cronograma R. Financiero'!$J59)</f>
        <v/>
      </c>
      <c r="K59" s="20">
        <f>IF('Cronograma R. Financiero'!$A59="","",'Cronograma R. Financiero'!$K59)</f>
        <v/>
      </c>
      <c r="L59" s="22">
        <f>IF('Cronograma R. Financiero'!$A59="","",IF(N('Cronograma R. Financiero'!$K59)&gt;=1,"Completado",IF(AND(ISNUMBER('Cronograma R. Financiero'!$E59),'Cronograma R. Financiero'!$E59&lt;FechaRef),"Vencida",IF(N('Cronograma R. Financiero'!$K59)&gt;0,"En curso","Pendiente"))))</f>
        <v/>
      </c>
      <c r="M59" s="41">
        <f>IF('Cronograma R. Financiero'!$A59="","",'Cronograma R. Financiero'!$M59&amp;"")</f>
        <v/>
      </c>
    </row>
    <row r="60">
      <c r="A60" s="22">
        <f>IF('Cronograma R. Financiero'!$A60="","",'Cronograma R. Financiero'!$A60)</f>
        <v/>
      </c>
      <c r="B60" s="41">
        <f>IF('Cronograma R. Financiero'!$A60="","",'Cronograma R. Financiero'!$B60&amp;"")</f>
        <v/>
      </c>
      <c r="C60" s="41">
        <f>IF('Cronograma R. Financiero'!$A60="","",'Cronograma R. Financiero'!$C60&amp;"")</f>
        <v/>
      </c>
      <c r="D60" s="63">
        <f>IF(OR('Cronograma R. Financiero'!$A60="",'Cronograma R. Financiero'!$D60=""),"",'Cronograma R. Financiero'!$D60)</f>
        <v/>
      </c>
      <c r="E60" s="63">
        <f>IF(OR('Cronograma R. Financiero'!$A60="",'Cronograma R. Financiero'!$E60=""),"",'Cronograma R. Financiero'!$E60)</f>
        <v/>
      </c>
      <c r="F60" s="22">
        <f>IF(OR('Cronograma R. Financiero'!$A60="",NOT(ISNUMBER('Cronograma R. Financiero'!$E60))),"",IF('Cronograma R. Financiero'!$E60&lt;InicioCiclo,"Antes del ciclo",IF('Cronograma R. Financiero'!$E60&gt;=InicioCiclo+28,"Después del ciclo","Semana "&amp;(INT(('Cronograma R. Financiero'!$E60-InicioCiclo)/7)+1))))</f>
        <v/>
      </c>
      <c r="G60" s="20">
        <f>IF(OR('Cronograma R. Financiero'!$A60="",'Cronograma R. Financiero'!$G60=""),"",'Cronograma R. Financiero'!$G60)</f>
        <v/>
      </c>
      <c r="H60" s="20">
        <f>IF(OR('Cronograma R. Financiero'!$A60="",'Cronograma R. Financiero'!$H60=""),"",'Cronograma R. Financiero'!$H60)</f>
        <v/>
      </c>
      <c r="I60" s="20">
        <f>IF(OR('Cronograma R. Financiero'!$A60="",'Cronograma R. Financiero'!$I60=""),"",'Cronograma R. Financiero'!$I60)</f>
        <v/>
      </c>
      <c r="J60" s="20">
        <f>IF(OR('Cronograma R. Financiero'!$A60="",'Cronograma R. Financiero'!$J60=""),"",'Cronograma R. Financiero'!$J60)</f>
        <v/>
      </c>
      <c r="K60" s="20">
        <f>IF('Cronograma R. Financiero'!$A60="","",'Cronograma R. Financiero'!$K60)</f>
        <v/>
      </c>
      <c r="L60" s="22">
        <f>IF('Cronograma R. Financiero'!$A60="","",IF(N('Cronograma R. Financiero'!$K60)&gt;=1,"Completado",IF(AND(ISNUMBER('Cronograma R. Financiero'!$E60),'Cronograma R. Financiero'!$E60&lt;FechaRef),"Vencida",IF(N('Cronograma R. Financiero'!$K60)&gt;0,"En curso","Pendiente"))))</f>
        <v/>
      </c>
      <c r="M60" s="41">
        <f>IF('Cronograma R. Financiero'!$A60="","",'Cronograma R. Financiero'!$M60&amp;"")</f>
        <v/>
      </c>
    </row>
    <row r="61">
      <c r="A61" s="22">
        <f>IF('Cronograma R. Financiero'!$A61="","",'Cronograma R. Financiero'!$A61)</f>
        <v/>
      </c>
      <c r="B61" s="41">
        <f>IF('Cronograma R. Financiero'!$A61="","",'Cronograma R. Financiero'!$B61&amp;"")</f>
        <v/>
      </c>
      <c r="C61" s="41">
        <f>IF('Cronograma R. Financiero'!$A61="","",'Cronograma R. Financiero'!$C61&amp;"")</f>
        <v/>
      </c>
      <c r="D61" s="63">
        <f>IF(OR('Cronograma R. Financiero'!$A61="",'Cronograma R. Financiero'!$D61=""),"",'Cronograma R. Financiero'!$D61)</f>
        <v/>
      </c>
      <c r="E61" s="63">
        <f>IF(OR('Cronograma R. Financiero'!$A61="",'Cronograma R. Financiero'!$E61=""),"",'Cronograma R. Financiero'!$E61)</f>
        <v/>
      </c>
      <c r="F61" s="22">
        <f>IF(OR('Cronograma R. Financiero'!$A61="",NOT(ISNUMBER('Cronograma R. Financiero'!$E61))),"",IF('Cronograma R. Financiero'!$E61&lt;InicioCiclo,"Antes del ciclo",IF('Cronograma R. Financiero'!$E61&gt;=InicioCiclo+28,"Después del ciclo","Semana "&amp;(INT(('Cronograma R. Financiero'!$E61-InicioCiclo)/7)+1))))</f>
        <v/>
      </c>
      <c r="G61" s="20">
        <f>IF(OR('Cronograma R. Financiero'!$A61="",'Cronograma R. Financiero'!$G61=""),"",'Cronograma R. Financiero'!$G61)</f>
        <v/>
      </c>
      <c r="H61" s="20">
        <f>IF(OR('Cronograma R. Financiero'!$A61="",'Cronograma R. Financiero'!$H61=""),"",'Cronograma R. Financiero'!$H61)</f>
        <v/>
      </c>
      <c r="I61" s="20">
        <f>IF(OR('Cronograma R. Financiero'!$A61="",'Cronograma R. Financiero'!$I61=""),"",'Cronograma R. Financiero'!$I61)</f>
        <v/>
      </c>
      <c r="J61" s="20">
        <f>IF(OR('Cronograma R. Financiero'!$A61="",'Cronograma R. Financiero'!$J61=""),"",'Cronograma R. Financiero'!$J61)</f>
        <v/>
      </c>
      <c r="K61" s="20">
        <f>IF('Cronograma R. Financiero'!$A61="","",'Cronograma R. Financiero'!$K61)</f>
        <v/>
      </c>
      <c r="L61" s="22">
        <f>IF('Cronograma R. Financiero'!$A61="","",IF(N('Cronograma R. Financiero'!$K61)&gt;=1,"Completado",IF(AND(ISNUMBER('Cronograma R. Financiero'!$E61),'Cronograma R. Financiero'!$E61&lt;FechaRef),"Vencida",IF(N('Cronograma R. Financiero'!$K61)&gt;0,"En curso","Pendiente"))))</f>
        <v/>
      </c>
      <c r="M61" s="41">
        <f>IF('Cronograma R. Financiero'!$A61="","",'Cronograma R. Financiero'!$M61&amp;"")</f>
        <v/>
      </c>
    </row>
    <row r="62">
      <c r="A62" s="22">
        <f>IF('Cronograma R. Financiero'!$A62="","",'Cronograma R. Financiero'!$A62)</f>
        <v/>
      </c>
      <c r="B62" s="41">
        <f>IF('Cronograma R. Financiero'!$A62="","",'Cronograma R. Financiero'!$B62&amp;"")</f>
        <v/>
      </c>
      <c r="C62" s="41">
        <f>IF('Cronograma R. Financiero'!$A62="","",'Cronograma R. Financiero'!$C62&amp;"")</f>
        <v/>
      </c>
      <c r="D62" s="63">
        <f>IF(OR('Cronograma R. Financiero'!$A62="",'Cronograma R. Financiero'!$D62=""),"",'Cronograma R. Financiero'!$D62)</f>
        <v/>
      </c>
      <c r="E62" s="63">
        <f>IF(OR('Cronograma R. Financiero'!$A62="",'Cronograma R. Financiero'!$E62=""),"",'Cronograma R. Financiero'!$E62)</f>
        <v/>
      </c>
      <c r="F62" s="22">
        <f>IF(OR('Cronograma R. Financiero'!$A62="",NOT(ISNUMBER('Cronograma R. Financiero'!$E62))),"",IF('Cronograma R. Financiero'!$E62&lt;InicioCiclo,"Antes del ciclo",IF('Cronograma R. Financiero'!$E62&gt;=InicioCiclo+28,"Después del ciclo","Semana "&amp;(INT(('Cronograma R. Financiero'!$E62-InicioCiclo)/7)+1))))</f>
        <v/>
      </c>
      <c r="G62" s="20">
        <f>IF(OR('Cronograma R. Financiero'!$A62="",'Cronograma R. Financiero'!$G62=""),"",'Cronograma R. Financiero'!$G62)</f>
        <v/>
      </c>
      <c r="H62" s="20">
        <f>IF(OR('Cronograma R. Financiero'!$A62="",'Cronograma R. Financiero'!$H62=""),"",'Cronograma R. Financiero'!$H62)</f>
        <v/>
      </c>
      <c r="I62" s="20">
        <f>IF(OR('Cronograma R. Financiero'!$A62="",'Cronograma R. Financiero'!$I62=""),"",'Cronograma R. Financiero'!$I62)</f>
        <v/>
      </c>
      <c r="J62" s="20">
        <f>IF(OR('Cronograma R. Financiero'!$A62="",'Cronograma R. Financiero'!$J62=""),"",'Cronograma R. Financiero'!$J62)</f>
        <v/>
      </c>
      <c r="K62" s="20">
        <f>IF('Cronograma R. Financiero'!$A62="","",'Cronograma R. Financiero'!$K62)</f>
        <v/>
      </c>
      <c r="L62" s="22">
        <f>IF('Cronograma R. Financiero'!$A62="","",IF(N('Cronograma R. Financiero'!$K62)&gt;=1,"Completado",IF(AND(ISNUMBER('Cronograma R. Financiero'!$E62),'Cronograma R. Financiero'!$E62&lt;FechaRef),"Vencida",IF(N('Cronograma R. Financiero'!$K62)&gt;0,"En curso","Pendiente"))))</f>
        <v/>
      </c>
      <c r="M62" s="41">
        <f>IF('Cronograma R. Financiero'!$A62="","",'Cronograma R. Financiero'!$M62&amp;"")</f>
        <v/>
      </c>
    </row>
    <row r="63">
      <c r="A63" s="22">
        <f>IF('Cronograma R. Financiero'!$A63="","",'Cronograma R. Financiero'!$A63)</f>
        <v/>
      </c>
      <c r="B63" s="41">
        <f>IF('Cronograma R. Financiero'!$A63="","",'Cronograma R. Financiero'!$B63&amp;"")</f>
        <v/>
      </c>
      <c r="C63" s="41">
        <f>IF('Cronograma R. Financiero'!$A63="","",'Cronograma R. Financiero'!$C63&amp;"")</f>
        <v/>
      </c>
      <c r="D63" s="63">
        <f>IF(OR('Cronograma R. Financiero'!$A63="",'Cronograma R. Financiero'!$D63=""),"",'Cronograma R. Financiero'!$D63)</f>
        <v/>
      </c>
      <c r="E63" s="63">
        <f>IF(OR('Cronograma R. Financiero'!$A63="",'Cronograma R. Financiero'!$E63=""),"",'Cronograma R. Financiero'!$E63)</f>
        <v/>
      </c>
      <c r="F63" s="22">
        <f>IF(OR('Cronograma R. Financiero'!$A63="",NOT(ISNUMBER('Cronograma R. Financiero'!$E63))),"",IF('Cronograma R. Financiero'!$E63&lt;InicioCiclo,"Antes del ciclo",IF('Cronograma R. Financiero'!$E63&gt;=InicioCiclo+28,"Después del ciclo","Semana "&amp;(INT(('Cronograma R. Financiero'!$E63-InicioCiclo)/7)+1))))</f>
        <v/>
      </c>
      <c r="G63" s="20">
        <f>IF(OR('Cronograma R. Financiero'!$A63="",'Cronograma R. Financiero'!$G63=""),"",'Cronograma R. Financiero'!$G63)</f>
        <v/>
      </c>
      <c r="H63" s="20">
        <f>IF(OR('Cronograma R. Financiero'!$A63="",'Cronograma R. Financiero'!$H63=""),"",'Cronograma R. Financiero'!$H63)</f>
        <v/>
      </c>
      <c r="I63" s="20">
        <f>IF(OR('Cronograma R. Financiero'!$A63="",'Cronograma R. Financiero'!$I63=""),"",'Cronograma R. Financiero'!$I63)</f>
        <v/>
      </c>
      <c r="J63" s="20">
        <f>IF(OR('Cronograma R. Financiero'!$A63="",'Cronograma R. Financiero'!$J63=""),"",'Cronograma R. Financiero'!$J63)</f>
        <v/>
      </c>
      <c r="K63" s="20">
        <f>IF('Cronograma R. Financiero'!$A63="","",'Cronograma R. Financiero'!$K63)</f>
        <v/>
      </c>
      <c r="L63" s="22">
        <f>IF('Cronograma R. Financiero'!$A63="","",IF(N('Cronograma R. Financiero'!$K63)&gt;=1,"Completado",IF(AND(ISNUMBER('Cronograma R. Financiero'!$E63),'Cronograma R. Financiero'!$E63&lt;FechaRef),"Vencida",IF(N('Cronograma R. Financiero'!$K63)&gt;0,"En curso","Pendiente"))))</f>
        <v/>
      </c>
      <c r="M63" s="41">
        <f>IF('Cronograma R. Financiero'!$A63="","",'Cronograma R. Financiero'!$M63&amp;"")</f>
        <v/>
      </c>
    </row>
    <row r="64">
      <c r="A64" s="22">
        <f>IF('Cronograma R. Financiero'!$A64="","",'Cronograma R. Financiero'!$A64)</f>
        <v/>
      </c>
      <c r="B64" s="41">
        <f>IF('Cronograma R. Financiero'!$A64="","",'Cronograma R. Financiero'!$B64&amp;"")</f>
        <v/>
      </c>
      <c r="C64" s="41">
        <f>IF('Cronograma R. Financiero'!$A64="","",'Cronograma R. Financiero'!$C64&amp;"")</f>
        <v/>
      </c>
      <c r="D64" s="63">
        <f>IF(OR('Cronograma R. Financiero'!$A64="",'Cronograma R. Financiero'!$D64=""),"",'Cronograma R. Financiero'!$D64)</f>
        <v/>
      </c>
      <c r="E64" s="63">
        <f>IF(OR('Cronograma R. Financiero'!$A64="",'Cronograma R. Financiero'!$E64=""),"",'Cronograma R. Financiero'!$E64)</f>
        <v/>
      </c>
      <c r="F64" s="22">
        <f>IF(OR('Cronograma R. Financiero'!$A64="",NOT(ISNUMBER('Cronograma R. Financiero'!$E64))),"",IF('Cronograma R. Financiero'!$E64&lt;InicioCiclo,"Antes del ciclo",IF('Cronograma R. Financiero'!$E64&gt;=InicioCiclo+28,"Después del ciclo","Semana "&amp;(INT(('Cronograma R. Financiero'!$E64-InicioCiclo)/7)+1))))</f>
        <v/>
      </c>
      <c r="G64" s="20">
        <f>IF(OR('Cronograma R. Financiero'!$A64="",'Cronograma R. Financiero'!$G64=""),"",'Cronograma R. Financiero'!$G64)</f>
        <v/>
      </c>
      <c r="H64" s="20">
        <f>IF(OR('Cronograma R. Financiero'!$A64="",'Cronograma R. Financiero'!$H64=""),"",'Cronograma R. Financiero'!$H64)</f>
        <v/>
      </c>
      <c r="I64" s="20">
        <f>IF(OR('Cronograma R. Financiero'!$A64="",'Cronograma R. Financiero'!$I64=""),"",'Cronograma R. Financiero'!$I64)</f>
        <v/>
      </c>
      <c r="J64" s="20">
        <f>IF(OR('Cronograma R. Financiero'!$A64="",'Cronograma R. Financiero'!$J64=""),"",'Cronograma R. Financiero'!$J64)</f>
        <v/>
      </c>
      <c r="K64" s="20">
        <f>IF('Cronograma R. Financiero'!$A64="","",'Cronograma R. Financiero'!$K64)</f>
        <v/>
      </c>
      <c r="L64" s="22">
        <f>IF('Cronograma R. Financiero'!$A64="","",IF(N('Cronograma R. Financiero'!$K64)&gt;=1,"Completado",IF(AND(ISNUMBER('Cronograma R. Financiero'!$E64),'Cronograma R. Financiero'!$E64&lt;FechaRef),"Vencida",IF(N('Cronograma R. Financiero'!$K64)&gt;0,"En curso","Pendiente"))))</f>
        <v/>
      </c>
      <c r="M64" s="41">
        <f>IF('Cronograma R. Financiero'!$A64="","",'Cronograma R. Financiero'!$M64&amp;"")</f>
        <v/>
      </c>
    </row>
    <row r="65">
      <c r="A65" s="22">
        <f>IF('Cronograma R. Financiero'!$A65="","",'Cronograma R. Financiero'!$A65)</f>
        <v/>
      </c>
      <c r="B65" s="41">
        <f>IF('Cronograma R. Financiero'!$A65="","",'Cronograma R. Financiero'!$B65&amp;"")</f>
        <v/>
      </c>
      <c r="C65" s="41">
        <f>IF('Cronograma R. Financiero'!$A65="","",'Cronograma R. Financiero'!$C65&amp;"")</f>
        <v/>
      </c>
      <c r="D65" s="63">
        <f>IF(OR('Cronograma R. Financiero'!$A65="",'Cronograma R. Financiero'!$D65=""),"",'Cronograma R. Financiero'!$D65)</f>
        <v/>
      </c>
      <c r="E65" s="63">
        <f>IF(OR('Cronograma R. Financiero'!$A65="",'Cronograma R. Financiero'!$E65=""),"",'Cronograma R. Financiero'!$E65)</f>
        <v/>
      </c>
      <c r="F65" s="22">
        <f>IF(OR('Cronograma R. Financiero'!$A65="",NOT(ISNUMBER('Cronograma R. Financiero'!$E65))),"",IF('Cronograma R. Financiero'!$E65&lt;InicioCiclo,"Antes del ciclo",IF('Cronograma R. Financiero'!$E65&gt;=InicioCiclo+28,"Después del ciclo","Semana "&amp;(INT(('Cronograma R. Financiero'!$E65-InicioCiclo)/7)+1))))</f>
        <v/>
      </c>
      <c r="G65" s="20">
        <f>IF(OR('Cronograma R. Financiero'!$A65="",'Cronograma R. Financiero'!$G65=""),"",'Cronograma R. Financiero'!$G65)</f>
        <v/>
      </c>
      <c r="H65" s="20">
        <f>IF(OR('Cronograma R. Financiero'!$A65="",'Cronograma R. Financiero'!$H65=""),"",'Cronograma R. Financiero'!$H65)</f>
        <v/>
      </c>
      <c r="I65" s="20">
        <f>IF(OR('Cronograma R. Financiero'!$A65="",'Cronograma R. Financiero'!$I65=""),"",'Cronograma R. Financiero'!$I65)</f>
        <v/>
      </c>
      <c r="J65" s="20">
        <f>IF(OR('Cronograma R. Financiero'!$A65="",'Cronograma R. Financiero'!$J65=""),"",'Cronograma R. Financiero'!$J65)</f>
        <v/>
      </c>
      <c r="K65" s="20">
        <f>IF('Cronograma R. Financiero'!$A65="","",'Cronograma R. Financiero'!$K65)</f>
        <v/>
      </c>
      <c r="L65" s="22">
        <f>IF('Cronograma R. Financiero'!$A65="","",IF(N('Cronograma R. Financiero'!$K65)&gt;=1,"Completado",IF(AND(ISNUMBER('Cronograma R. Financiero'!$E65),'Cronograma R. Financiero'!$E65&lt;FechaRef),"Vencida",IF(N('Cronograma R. Financiero'!$K65)&gt;0,"En curso","Pendiente"))))</f>
        <v/>
      </c>
      <c r="M65" s="41">
        <f>IF('Cronograma R. Financiero'!$A65="","",'Cronograma R. Financiero'!$M65&amp;"")</f>
        <v/>
      </c>
    </row>
    <row r="66">
      <c r="A66" s="22">
        <f>IF('Cronograma R. Financiero'!$A66="","",'Cronograma R. Financiero'!$A66)</f>
        <v/>
      </c>
      <c r="B66" s="41">
        <f>IF('Cronograma R. Financiero'!$A66="","",'Cronograma R. Financiero'!$B66&amp;"")</f>
        <v/>
      </c>
      <c r="C66" s="41">
        <f>IF('Cronograma R. Financiero'!$A66="","",'Cronograma R. Financiero'!$C66&amp;"")</f>
        <v/>
      </c>
      <c r="D66" s="63">
        <f>IF(OR('Cronograma R. Financiero'!$A66="",'Cronograma R. Financiero'!$D66=""),"",'Cronograma R. Financiero'!$D66)</f>
        <v/>
      </c>
      <c r="E66" s="63">
        <f>IF(OR('Cronograma R. Financiero'!$A66="",'Cronograma R. Financiero'!$E66=""),"",'Cronograma R. Financiero'!$E66)</f>
        <v/>
      </c>
      <c r="F66" s="22">
        <f>IF(OR('Cronograma R. Financiero'!$A66="",NOT(ISNUMBER('Cronograma R. Financiero'!$E66))),"",IF('Cronograma R. Financiero'!$E66&lt;InicioCiclo,"Antes del ciclo",IF('Cronograma R. Financiero'!$E66&gt;=InicioCiclo+28,"Después del ciclo","Semana "&amp;(INT(('Cronograma R. Financiero'!$E66-InicioCiclo)/7)+1))))</f>
        <v/>
      </c>
      <c r="G66" s="20">
        <f>IF(OR('Cronograma R. Financiero'!$A66="",'Cronograma R. Financiero'!$G66=""),"",'Cronograma R. Financiero'!$G66)</f>
        <v/>
      </c>
      <c r="H66" s="20">
        <f>IF(OR('Cronograma R. Financiero'!$A66="",'Cronograma R. Financiero'!$H66=""),"",'Cronograma R. Financiero'!$H66)</f>
        <v/>
      </c>
      <c r="I66" s="20">
        <f>IF(OR('Cronograma R. Financiero'!$A66="",'Cronograma R. Financiero'!$I66=""),"",'Cronograma R. Financiero'!$I66)</f>
        <v/>
      </c>
      <c r="J66" s="20">
        <f>IF(OR('Cronograma R. Financiero'!$A66="",'Cronograma R. Financiero'!$J66=""),"",'Cronograma R. Financiero'!$J66)</f>
        <v/>
      </c>
      <c r="K66" s="20">
        <f>IF('Cronograma R. Financiero'!$A66="","",'Cronograma R. Financiero'!$K66)</f>
        <v/>
      </c>
      <c r="L66" s="22">
        <f>IF('Cronograma R. Financiero'!$A66="","",IF(N('Cronograma R. Financiero'!$K66)&gt;=1,"Completado",IF(AND(ISNUMBER('Cronograma R. Financiero'!$E66),'Cronograma R. Financiero'!$E66&lt;FechaRef),"Vencida",IF(N('Cronograma R. Financiero'!$K66)&gt;0,"En curso","Pendiente"))))</f>
        <v/>
      </c>
      <c r="M66" s="41">
        <f>IF('Cronograma R. Financiero'!$A66="","",'Cronograma R. Financiero'!$M66&amp;"")</f>
        <v/>
      </c>
    </row>
    <row r="67">
      <c r="A67" s="22">
        <f>IF('Cronograma R. Financiero'!$A67="","",'Cronograma R. Financiero'!$A67)</f>
        <v/>
      </c>
      <c r="B67" s="41">
        <f>IF('Cronograma R. Financiero'!$A67="","",'Cronograma R. Financiero'!$B67&amp;"")</f>
        <v/>
      </c>
      <c r="C67" s="41">
        <f>IF('Cronograma R. Financiero'!$A67="","",'Cronograma R. Financiero'!$C67&amp;"")</f>
        <v/>
      </c>
      <c r="D67" s="63">
        <f>IF(OR('Cronograma R. Financiero'!$A67="",'Cronograma R. Financiero'!$D67=""),"",'Cronograma R. Financiero'!$D67)</f>
        <v/>
      </c>
      <c r="E67" s="63">
        <f>IF(OR('Cronograma R. Financiero'!$A67="",'Cronograma R. Financiero'!$E67=""),"",'Cronograma R. Financiero'!$E67)</f>
        <v/>
      </c>
      <c r="F67" s="22">
        <f>IF(OR('Cronograma R. Financiero'!$A67="",NOT(ISNUMBER('Cronograma R. Financiero'!$E67))),"",IF('Cronograma R. Financiero'!$E67&lt;InicioCiclo,"Antes del ciclo",IF('Cronograma R. Financiero'!$E67&gt;=InicioCiclo+28,"Después del ciclo","Semana "&amp;(INT(('Cronograma R. Financiero'!$E67-InicioCiclo)/7)+1))))</f>
        <v/>
      </c>
      <c r="G67" s="20">
        <f>IF(OR('Cronograma R. Financiero'!$A67="",'Cronograma R. Financiero'!$G67=""),"",'Cronograma R. Financiero'!$G67)</f>
        <v/>
      </c>
      <c r="H67" s="20">
        <f>IF(OR('Cronograma R. Financiero'!$A67="",'Cronograma R. Financiero'!$H67=""),"",'Cronograma R. Financiero'!$H67)</f>
        <v/>
      </c>
      <c r="I67" s="20">
        <f>IF(OR('Cronograma R. Financiero'!$A67="",'Cronograma R. Financiero'!$I67=""),"",'Cronograma R. Financiero'!$I67)</f>
        <v/>
      </c>
      <c r="J67" s="20">
        <f>IF(OR('Cronograma R. Financiero'!$A67="",'Cronograma R. Financiero'!$J67=""),"",'Cronograma R. Financiero'!$J67)</f>
        <v/>
      </c>
      <c r="K67" s="20">
        <f>IF('Cronograma R. Financiero'!$A67="","",'Cronograma R. Financiero'!$K67)</f>
        <v/>
      </c>
      <c r="L67" s="22">
        <f>IF('Cronograma R. Financiero'!$A67="","",IF(N('Cronograma R. Financiero'!$K67)&gt;=1,"Completado",IF(AND(ISNUMBER('Cronograma R. Financiero'!$E67),'Cronograma R. Financiero'!$E67&lt;FechaRef),"Vencida",IF(N('Cronograma R. Financiero'!$K67)&gt;0,"En curso","Pendiente"))))</f>
        <v/>
      </c>
      <c r="M67" s="41">
        <f>IF('Cronograma R. Financiero'!$A67="","",'Cronograma R. Financiero'!$M67&amp;"")</f>
        <v/>
      </c>
    </row>
    <row r="68">
      <c r="A68" s="22">
        <f>IF('Cronograma R. Financiero'!$A68="","",'Cronograma R. Financiero'!$A68)</f>
        <v/>
      </c>
      <c r="B68" s="41">
        <f>IF('Cronograma R. Financiero'!$A68="","",'Cronograma R. Financiero'!$B68&amp;"")</f>
        <v/>
      </c>
      <c r="C68" s="41">
        <f>IF('Cronograma R. Financiero'!$A68="","",'Cronograma R. Financiero'!$C68&amp;"")</f>
        <v/>
      </c>
      <c r="D68" s="63">
        <f>IF(OR('Cronograma R. Financiero'!$A68="",'Cronograma R. Financiero'!$D68=""),"",'Cronograma R. Financiero'!$D68)</f>
        <v/>
      </c>
      <c r="E68" s="63">
        <f>IF(OR('Cronograma R. Financiero'!$A68="",'Cronograma R. Financiero'!$E68=""),"",'Cronograma R. Financiero'!$E68)</f>
        <v/>
      </c>
      <c r="F68" s="22">
        <f>IF(OR('Cronograma R. Financiero'!$A68="",NOT(ISNUMBER('Cronograma R. Financiero'!$E68))),"",IF('Cronograma R. Financiero'!$E68&lt;InicioCiclo,"Antes del ciclo",IF('Cronograma R. Financiero'!$E68&gt;=InicioCiclo+28,"Después del ciclo","Semana "&amp;(INT(('Cronograma R. Financiero'!$E68-InicioCiclo)/7)+1))))</f>
        <v/>
      </c>
      <c r="G68" s="20">
        <f>IF(OR('Cronograma R. Financiero'!$A68="",'Cronograma R. Financiero'!$G68=""),"",'Cronograma R. Financiero'!$G68)</f>
        <v/>
      </c>
      <c r="H68" s="20">
        <f>IF(OR('Cronograma R. Financiero'!$A68="",'Cronograma R. Financiero'!$H68=""),"",'Cronograma R. Financiero'!$H68)</f>
        <v/>
      </c>
      <c r="I68" s="20">
        <f>IF(OR('Cronograma R. Financiero'!$A68="",'Cronograma R. Financiero'!$I68=""),"",'Cronograma R. Financiero'!$I68)</f>
        <v/>
      </c>
      <c r="J68" s="20">
        <f>IF(OR('Cronograma R. Financiero'!$A68="",'Cronograma R. Financiero'!$J68=""),"",'Cronograma R. Financiero'!$J68)</f>
        <v/>
      </c>
      <c r="K68" s="20">
        <f>IF('Cronograma R. Financiero'!$A68="","",'Cronograma R. Financiero'!$K68)</f>
        <v/>
      </c>
      <c r="L68" s="22">
        <f>IF('Cronograma R. Financiero'!$A68="","",IF(N('Cronograma R. Financiero'!$K68)&gt;=1,"Completado",IF(AND(ISNUMBER('Cronograma R. Financiero'!$E68),'Cronograma R. Financiero'!$E68&lt;FechaRef),"Vencida",IF(N('Cronograma R. Financiero'!$K68)&gt;0,"En curso","Pendiente"))))</f>
        <v/>
      </c>
      <c r="M68" s="41">
        <f>IF('Cronograma R. Financiero'!$A68="","",'Cronograma R. Financiero'!$M68&amp;"")</f>
        <v/>
      </c>
    </row>
    <row r="69">
      <c r="A69" s="22">
        <f>IF('Cronograma R. Financiero'!$A69="","",'Cronograma R. Financiero'!$A69)</f>
        <v/>
      </c>
      <c r="B69" s="41">
        <f>IF('Cronograma R. Financiero'!$A69="","",'Cronograma R. Financiero'!$B69&amp;"")</f>
        <v/>
      </c>
      <c r="C69" s="41">
        <f>IF('Cronograma R. Financiero'!$A69="","",'Cronograma R. Financiero'!$C69&amp;"")</f>
        <v/>
      </c>
      <c r="D69" s="63">
        <f>IF(OR('Cronograma R. Financiero'!$A69="",'Cronograma R. Financiero'!$D69=""),"",'Cronograma R. Financiero'!$D69)</f>
        <v/>
      </c>
      <c r="E69" s="63">
        <f>IF(OR('Cronograma R. Financiero'!$A69="",'Cronograma R. Financiero'!$E69=""),"",'Cronograma R. Financiero'!$E69)</f>
        <v/>
      </c>
      <c r="F69" s="22">
        <f>IF(OR('Cronograma R. Financiero'!$A69="",NOT(ISNUMBER('Cronograma R. Financiero'!$E69))),"",IF('Cronograma R. Financiero'!$E69&lt;InicioCiclo,"Antes del ciclo",IF('Cronograma R. Financiero'!$E69&gt;=InicioCiclo+28,"Después del ciclo","Semana "&amp;(INT(('Cronograma R. Financiero'!$E69-InicioCiclo)/7)+1))))</f>
        <v/>
      </c>
      <c r="G69" s="20">
        <f>IF(OR('Cronograma R. Financiero'!$A69="",'Cronograma R. Financiero'!$G69=""),"",'Cronograma R. Financiero'!$G69)</f>
        <v/>
      </c>
      <c r="H69" s="20">
        <f>IF(OR('Cronograma R. Financiero'!$A69="",'Cronograma R. Financiero'!$H69=""),"",'Cronograma R. Financiero'!$H69)</f>
        <v/>
      </c>
      <c r="I69" s="20">
        <f>IF(OR('Cronograma R. Financiero'!$A69="",'Cronograma R. Financiero'!$I69=""),"",'Cronograma R. Financiero'!$I69)</f>
        <v/>
      </c>
      <c r="J69" s="20">
        <f>IF(OR('Cronograma R. Financiero'!$A69="",'Cronograma R. Financiero'!$J69=""),"",'Cronograma R. Financiero'!$J69)</f>
        <v/>
      </c>
      <c r="K69" s="20">
        <f>IF('Cronograma R. Financiero'!$A69="","",'Cronograma R. Financiero'!$K69)</f>
        <v/>
      </c>
      <c r="L69" s="22">
        <f>IF('Cronograma R. Financiero'!$A69="","",IF(N('Cronograma R. Financiero'!$K69)&gt;=1,"Completado",IF(AND(ISNUMBER('Cronograma R. Financiero'!$E69),'Cronograma R. Financiero'!$E69&lt;FechaRef),"Vencida",IF(N('Cronograma R. Financiero'!$K69)&gt;0,"En curso","Pendiente"))))</f>
        <v/>
      </c>
      <c r="M69" s="41">
        <f>IF('Cronograma R. Financiero'!$A69="","",'Cronograma R. Financiero'!$M69&amp;"")</f>
        <v/>
      </c>
    </row>
    <row r="70">
      <c r="A70" s="22">
        <f>IF('Cronograma R. Financiero'!$A70="","",'Cronograma R. Financiero'!$A70)</f>
        <v/>
      </c>
      <c r="B70" s="41">
        <f>IF('Cronograma R. Financiero'!$A70="","",'Cronograma R. Financiero'!$B70&amp;"")</f>
        <v/>
      </c>
      <c r="C70" s="41">
        <f>IF('Cronograma R. Financiero'!$A70="","",'Cronograma R. Financiero'!$C70&amp;"")</f>
        <v/>
      </c>
      <c r="D70" s="63">
        <f>IF(OR('Cronograma R. Financiero'!$A70="",'Cronograma R. Financiero'!$D70=""),"",'Cronograma R. Financiero'!$D70)</f>
        <v/>
      </c>
      <c r="E70" s="63">
        <f>IF(OR('Cronograma R. Financiero'!$A70="",'Cronograma R. Financiero'!$E70=""),"",'Cronograma R. Financiero'!$E70)</f>
        <v/>
      </c>
      <c r="F70" s="22">
        <f>IF(OR('Cronograma R. Financiero'!$A70="",NOT(ISNUMBER('Cronograma R. Financiero'!$E70))),"",IF('Cronograma R. Financiero'!$E70&lt;InicioCiclo,"Antes del ciclo",IF('Cronograma R. Financiero'!$E70&gt;=InicioCiclo+28,"Después del ciclo","Semana "&amp;(INT(('Cronograma R. Financiero'!$E70-InicioCiclo)/7)+1))))</f>
        <v/>
      </c>
      <c r="G70" s="20">
        <f>IF(OR('Cronograma R. Financiero'!$A70="",'Cronograma R. Financiero'!$G70=""),"",'Cronograma R. Financiero'!$G70)</f>
        <v/>
      </c>
      <c r="H70" s="20">
        <f>IF(OR('Cronograma R. Financiero'!$A70="",'Cronograma R. Financiero'!$H70=""),"",'Cronograma R. Financiero'!$H70)</f>
        <v/>
      </c>
      <c r="I70" s="20">
        <f>IF(OR('Cronograma R. Financiero'!$A70="",'Cronograma R. Financiero'!$I70=""),"",'Cronograma R. Financiero'!$I70)</f>
        <v/>
      </c>
      <c r="J70" s="20">
        <f>IF(OR('Cronograma R. Financiero'!$A70="",'Cronograma R. Financiero'!$J70=""),"",'Cronograma R. Financiero'!$J70)</f>
        <v/>
      </c>
      <c r="K70" s="20">
        <f>IF('Cronograma R. Financiero'!$A70="","",'Cronograma R. Financiero'!$K70)</f>
        <v/>
      </c>
      <c r="L70" s="22">
        <f>IF('Cronograma R. Financiero'!$A70="","",IF(N('Cronograma R. Financiero'!$K70)&gt;=1,"Completado",IF(AND(ISNUMBER('Cronograma R. Financiero'!$E70),'Cronograma R. Financiero'!$E70&lt;FechaRef),"Vencida",IF(N('Cronograma R. Financiero'!$K70)&gt;0,"En curso","Pendiente"))))</f>
        <v/>
      </c>
      <c r="M70" s="41">
        <f>IF('Cronograma R. Financiero'!$A70="","",'Cronograma R. Financiero'!$M70&amp;"")</f>
        <v/>
      </c>
    </row>
    <row r="71">
      <c r="A71" s="22">
        <f>IF('Cronograma R. Financiero'!$A71="","",'Cronograma R. Financiero'!$A71)</f>
        <v/>
      </c>
      <c r="B71" s="41">
        <f>IF('Cronograma R. Financiero'!$A71="","",'Cronograma R. Financiero'!$B71&amp;"")</f>
        <v/>
      </c>
      <c r="C71" s="41">
        <f>IF('Cronograma R. Financiero'!$A71="","",'Cronograma R. Financiero'!$C71&amp;"")</f>
        <v/>
      </c>
      <c r="D71" s="63">
        <f>IF(OR('Cronograma R. Financiero'!$A71="",'Cronograma R. Financiero'!$D71=""),"",'Cronograma R. Financiero'!$D71)</f>
        <v/>
      </c>
      <c r="E71" s="63">
        <f>IF(OR('Cronograma R. Financiero'!$A71="",'Cronograma R. Financiero'!$E71=""),"",'Cronograma R. Financiero'!$E71)</f>
        <v/>
      </c>
      <c r="F71" s="22">
        <f>IF(OR('Cronograma R. Financiero'!$A71="",NOT(ISNUMBER('Cronograma R. Financiero'!$E71))),"",IF('Cronograma R. Financiero'!$E71&lt;InicioCiclo,"Antes del ciclo",IF('Cronograma R. Financiero'!$E71&gt;=InicioCiclo+28,"Después del ciclo","Semana "&amp;(INT(('Cronograma R. Financiero'!$E71-InicioCiclo)/7)+1))))</f>
        <v/>
      </c>
      <c r="G71" s="20">
        <f>IF(OR('Cronograma R. Financiero'!$A71="",'Cronograma R. Financiero'!$G71=""),"",'Cronograma R. Financiero'!$G71)</f>
        <v/>
      </c>
      <c r="H71" s="20">
        <f>IF(OR('Cronograma R. Financiero'!$A71="",'Cronograma R. Financiero'!$H71=""),"",'Cronograma R. Financiero'!$H71)</f>
        <v/>
      </c>
      <c r="I71" s="20">
        <f>IF(OR('Cronograma R. Financiero'!$A71="",'Cronograma R. Financiero'!$I71=""),"",'Cronograma R. Financiero'!$I71)</f>
        <v/>
      </c>
      <c r="J71" s="20">
        <f>IF(OR('Cronograma R. Financiero'!$A71="",'Cronograma R. Financiero'!$J71=""),"",'Cronograma R. Financiero'!$J71)</f>
        <v/>
      </c>
      <c r="K71" s="20">
        <f>IF('Cronograma R. Financiero'!$A71="","",'Cronograma R. Financiero'!$K71)</f>
        <v/>
      </c>
      <c r="L71" s="22">
        <f>IF('Cronograma R. Financiero'!$A71="","",IF(N('Cronograma R. Financiero'!$K71)&gt;=1,"Completado",IF(AND(ISNUMBER('Cronograma R. Financiero'!$E71),'Cronograma R. Financiero'!$E71&lt;FechaRef),"Vencida",IF(N('Cronograma R. Financiero'!$K71)&gt;0,"En curso","Pendiente"))))</f>
        <v/>
      </c>
      <c r="M71" s="41">
        <f>IF('Cronograma R. Financiero'!$A71="","",'Cronograma R. Financiero'!$M71&amp;"")</f>
        <v/>
      </c>
    </row>
    <row r="72">
      <c r="A72" s="22">
        <f>IF('Cronograma R. Financiero'!$A72="","",'Cronograma R. Financiero'!$A72)</f>
        <v/>
      </c>
      <c r="B72" s="41">
        <f>IF('Cronograma R. Financiero'!$A72="","",'Cronograma R. Financiero'!$B72&amp;"")</f>
        <v/>
      </c>
      <c r="C72" s="41">
        <f>IF('Cronograma R. Financiero'!$A72="","",'Cronograma R. Financiero'!$C72&amp;"")</f>
        <v/>
      </c>
      <c r="D72" s="63">
        <f>IF(OR('Cronograma R. Financiero'!$A72="",'Cronograma R. Financiero'!$D72=""),"",'Cronograma R. Financiero'!$D72)</f>
        <v/>
      </c>
      <c r="E72" s="63">
        <f>IF(OR('Cronograma R. Financiero'!$A72="",'Cronograma R. Financiero'!$E72=""),"",'Cronograma R. Financiero'!$E72)</f>
        <v/>
      </c>
      <c r="F72" s="22">
        <f>IF(OR('Cronograma R. Financiero'!$A72="",NOT(ISNUMBER('Cronograma R. Financiero'!$E72))),"",IF('Cronograma R. Financiero'!$E72&lt;InicioCiclo,"Antes del ciclo",IF('Cronograma R. Financiero'!$E72&gt;=InicioCiclo+28,"Después del ciclo","Semana "&amp;(INT(('Cronograma R. Financiero'!$E72-InicioCiclo)/7)+1))))</f>
        <v/>
      </c>
      <c r="G72" s="20">
        <f>IF(OR('Cronograma R. Financiero'!$A72="",'Cronograma R. Financiero'!$G72=""),"",'Cronograma R. Financiero'!$G72)</f>
        <v/>
      </c>
      <c r="H72" s="20">
        <f>IF(OR('Cronograma R. Financiero'!$A72="",'Cronograma R. Financiero'!$H72=""),"",'Cronograma R. Financiero'!$H72)</f>
        <v/>
      </c>
      <c r="I72" s="20">
        <f>IF(OR('Cronograma R. Financiero'!$A72="",'Cronograma R. Financiero'!$I72=""),"",'Cronograma R. Financiero'!$I72)</f>
        <v/>
      </c>
      <c r="J72" s="20">
        <f>IF(OR('Cronograma R. Financiero'!$A72="",'Cronograma R. Financiero'!$J72=""),"",'Cronograma R. Financiero'!$J72)</f>
        <v/>
      </c>
      <c r="K72" s="20">
        <f>IF('Cronograma R. Financiero'!$A72="","",'Cronograma R. Financiero'!$K72)</f>
        <v/>
      </c>
      <c r="L72" s="22">
        <f>IF('Cronograma R. Financiero'!$A72="","",IF(N('Cronograma R. Financiero'!$K72)&gt;=1,"Completado",IF(AND(ISNUMBER('Cronograma R. Financiero'!$E72),'Cronograma R. Financiero'!$E72&lt;FechaRef),"Vencida",IF(N('Cronograma R. Financiero'!$K72)&gt;0,"En curso","Pendiente"))))</f>
        <v/>
      </c>
      <c r="M72" s="41">
        <f>IF('Cronograma R. Financiero'!$A72="","",'Cronograma R. Financiero'!$M72&amp;"")</f>
        <v/>
      </c>
    </row>
    <row r="73">
      <c r="A73" s="22">
        <f>IF('Cronograma R. Financiero'!$A73="","",'Cronograma R. Financiero'!$A73)</f>
        <v/>
      </c>
      <c r="B73" s="41">
        <f>IF('Cronograma R. Financiero'!$A73="","",'Cronograma R. Financiero'!$B73&amp;"")</f>
        <v/>
      </c>
      <c r="C73" s="41">
        <f>IF('Cronograma R. Financiero'!$A73="","",'Cronograma R. Financiero'!$C73&amp;"")</f>
        <v/>
      </c>
      <c r="D73" s="63">
        <f>IF(OR('Cronograma R. Financiero'!$A73="",'Cronograma R. Financiero'!$D73=""),"",'Cronograma R. Financiero'!$D73)</f>
        <v/>
      </c>
      <c r="E73" s="63">
        <f>IF(OR('Cronograma R. Financiero'!$A73="",'Cronograma R. Financiero'!$E73=""),"",'Cronograma R. Financiero'!$E73)</f>
        <v/>
      </c>
      <c r="F73" s="22">
        <f>IF(OR('Cronograma R. Financiero'!$A73="",NOT(ISNUMBER('Cronograma R. Financiero'!$E73))),"",IF('Cronograma R. Financiero'!$E73&lt;InicioCiclo,"Antes del ciclo",IF('Cronograma R. Financiero'!$E73&gt;=InicioCiclo+28,"Después del ciclo","Semana "&amp;(INT(('Cronograma R. Financiero'!$E73-InicioCiclo)/7)+1))))</f>
        <v/>
      </c>
      <c r="G73" s="20">
        <f>IF(OR('Cronograma R. Financiero'!$A73="",'Cronograma R. Financiero'!$G73=""),"",'Cronograma R. Financiero'!$G73)</f>
        <v/>
      </c>
      <c r="H73" s="20">
        <f>IF(OR('Cronograma R. Financiero'!$A73="",'Cronograma R. Financiero'!$H73=""),"",'Cronograma R. Financiero'!$H73)</f>
        <v/>
      </c>
      <c r="I73" s="20">
        <f>IF(OR('Cronograma R. Financiero'!$A73="",'Cronograma R. Financiero'!$I73=""),"",'Cronograma R. Financiero'!$I73)</f>
        <v/>
      </c>
      <c r="J73" s="20">
        <f>IF(OR('Cronograma R. Financiero'!$A73="",'Cronograma R. Financiero'!$J73=""),"",'Cronograma R. Financiero'!$J73)</f>
        <v/>
      </c>
      <c r="K73" s="20">
        <f>IF('Cronograma R. Financiero'!$A73="","",'Cronograma R. Financiero'!$K73)</f>
        <v/>
      </c>
      <c r="L73" s="22">
        <f>IF('Cronograma R. Financiero'!$A73="","",IF(N('Cronograma R. Financiero'!$K73)&gt;=1,"Completado",IF(AND(ISNUMBER('Cronograma R. Financiero'!$E73),'Cronograma R. Financiero'!$E73&lt;FechaRef),"Vencida",IF(N('Cronograma R. Financiero'!$K73)&gt;0,"En curso","Pendiente"))))</f>
        <v/>
      </c>
      <c r="M73" s="41">
        <f>IF('Cronograma R. Financiero'!$A73="","",'Cronograma R. Financiero'!$M73&amp;"")</f>
        <v/>
      </c>
    </row>
    <row r="74">
      <c r="A74" s="22">
        <f>IF('Cronograma R. Financiero'!$A74="","",'Cronograma R. Financiero'!$A74)</f>
        <v/>
      </c>
      <c r="B74" s="41">
        <f>IF('Cronograma R. Financiero'!$A74="","",'Cronograma R. Financiero'!$B74&amp;"")</f>
        <v/>
      </c>
      <c r="C74" s="41">
        <f>IF('Cronograma R. Financiero'!$A74="","",'Cronograma R. Financiero'!$C74&amp;"")</f>
        <v/>
      </c>
      <c r="D74" s="63">
        <f>IF(OR('Cronograma R. Financiero'!$A74="",'Cronograma R. Financiero'!$D74=""),"",'Cronograma R. Financiero'!$D74)</f>
        <v/>
      </c>
      <c r="E74" s="63">
        <f>IF(OR('Cronograma R. Financiero'!$A74="",'Cronograma R. Financiero'!$E74=""),"",'Cronograma R. Financiero'!$E74)</f>
        <v/>
      </c>
      <c r="F74" s="22">
        <f>IF(OR('Cronograma R. Financiero'!$A74="",NOT(ISNUMBER('Cronograma R. Financiero'!$E74))),"",IF('Cronograma R. Financiero'!$E74&lt;InicioCiclo,"Antes del ciclo",IF('Cronograma R. Financiero'!$E74&gt;=InicioCiclo+28,"Después del ciclo","Semana "&amp;(INT(('Cronograma R. Financiero'!$E74-InicioCiclo)/7)+1))))</f>
        <v/>
      </c>
      <c r="G74" s="20">
        <f>IF(OR('Cronograma R. Financiero'!$A74="",'Cronograma R. Financiero'!$G74=""),"",'Cronograma R. Financiero'!$G74)</f>
        <v/>
      </c>
      <c r="H74" s="20">
        <f>IF(OR('Cronograma R. Financiero'!$A74="",'Cronograma R. Financiero'!$H74=""),"",'Cronograma R. Financiero'!$H74)</f>
        <v/>
      </c>
      <c r="I74" s="20">
        <f>IF(OR('Cronograma R. Financiero'!$A74="",'Cronograma R. Financiero'!$I74=""),"",'Cronograma R. Financiero'!$I74)</f>
        <v/>
      </c>
      <c r="J74" s="20">
        <f>IF(OR('Cronograma R. Financiero'!$A74="",'Cronograma R. Financiero'!$J74=""),"",'Cronograma R. Financiero'!$J74)</f>
        <v/>
      </c>
      <c r="K74" s="20">
        <f>IF('Cronograma R. Financiero'!$A74="","",'Cronograma R. Financiero'!$K74)</f>
        <v/>
      </c>
      <c r="L74" s="22">
        <f>IF('Cronograma R. Financiero'!$A74="","",IF(N('Cronograma R. Financiero'!$K74)&gt;=1,"Completado",IF(AND(ISNUMBER('Cronograma R. Financiero'!$E74),'Cronograma R. Financiero'!$E74&lt;FechaRef),"Vencida",IF(N('Cronograma R. Financiero'!$K74)&gt;0,"En curso","Pendiente"))))</f>
        <v/>
      </c>
      <c r="M74" s="41">
        <f>IF('Cronograma R. Financiero'!$A74="","",'Cronograma R. Financiero'!$M74&amp;"")</f>
        <v/>
      </c>
    </row>
    <row r="75">
      <c r="A75" s="22">
        <f>IF('Cronograma R. Financiero'!$A75="","",'Cronograma R. Financiero'!$A75)</f>
        <v/>
      </c>
      <c r="B75" s="41">
        <f>IF('Cronograma R. Financiero'!$A75="","",'Cronograma R. Financiero'!$B75&amp;"")</f>
        <v/>
      </c>
      <c r="C75" s="41">
        <f>IF('Cronograma R. Financiero'!$A75="","",'Cronograma R. Financiero'!$C75&amp;"")</f>
        <v/>
      </c>
      <c r="D75" s="63">
        <f>IF(OR('Cronograma R. Financiero'!$A75="",'Cronograma R. Financiero'!$D75=""),"",'Cronograma R. Financiero'!$D75)</f>
        <v/>
      </c>
      <c r="E75" s="63">
        <f>IF(OR('Cronograma R. Financiero'!$A75="",'Cronograma R. Financiero'!$E75=""),"",'Cronograma R. Financiero'!$E75)</f>
        <v/>
      </c>
      <c r="F75" s="22">
        <f>IF(OR('Cronograma R. Financiero'!$A75="",NOT(ISNUMBER('Cronograma R. Financiero'!$E75))),"",IF('Cronograma R. Financiero'!$E75&lt;InicioCiclo,"Antes del ciclo",IF('Cronograma R. Financiero'!$E75&gt;=InicioCiclo+28,"Después del ciclo","Semana "&amp;(INT(('Cronograma R. Financiero'!$E75-InicioCiclo)/7)+1))))</f>
        <v/>
      </c>
      <c r="G75" s="20">
        <f>IF(OR('Cronograma R. Financiero'!$A75="",'Cronograma R. Financiero'!$G75=""),"",'Cronograma R. Financiero'!$G75)</f>
        <v/>
      </c>
      <c r="H75" s="20">
        <f>IF(OR('Cronograma R. Financiero'!$A75="",'Cronograma R. Financiero'!$H75=""),"",'Cronograma R. Financiero'!$H75)</f>
        <v/>
      </c>
      <c r="I75" s="20">
        <f>IF(OR('Cronograma R. Financiero'!$A75="",'Cronograma R. Financiero'!$I75=""),"",'Cronograma R. Financiero'!$I75)</f>
        <v/>
      </c>
      <c r="J75" s="20">
        <f>IF(OR('Cronograma R. Financiero'!$A75="",'Cronograma R. Financiero'!$J75=""),"",'Cronograma R. Financiero'!$J75)</f>
        <v/>
      </c>
      <c r="K75" s="20">
        <f>IF('Cronograma R. Financiero'!$A75="","",'Cronograma R. Financiero'!$K75)</f>
        <v/>
      </c>
      <c r="L75" s="22">
        <f>IF('Cronograma R. Financiero'!$A75="","",IF(N('Cronograma R. Financiero'!$K75)&gt;=1,"Completado",IF(AND(ISNUMBER('Cronograma R. Financiero'!$E75),'Cronograma R. Financiero'!$E75&lt;FechaRef),"Vencida",IF(N('Cronograma R. Financiero'!$K75)&gt;0,"En curso","Pendiente"))))</f>
        <v/>
      </c>
      <c r="M75" s="41">
        <f>IF('Cronograma R. Financiero'!$A75="","",'Cronograma R. Financiero'!$M75&amp;"")</f>
        <v/>
      </c>
    </row>
    <row r="76">
      <c r="A76" s="22">
        <f>IF('Cronograma R. Financiero'!$A76="","",'Cronograma R. Financiero'!$A76)</f>
        <v/>
      </c>
      <c r="B76" s="41">
        <f>IF('Cronograma R. Financiero'!$A76="","",'Cronograma R. Financiero'!$B76&amp;"")</f>
        <v/>
      </c>
      <c r="C76" s="41">
        <f>IF('Cronograma R. Financiero'!$A76="","",'Cronograma R. Financiero'!$C76&amp;"")</f>
        <v/>
      </c>
      <c r="D76" s="63">
        <f>IF(OR('Cronograma R. Financiero'!$A76="",'Cronograma R. Financiero'!$D76=""),"",'Cronograma R. Financiero'!$D76)</f>
        <v/>
      </c>
      <c r="E76" s="63">
        <f>IF(OR('Cronograma R. Financiero'!$A76="",'Cronograma R. Financiero'!$E76=""),"",'Cronograma R. Financiero'!$E76)</f>
        <v/>
      </c>
      <c r="F76" s="22">
        <f>IF(OR('Cronograma R. Financiero'!$A76="",NOT(ISNUMBER('Cronograma R. Financiero'!$E76))),"",IF('Cronograma R. Financiero'!$E76&lt;InicioCiclo,"Antes del ciclo",IF('Cronograma R. Financiero'!$E76&gt;=InicioCiclo+28,"Después del ciclo","Semana "&amp;(INT(('Cronograma R. Financiero'!$E76-InicioCiclo)/7)+1))))</f>
        <v/>
      </c>
      <c r="G76" s="20">
        <f>IF(OR('Cronograma R. Financiero'!$A76="",'Cronograma R. Financiero'!$G76=""),"",'Cronograma R. Financiero'!$G76)</f>
        <v/>
      </c>
      <c r="H76" s="20">
        <f>IF(OR('Cronograma R. Financiero'!$A76="",'Cronograma R. Financiero'!$H76=""),"",'Cronograma R. Financiero'!$H76)</f>
        <v/>
      </c>
      <c r="I76" s="20">
        <f>IF(OR('Cronograma R. Financiero'!$A76="",'Cronograma R. Financiero'!$I76=""),"",'Cronograma R. Financiero'!$I76)</f>
        <v/>
      </c>
      <c r="J76" s="20">
        <f>IF(OR('Cronograma R. Financiero'!$A76="",'Cronograma R. Financiero'!$J76=""),"",'Cronograma R. Financiero'!$J76)</f>
        <v/>
      </c>
      <c r="K76" s="20">
        <f>IF('Cronograma R. Financiero'!$A76="","",'Cronograma R. Financiero'!$K76)</f>
        <v/>
      </c>
      <c r="L76" s="22">
        <f>IF('Cronograma R. Financiero'!$A76="","",IF(N('Cronograma R. Financiero'!$K76)&gt;=1,"Completado",IF(AND(ISNUMBER('Cronograma R. Financiero'!$E76),'Cronograma R. Financiero'!$E76&lt;FechaRef),"Vencida",IF(N('Cronograma R. Financiero'!$K76)&gt;0,"En curso","Pendiente"))))</f>
        <v/>
      </c>
      <c r="M76" s="41">
        <f>IF('Cronograma R. Financiero'!$A76="","",'Cronograma R. Financiero'!$M76&amp;"")</f>
        <v/>
      </c>
    </row>
    <row r="77">
      <c r="A77" s="22">
        <f>IF('Cronograma R. Financiero'!$A77="","",'Cronograma R. Financiero'!$A77)</f>
        <v/>
      </c>
      <c r="B77" s="41">
        <f>IF('Cronograma R. Financiero'!$A77="","",'Cronograma R. Financiero'!$B77&amp;"")</f>
        <v/>
      </c>
      <c r="C77" s="41">
        <f>IF('Cronograma R. Financiero'!$A77="","",'Cronograma R. Financiero'!$C77&amp;"")</f>
        <v/>
      </c>
      <c r="D77" s="63">
        <f>IF(OR('Cronograma R. Financiero'!$A77="",'Cronograma R. Financiero'!$D77=""),"",'Cronograma R. Financiero'!$D77)</f>
        <v/>
      </c>
      <c r="E77" s="63">
        <f>IF(OR('Cronograma R. Financiero'!$A77="",'Cronograma R. Financiero'!$E77=""),"",'Cronograma R. Financiero'!$E77)</f>
        <v/>
      </c>
      <c r="F77" s="22">
        <f>IF(OR('Cronograma R. Financiero'!$A77="",NOT(ISNUMBER('Cronograma R. Financiero'!$E77))),"",IF('Cronograma R. Financiero'!$E77&lt;InicioCiclo,"Antes del ciclo",IF('Cronograma R. Financiero'!$E77&gt;=InicioCiclo+28,"Después del ciclo","Semana "&amp;(INT(('Cronograma R. Financiero'!$E77-InicioCiclo)/7)+1))))</f>
        <v/>
      </c>
      <c r="G77" s="20">
        <f>IF(OR('Cronograma R. Financiero'!$A77="",'Cronograma R. Financiero'!$G77=""),"",'Cronograma R. Financiero'!$G77)</f>
        <v/>
      </c>
      <c r="H77" s="20">
        <f>IF(OR('Cronograma R. Financiero'!$A77="",'Cronograma R. Financiero'!$H77=""),"",'Cronograma R. Financiero'!$H77)</f>
        <v/>
      </c>
      <c r="I77" s="20">
        <f>IF(OR('Cronograma R. Financiero'!$A77="",'Cronograma R. Financiero'!$I77=""),"",'Cronograma R. Financiero'!$I77)</f>
        <v/>
      </c>
      <c r="J77" s="20">
        <f>IF(OR('Cronograma R. Financiero'!$A77="",'Cronograma R. Financiero'!$J77=""),"",'Cronograma R. Financiero'!$J77)</f>
        <v/>
      </c>
      <c r="K77" s="20">
        <f>IF('Cronograma R. Financiero'!$A77="","",'Cronograma R. Financiero'!$K77)</f>
        <v/>
      </c>
      <c r="L77" s="22">
        <f>IF('Cronograma R. Financiero'!$A77="","",IF(N('Cronograma R. Financiero'!$K77)&gt;=1,"Completado",IF(AND(ISNUMBER('Cronograma R. Financiero'!$E77),'Cronograma R. Financiero'!$E77&lt;FechaRef),"Vencida",IF(N('Cronograma R. Financiero'!$K77)&gt;0,"En curso","Pendiente"))))</f>
        <v/>
      </c>
      <c r="M77" s="41">
        <f>IF('Cronograma R. Financiero'!$A77="","",'Cronograma R. Financiero'!$M77&amp;"")</f>
        <v/>
      </c>
    </row>
    <row r="78">
      <c r="A78" s="22">
        <f>IF('Cronograma R. Financiero'!$A78="","",'Cronograma R. Financiero'!$A78)</f>
        <v/>
      </c>
      <c r="B78" s="41">
        <f>IF('Cronograma R. Financiero'!$A78="","",'Cronograma R. Financiero'!$B78&amp;"")</f>
        <v/>
      </c>
      <c r="C78" s="41">
        <f>IF('Cronograma R. Financiero'!$A78="","",'Cronograma R. Financiero'!$C78&amp;"")</f>
        <v/>
      </c>
      <c r="D78" s="63">
        <f>IF(OR('Cronograma R. Financiero'!$A78="",'Cronograma R. Financiero'!$D78=""),"",'Cronograma R. Financiero'!$D78)</f>
        <v/>
      </c>
      <c r="E78" s="63">
        <f>IF(OR('Cronograma R. Financiero'!$A78="",'Cronograma R. Financiero'!$E78=""),"",'Cronograma R. Financiero'!$E78)</f>
        <v/>
      </c>
      <c r="F78" s="22">
        <f>IF(OR('Cronograma R. Financiero'!$A78="",NOT(ISNUMBER('Cronograma R. Financiero'!$E78))),"",IF('Cronograma R. Financiero'!$E78&lt;InicioCiclo,"Antes del ciclo",IF('Cronograma R. Financiero'!$E78&gt;=InicioCiclo+28,"Después del ciclo","Semana "&amp;(INT(('Cronograma R. Financiero'!$E78-InicioCiclo)/7)+1))))</f>
        <v/>
      </c>
      <c r="G78" s="20">
        <f>IF(OR('Cronograma R. Financiero'!$A78="",'Cronograma R. Financiero'!$G78=""),"",'Cronograma R. Financiero'!$G78)</f>
        <v/>
      </c>
      <c r="H78" s="20">
        <f>IF(OR('Cronograma R. Financiero'!$A78="",'Cronograma R. Financiero'!$H78=""),"",'Cronograma R. Financiero'!$H78)</f>
        <v/>
      </c>
      <c r="I78" s="20">
        <f>IF(OR('Cronograma R. Financiero'!$A78="",'Cronograma R. Financiero'!$I78=""),"",'Cronograma R. Financiero'!$I78)</f>
        <v/>
      </c>
      <c r="J78" s="20">
        <f>IF(OR('Cronograma R. Financiero'!$A78="",'Cronograma R. Financiero'!$J78=""),"",'Cronograma R. Financiero'!$J78)</f>
        <v/>
      </c>
      <c r="K78" s="20">
        <f>IF('Cronograma R. Financiero'!$A78="","",'Cronograma R. Financiero'!$K78)</f>
        <v/>
      </c>
      <c r="L78" s="22">
        <f>IF('Cronograma R. Financiero'!$A78="","",IF(N('Cronograma R. Financiero'!$K78)&gt;=1,"Completado",IF(AND(ISNUMBER('Cronograma R. Financiero'!$E78),'Cronograma R. Financiero'!$E78&lt;FechaRef),"Vencida",IF(N('Cronograma R. Financiero'!$K78)&gt;0,"En curso","Pendiente"))))</f>
        <v/>
      </c>
      <c r="M78" s="41">
        <f>IF('Cronograma R. Financiero'!$A78="","",'Cronograma R. Financiero'!$M78&amp;"")</f>
        <v/>
      </c>
    </row>
    <row r="79">
      <c r="A79" s="22">
        <f>IF('Cronograma R. Financiero'!$A79="","",'Cronograma R. Financiero'!$A79)</f>
        <v/>
      </c>
      <c r="B79" s="41">
        <f>IF('Cronograma R. Financiero'!$A79="","",'Cronograma R. Financiero'!$B79&amp;"")</f>
        <v/>
      </c>
      <c r="C79" s="41">
        <f>IF('Cronograma R. Financiero'!$A79="","",'Cronograma R. Financiero'!$C79&amp;"")</f>
        <v/>
      </c>
      <c r="D79" s="63">
        <f>IF(OR('Cronograma R. Financiero'!$A79="",'Cronograma R. Financiero'!$D79=""),"",'Cronograma R. Financiero'!$D79)</f>
        <v/>
      </c>
      <c r="E79" s="63">
        <f>IF(OR('Cronograma R. Financiero'!$A79="",'Cronograma R. Financiero'!$E79=""),"",'Cronograma R. Financiero'!$E79)</f>
        <v/>
      </c>
      <c r="F79" s="22">
        <f>IF(OR('Cronograma R. Financiero'!$A79="",NOT(ISNUMBER('Cronograma R. Financiero'!$E79))),"",IF('Cronograma R. Financiero'!$E79&lt;InicioCiclo,"Antes del ciclo",IF('Cronograma R. Financiero'!$E79&gt;=InicioCiclo+28,"Después del ciclo","Semana "&amp;(INT(('Cronograma R. Financiero'!$E79-InicioCiclo)/7)+1))))</f>
        <v/>
      </c>
      <c r="G79" s="20">
        <f>IF(OR('Cronograma R. Financiero'!$A79="",'Cronograma R. Financiero'!$G79=""),"",'Cronograma R. Financiero'!$G79)</f>
        <v/>
      </c>
      <c r="H79" s="20">
        <f>IF(OR('Cronograma R. Financiero'!$A79="",'Cronograma R. Financiero'!$H79=""),"",'Cronograma R. Financiero'!$H79)</f>
        <v/>
      </c>
      <c r="I79" s="20">
        <f>IF(OR('Cronograma R. Financiero'!$A79="",'Cronograma R. Financiero'!$I79=""),"",'Cronograma R. Financiero'!$I79)</f>
        <v/>
      </c>
      <c r="J79" s="20">
        <f>IF(OR('Cronograma R. Financiero'!$A79="",'Cronograma R. Financiero'!$J79=""),"",'Cronograma R. Financiero'!$J79)</f>
        <v/>
      </c>
      <c r="K79" s="20">
        <f>IF('Cronograma R. Financiero'!$A79="","",'Cronograma R. Financiero'!$K79)</f>
        <v/>
      </c>
      <c r="L79" s="22">
        <f>IF('Cronograma R. Financiero'!$A79="","",IF(N('Cronograma R. Financiero'!$K79)&gt;=1,"Completado",IF(AND(ISNUMBER('Cronograma R. Financiero'!$E79),'Cronograma R. Financiero'!$E79&lt;FechaRef),"Vencida",IF(N('Cronograma R. Financiero'!$K79)&gt;0,"En curso","Pendiente"))))</f>
        <v/>
      </c>
      <c r="M79" s="41">
        <f>IF('Cronograma R. Financiero'!$A79="","",'Cronograma R. Financiero'!$M79&amp;"")</f>
        <v/>
      </c>
    </row>
    <row r="80">
      <c r="A80" s="22">
        <f>IF('Cronograma R. Financiero'!$A80="","",'Cronograma R. Financiero'!$A80)</f>
        <v/>
      </c>
      <c r="B80" s="41">
        <f>IF('Cronograma R. Financiero'!$A80="","",'Cronograma R. Financiero'!$B80&amp;"")</f>
        <v/>
      </c>
      <c r="C80" s="41">
        <f>IF('Cronograma R. Financiero'!$A80="","",'Cronograma R. Financiero'!$C80&amp;"")</f>
        <v/>
      </c>
      <c r="D80" s="63">
        <f>IF(OR('Cronograma R. Financiero'!$A80="",'Cronograma R. Financiero'!$D80=""),"",'Cronograma R. Financiero'!$D80)</f>
        <v/>
      </c>
      <c r="E80" s="63">
        <f>IF(OR('Cronograma R. Financiero'!$A80="",'Cronograma R. Financiero'!$E80=""),"",'Cronograma R. Financiero'!$E80)</f>
        <v/>
      </c>
      <c r="F80" s="22">
        <f>IF(OR('Cronograma R. Financiero'!$A80="",NOT(ISNUMBER('Cronograma R. Financiero'!$E80))),"",IF('Cronograma R. Financiero'!$E80&lt;InicioCiclo,"Antes del ciclo",IF('Cronograma R. Financiero'!$E80&gt;=InicioCiclo+28,"Después del ciclo","Semana "&amp;(INT(('Cronograma R. Financiero'!$E80-InicioCiclo)/7)+1))))</f>
        <v/>
      </c>
      <c r="G80" s="20">
        <f>IF(OR('Cronograma R. Financiero'!$A80="",'Cronograma R. Financiero'!$G80=""),"",'Cronograma R. Financiero'!$G80)</f>
        <v/>
      </c>
      <c r="H80" s="20">
        <f>IF(OR('Cronograma R. Financiero'!$A80="",'Cronograma R. Financiero'!$H80=""),"",'Cronograma R. Financiero'!$H80)</f>
        <v/>
      </c>
      <c r="I80" s="20">
        <f>IF(OR('Cronograma R. Financiero'!$A80="",'Cronograma R. Financiero'!$I80=""),"",'Cronograma R. Financiero'!$I80)</f>
        <v/>
      </c>
      <c r="J80" s="20">
        <f>IF(OR('Cronograma R. Financiero'!$A80="",'Cronograma R. Financiero'!$J80=""),"",'Cronograma R. Financiero'!$J80)</f>
        <v/>
      </c>
      <c r="K80" s="20">
        <f>IF('Cronograma R. Financiero'!$A80="","",'Cronograma R. Financiero'!$K80)</f>
        <v/>
      </c>
      <c r="L80" s="22">
        <f>IF('Cronograma R. Financiero'!$A80="","",IF(N('Cronograma R. Financiero'!$K80)&gt;=1,"Completado",IF(AND(ISNUMBER('Cronograma R. Financiero'!$E80),'Cronograma R. Financiero'!$E80&lt;FechaRef),"Vencida",IF(N('Cronograma R. Financiero'!$K80)&gt;0,"En curso","Pendiente"))))</f>
        <v/>
      </c>
      <c r="M80" s="41">
        <f>IF('Cronograma R. Financiero'!$A80="","",'Cronograma R. Financiero'!$M80&amp;"")</f>
        <v/>
      </c>
    </row>
    <row r="81">
      <c r="A81" s="22">
        <f>IF('Cronograma R. Financiero'!$A81="","",'Cronograma R. Financiero'!$A81)</f>
        <v/>
      </c>
      <c r="B81" s="41">
        <f>IF('Cronograma R. Financiero'!$A81="","",'Cronograma R. Financiero'!$B81&amp;"")</f>
        <v/>
      </c>
      <c r="C81" s="41">
        <f>IF('Cronograma R. Financiero'!$A81="","",'Cronograma R. Financiero'!$C81&amp;"")</f>
        <v/>
      </c>
      <c r="D81" s="63">
        <f>IF(OR('Cronograma R. Financiero'!$A81="",'Cronograma R. Financiero'!$D81=""),"",'Cronograma R. Financiero'!$D81)</f>
        <v/>
      </c>
      <c r="E81" s="63">
        <f>IF(OR('Cronograma R. Financiero'!$A81="",'Cronograma R. Financiero'!$E81=""),"",'Cronograma R. Financiero'!$E81)</f>
        <v/>
      </c>
      <c r="F81" s="22">
        <f>IF(OR('Cronograma R. Financiero'!$A81="",NOT(ISNUMBER('Cronograma R. Financiero'!$E81))),"",IF('Cronograma R. Financiero'!$E81&lt;InicioCiclo,"Antes del ciclo",IF('Cronograma R. Financiero'!$E81&gt;=InicioCiclo+28,"Después del ciclo","Semana "&amp;(INT(('Cronograma R. Financiero'!$E81-InicioCiclo)/7)+1))))</f>
        <v/>
      </c>
      <c r="G81" s="20">
        <f>IF(OR('Cronograma R. Financiero'!$A81="",'Cronograma R. Financiero'!$G81=""),"",'Cronograma R. Financiero'!$G81)</f>
        <v/>
      </c>
      <c r="H81" s="20">
        <f>IF(OR('Cronograma R. Financiero'!$A81="",'Cronograma R. Financiero'!$H81=""),"",'Cronograma R. Financiero'!$H81)</f>
        <v/>
      </c>
      <c r="I81" s="20">
        <f>IF(OR('Cronograma R. Financiero'!$A81="",'Cronograma R. Financiero'!$I81=""),"",'Cronograma R. Financiero'!$I81)</f>
        <v/>
      </c>
      <c r="J81" s="20">
        <f>IF(OR('Cronograma R. Financiero'!$A81="",'Cronograma R. Financiero'!$J81=""),"",'Cronograma R. Financiero'!$J81)</f>
        <v/>
      </c>
      <c r="K81" s="20">
        <f>IF('Cronograma R. Financiero'!$A81="","",'Cronograma R. Financiero'!$K81)</f>
        <v/>
      </c>
      <c r="L81" s="22">
        <f>IF('Cronograma R. Financiero'!$A81="","",IF(N('Cronograma R. Financiero'!$K81)&gt;=1,"Completado",IF(AND(ISNUMBER('Cronograma R. Financiero'!$E81),'Cronograma R. Financiero'!$E81&lt;FechaRef),"Vencida",IF(N('Cronograma R. Financiero'!$K81)&gt;0,"En curso","Pendiente"))))</f>
        <v/>
      </c>
      <c r="M81" s="41">
        <f>IF('Cronograma R. Financiero'!$A81="","",'Cronograma R. Financiero'!$M81&amp;"")</f>
        <v/>
      </c>
    </row>
    <row r="82">
      <c r="A82" s="22">
        <f>IF('Cronograma R. Financiero'!$A82="","",'Cronograma R. Financiero'!$A82)</f>
        <v/>
      </c>
      <c r="B82" s="41">
        <f>IF('Cronograma R. Financiero'!$A82="","",'Cronograma R. Financiero'!$B82&amp;"")</f>
        <v/>
      </c>
      <c r="C82" s="41">
        <f>IF('Cronograma R. Financiero'!$A82="","",'Cronograma R. Financiero'!$C82&amp;"")</f>
        <v/>
      </c>
      <c r="D82" s="63">
        <f>IF(OR('Cronograma R. Financiero'!$A82="",'Cronograma R. Financiero'!$D82=""),"",'Cronograma R. Financiero'!$D82)</f>
        <v/>
      </c>
      <c r="E82" s="63">
        <f>IF(OR('Cronograma R. Financiero'!$A82="",'Cronograma R. Financiero'!$E82=""),"",'Cronograma R. Financiero'!$E82)</f>
        <v/>
      </c>
      <c r="F82" s="22">
        <f>IF(OR('Cronograma R. Financiero'!$A82="",NOT(ISNUMBER('Cronograma R. Financiero'!$E82))),"",IF('Cronograma R. Financiero'!$E82&lt;InicioCiclo,"Antes del ciclo",IF('Cronograma R. Financiero'!$E82&gt;=InicioCiclo+28,"Después del ciclo","Semana "&amp;(INT(('Cronograma R. Financiero'!$E82-InicioCiclo)/7)+1))))</f>
        <v/>
      </c>
      <c r="G82" s="20">
        <f>IF(OR('Cronograma R. Financiero'!$A82="",'Cronograma R. Financiero'!$G82=""),"",'Cronograma R. Financiero'!$G82)</f>
        <v/>
      </c>
      <c r="H82" s="20">
        <f>IF(OR('Cronograma R. Financiero'!$A82="",'Cronograma R. Financiero'!$H82=""),"",'Cronograma R. Financiero'!$H82)</f>
        <v/>
      </c>
      <c r="I82" s="20">
        <f>IF(OR('Cronograma R. Financiero'!$A82="",'Cronograma R. Financiero'!$I82=""),"",'Cronograma R. Financiero'!$I82)</f>
        <v/>
      </c>
      <c r="J82" s="20">
        <f>IF(OR('Cronograma R. Financiero'!$A82="",'Cronograma R. Financiero'!$J82=""),"",'Cronograma R. Financiero'!$J82)</f>
        <v/>
      </c>
      <c r="K82" s="20">
        <f>IF('Cronograma R. Financiero'!$A82="","",'Cronograma R. Financiero'!$K82)</f>
        <v/>
      </c>
      <c r="L82" s="22">
        <f>IF('Cronograma R. Financiero'!$A82="","",IF(N('Cronograma R. Financiero'!$K82)&gt;=1,"Completado",IF(AND(ISNUMBER('Cronograma R. Financiero'!$E82),'Cronograma R. Financiero'!$E82&lt;FechaRef),"Vencida",IF(N('Cronograma R. Financiero'!$K82)&gt;0,"En curso","Pendiente"))))</f>
        <v/>
      </c>
      <c r="M82" s="41">
        <f>IF('Cronograma R. Financiero'!$A82="","",'Cronograma R. Financiero'!$M82&amp;"")</f>
        <v/>
      </c>
    </row>
    <row r="83">
      <c r="A83" s="22">
        <f>IF('Cronograma R. Financiero'!$A83="","",'Cronograma R. Financiero'!$A83)</f>
        <v/>
      </c>
      <c r="B83" s="41">
        <f>IF('Cronograma R. Financiero'!$A83="","",'Cronograma R. Financiero'!$B83&amp;"")</f>
        <v/>
      </c>
      <c r="C83" s="41">
        <f>IF('Cronograma R. Financiero'!$A83="","",'Cronograma R. Financiero'!$C83&amp;"")</f>
        <v/>
      </c>
      <c r="D83" s="63">
        <f>IF(OR('Cronograma R. Financiero'!$A83="",'Cronograma R. Financiero'!$D83=""),"",'Cronograma R. Financiero'!$D83)</f>
        <v/>
      </c>
      <c r="E83" s="63">
        <f>IF(OR('Cronograma R. Financiero'!$A83="",'Cronograma R. Financiero'!$E83=""),"",'Cronograma R. Financiero'!$E83)</f>
        <v/>
      </c>
      <c r="F83" s="22">
        <f>IF(OR('Cronograma R. Financiero'!$A83="",NOT(ISNUMBER('Cronograma R. Financiero'!$E83))),"",IF('Cronograma R. Financiero'!$E83&lt;InicioCiclo,"Antes del ciclo",IF('Cronograma R. Financiero'!$E83&gt;=InicioCiclo+28,"Después del ciclo","Semana "&amp;(INT(('Cronograma R. Financiero'!$E83-InicioCiclo)/7)+1))))</f>
        <v/>
      </c>
      <c r="G83" s="20">
        <f>IF(OR('Cronograma R. Financiero'!$A83="",'Cronograma R. Financiero'!$G83=""),"",'Cronograma R. Financiero'!$G83)</f>
        <v/>
      </c>
      <c r="H83" s="20">
        <f>IF(OR('Cronograma R. Financiero'!$A83="",'Cronograma R. Financiero'!$H83=""),"",'Cronograma R. Financiero'!$H83)</f>
        <v/>
      </c>
      <c r="I83" s="20">
        <f>IF(OR('Cronograma R. Financiero'!$A83="",'Cronograma R. Financiero'!$I83=""),"",'Cronograma R. Financiero'!$I83)</f>
        <v/>
      </c>
      <c r="J83" s="20">
        <f>IF(OR('Cronograma R. Financiero'!$A83="",'Cronograma R. Financiero'!$J83=""),"",'Cronograma R. Financiero'!$J83)</f>
        <v/>
      </c>
      <c r="K83" s="20">
        <f>IF('Cronograma R. Financiero'!$A83="","",'Cronograma R. Financiero'!$K83)</f>
        <v/>
      </c>
      <c r="L83" s="22">
        <f>IF('Cronograma R. Financiero'!$A83="","",IF(N('Cronograma R. Financiero'!$K83)&gt;=1,"Completado",IF(AND(ISNUMBER('Cronograma R. Financiero'!$E83),'Cronograma R. Financiero'!$E83&lt;FechaRef),"Vencida",IF(N('Cronograma R. Financiero'!$K83)&gt;0,"En curso","Pendiente"))))</f>
        <v/>
      </c>
      <c r="M83" s="41">
        <f>IF('Cronograma R. Financiero'!$A83="","",'Cronograma R. Financiero'!$M83&amp;"")</f>
        <v/>
      </c>
    </row>
    <row r="84">
      <c r="A84" s="22">
        <f>IF('Cronograma R. Financiero'!$A84="","",'Cronograma R. Financiero'!$A84)</f>
        <v/>
      </c>
      <c r="B84" s="41">
        <f>IF('Cronograma R. Financiero'!$A84="","",'Cronograma R. Financiero'!$B84&amp;"")</f>
        <v/>
      </c>
      <c r="C84" s="41">
        <f>IF('Cronograma R. Financiero'!$A84="","",'Cronograma R. Financiero'!$C84&amp;"")</f>
        <v/>
      </c>
      <c r="D84" s="63">
        <f>IF(OR('Cronograma R. Financiero'!$A84="",'Cronograma R. Financiero'!$D84=""),"",'Cronograma R. Financiero'!$D84)</f>
        <v/>
      </c>
      <c r="E84" s="63">
        <f>IF(OR('Cronograma R. Financiero'!$A84="",'Cronograma R. Financiero'!$E84=""),"",'Cronograma R. Financiero'!$E84)</f>
        <v/>
      </c>
      <c r="F84" s="22">
        <f>IF(OR('Cronograma R. Financiero'!$A84="",NOT(ISNUMBER('Cronograma R. Financiero'!$E84))),"",IF('Cronograma R. Financiero'!$E84&lt;InicioCiclo,"Antes del ciclo",IF('Cronograma R. Financiero'!$E84&gt;=InicioCiclo+28,"Después del ciclo","Semana "&amp;(INT(('Cronograma R. Financiero'!$E84-InicioCiclo)/7)+1))))</f>
        <v/>
      </c>
      <c r="G84" s="20">
        <f>IF(OR('Cronograma R. Financiero'!$A84="",'Cronograma R. Financiero'!$G84=""),"",'Cronograma R. Financiero'!$G84)</f>
        <v/>
      </c>
      <c r="H84" s="20">
        <f>IF(OR('Cronograma R. Financiero'!$A84="",'Cronograma R. Financiero'!$H84=""),"",'Cronograma R. Financiero'!$H84)</f>
        <v/>
      </c>
      <c r="I84" s="20">
        <f>IF(OR('Cronograma R. Financiero'!$A84="",'Cronograma R. Financiero'!$I84=""),"",'Cronograma R. Financiero'!$I84)</f>
        <v/>
      </c>
      <c r="J84" s="20">
        <f>IF(OR('Cronograma R. Financiero'!$A84="",'Cronograma R. Financiero'!$J84=""),"",'Cronograma R. Financiero'!$J84)</f>
        <v/>
      </c>
      <c r="K84" s="20">
        <f>IF('Cronograma R. Financiero'!$A84="","",'Cronograma R. Financiero'!$K84)</f>
        <v/>
      </c>
      <c r="L84" s="22">
        <f>IF('Cronograma R. Financiero'!$A84="","",IF(N('Cronograma R. Financiero'!$K84)&gt;=1,"Completado",IF(AND(ISNUMBER('Cronograma R. Financiero'!$E84),'Cronograma R. Financiero'!$E84&lt;FechaRef),"Vencida",IF(N('Cronograma R. Financiero'!$K84)&gt;0,"En curso","Pendiente"))))</f>
        <v/>
      </c>
      <c r="M84" s="41">
        <f>IF('Cronograma R. Financiero'!$A84="","",'Cronograma R. Financiero'!$M84&amp;"")</f>
        <v/>
      </c>
    </row>
    <row r="85">
      <c r="A85" s="22">
        <f>IF('Cronograma R. Financiero'!$A85="","",'Cronograma R. Financiero'!$A85)</f>
        <v/>
      </c>
      <c r="B85" s="41">
        <f>IF('Cronograma R. Financiero'!$A85="","",'Cronograma R. Financiero'!$B85&amp;"")</f>
        <v/>
      </c>
      <c r="C85" s="41">
        <f>IF('Cronograma R. Financiero'!$A85="","",'Cronograma R. Financiero'!$C85&amp;"")</f>
        <v/>
      </c>
      <c r="D85" s="63">
        <f>IF(OR('Cronograma R. Financiero'!$A85="",'Cronograma R. Financiero'!$D85=""),"",'Cronograma R. Financiero'!$D85)</f>
        <v/>
      </c>
      <c r="E85" s="63">
        <f>IF(OR('Cronograma R. Financiero'!$A85="",'Cronograma R. Financiero'!$E85=""),"",'Cronograma R. Financiero'!$E85)</f>
        <v/>
      </c>
      <c r="F85" s="22">
        <f>IF(OR('Cronograma R. Financiero'!$A85="",NOT(ISNUMBER('Cronograma R. Financiero'!$E85))),"",IF('Cronograma R. Financiero'!$E85&lt;InicioCiclo,"Antes del ciclo",IF('Cronograma R. Financiero'!$E85&gt;=InicioCiclo+28,"Después del ciclo","Semana "&amp;(INT(('Cronograma R. Financiero'!$E85-InicioCiclo)/7)+1))))</f>
        <v/>
      </c>
      <c r="G85" s="20">
        <f>IF(OR('Cronograma R. Financiero'!$A85="",'Cronograma R. Financiero'!$G85=""),"",'Cronograma R. Financiero'!$G85)</f>
        <v/>
      </c>
      <c r="H85" s="20">
        <f>IF(OR('Cronograma R. Financiero'!$A85="",'Cronograma R. Financiero'!$H85=""),"",'Cronograma R. Financiero'!$H85)</f>
        <v/>
      </c>
      <c r="I85" s="20">
        <f>IF(OR('Cronograma R. Financiero'!$A85="",'Cronograma R. Financiero'!$I85=""),"",'Cronograma R. Financiero'!$I85)</f>
        <v/>
      </c>
      <c r="J85" s="20">
        <f>IF(OR('Cronograma R. Financiero'!$A85="",'Cronograma R. Financiero'!$J85=""),"",'Cronograma R. Financiero'!$J85)</f>
        <v/>
      </c>
      <c r="K85" s="20">
        <f>IF('Cronograma R. Financiero'!$A85="","",'Cronograma R. Financiero'!$K85)</f>
        <v/>
      </c>
      <c r="L85" s="22">
        <f>IF('Cronograma R. Financiero'!$A85="","",IF(N('Cronograma R. Financiero'!$K85)&gt;=1,"Completado",IF(AND(ISNUMBER('Cronograma R. Financiero'!$E85),'Cronograma R. Financiero'!$E85&lt;FechaRef),"Vencida",IF(N('Cronograma R. Financiero'!$K85)&gt;0,"En curso","Pendiente"))))</f>
        <v/>
      </c>
      <c r="M85" s="41">
        <f>IF('Cronograma R. Financiero'!$A85="","",'Cronograma R. Financiero'!$M85&amp;"")</f>
        <v/>
      </c>
    </row>
    <row r="86">
      <c r="A86" s="22">
        <f>IF('Cronograma R. Financiero'!$A86="","",'Cronograma R. Financiero'!$A86)</f>
        <v/>
      </c>
      <c r="B86" s="41">
        <f>IF('Cronograma R. Financiero'!$A86="","",'Cronograma R. Financiero'!$B86&amp;"")</f>
        <v/>
      </c>
      <c r="C86" s="41">
        <f>IF('Cronograma R. Financiero'!$A86="","",'Cronograma R. Financiero'!$C86&amp;"")</f>
        <v/>
      </c>
      <c r="D86" s="63">
        <f>IF(OR('Cronograma R. Financiero'!$A86="",'Cronograma R. Financiero'!$D86=""),"",'Cronograma R. Financiero'!$D86)</f>
        <v/>
      </c>
      <c r="E86" s="63">
        <f>IF(OR('Cronograma R. Financiero'!$A86="",'Cronograma R. Financiero'!$E86=""),"",'Cronograma R. Financiero'!$E86)</f>
        <v/>
      </c>
      <c r="F86" s="22">
        <f>IF(OR('Cronograma R. Financiero'!$A86="",NOT(ISNUMBER('Cronograma R. Financiero'!$E86))),"",IF('Cronograma R. Financiero'!$E86&lt;InicioCiclo,"Antes del ciclo",IF('Cronograma R. Financiero'!$E86&gt;=InicioCiclo+28,"Después del ciclo","Semana "&amp;(INT(('Cronograma R. Financiero'!$E86-InicioCiclo)/7)+1))))</f>
        <v/>
      </c>
      <c r="G86" s="20">
        <f>IF(OR('Cronograma R. Financiero'!$A86="",'Cronograma R. Financiero'!$G86=""),"",'Cronograma R. Financiero'!$G86)</f>
        <v/>
      </c>
      <c r="H86" s="20">
        <f>IF(OR('Cronograma R. Financiero'!$A86="",'Cronograma R. Financiero'!$H86=""),"",'Cronograma R. Financiero'!$H86)</f>
        <v/>
      </c>
      <c r="I86" s="20">
        <f>IF(OR('Cronograma R. Financiero'!$A86="",'Cronograma R. Financiero'!$I86=""),"",'Cronograma R. Financiero'!$I86)</f>
        <v/>
      </c>
      <c r="J86" s="20">
        <f>IF(OR('Cronograma R. Financiero'!$A86="",'Cronograma R. Financiero'!$J86=""),"",'Cronograma R. Financiero'!$J86)</f>
        <v/>
      </c>
      <c r="K86" s="20">
        <f>IF('Cronograma R. Financiero'!$A86="","",'Cronograma R. Financiero'!$K86)</f>
        <v/>
      </c>
      <c r="L86" s="22">
        <f>IF('Cronograma R. Financiero'!$A86="","",IF(N('Cronograma R. Financiero'!$K86)&gt;=1,"Completado",IF(AND(ISNUMBER('Cronograma R. Financiero'!$E86),'Cronograma R. Financiero'!$E86&lt;FechaRef),"Vencida",IF(N('Cronograma R. Financiero'!$K86)&gt;0,"En curso","Pendiente"))))</f>
        <v/>
      </c>
      <c r="M86" s="41">
        <f>IF('Cronograma R. Financiero'!$A86="","",'Cronograma R. Financiero'!$M86&amp;"")</f>
        <v/>
      </c>
    </row>
    <row r="87">
      <c r="A87" s="22">
        <f>IF('Cronograma R. Financiero'!$A87="","",'Cronograma R. Financiero'!$A87)</f>
        <v/>
      </c>
      <c r="B87" s="41">
        <f>IF('Cronograma R. Financiero'!$A87="","",'Cronograma R. Financiero'!$B87&amp;"")</f>
        <v/>
      </c>
      <c r="C87" s="41">
        <f>IF('Cronograma R. Financiero'!$A87="","",'Cronograma R. Financiero'!$C87&amp;"")</f>
        <v/>
      </c>
      <c r="D87" s="63">
        <f>IF(OR('Cronograma R. Financiero'!$A87="",'Cronograma R. Financiero'!$D87=""),"",'Cronograma R. Financiero'!$D87)</f>
        <v/>
      </c>
      <c r="E87" s="63">
        <f>IF(OR('Cronograma R. Financiero'!$A87="",'Cronograma R. Financiero'!$E87=""),"",'Cronograma R. Financiero'!$E87)</f>
        <v/>
      </c>
      <c r="F87" s="22">
        <f>IF(OR('Cronograma R. Financiero'!$A87="",NOT(ISNUMBER('Cronograma R. Financiero'!$E87))),"",IF('Cronograma R. Financiero'!$E87&lt;InicioCiclo,"Antes del ciclo",IF('Cronograma R. Financiero'!$E87&gt;=InicioCiclo+28,"Después del ciclo","Semana "&amp;(INT(('Cronograma R. Financiero'!$E87-InicioCiclo)/7)+1))))</f>
        <v/>
      </c>
      <c r="G87" s="20">
        <f>IF(OR('Cronograma R. Financiero'!$A87="",'Cronograma R. Financiero'!$G87=""),"",'Cronograma R. Financiero'!$G87)</f>
        <v/>
      </c>
      <c r="H87" s="20">
        <f>IF(OR('Cronograma R. Financiero'!$A87="",'Cronograma R. Financiero'!$H87=""),"",'Cronograma R. Financiero'!$H87)</f>
        <v/>
      </c>
      <c r="I87" s="20">
        <f>IF(OR('Cronograma R. Financiero'!$A87="",'Cronograma R. Financiero'!$I87=""),"",'Cronograma R. Financiero'!$I87)</f>
        <v/>
      </c>
      <c r="J87" s="20">
        <f>IF(OR('Cronograma R. Financiero'!$A87="",'Cronograma R. Financiero'!$J87=""),"",'Cronograma R. Financiero'!$J87)</f>
        <v/>
      </c>
      <c r="K87" s="20">
        <f>IF('Cronograma R. Financiero'!$A87="","",'Cronograma R. Financiero'!$K87)</f>
        <v/>
      </c>
      <c r="L87" s="22">
        <f>IF('Cronograma R. Financiero'!$A87="","",IF(N('Cronograma R. Financiero'!$K87)&gt;=1,"Completado",IF(AND(ISNUMBER('Cronograma R. Financiero'!$E87),'Cronograma R. Financiero'!$E87&lt;FechaRef),"Vencida",IF(N('Cronograma R. Financiero'!$K87)&gt;0,"En curso","Pendiente"))))</f>
        <v/>
      </c>
      <c r="M87" s="41">
        <f>IF('Cronograma R. Financiero'!$A87="","",'Cronograma R. Financiero'!$M87&amp;"")</f>
        <v/>
      </c>
    </row>
    <row r="88">
      <c r="A88" s="22">
        <f>IF('Cronograma R. Financiero'!$A88="","",'Cronograma R. Financiero'!$A88)</f>
        <v/>
      </c>
      <c r="B88" s="41">
        <f>IF('Cronograma R. Financiero'!$A88="","",'Cronograma R. Financiero'!$B88&amp;"")</f>
        <v/>
      </c>
      <c r="C88" s="41">
        <f>IF('Cronograma R. Financiero'!$A88="","",'Cronograma R. Financiero'!$C88&amp;"")</f>
        <v/>
      </c>
      <c r="D88" s="63">
        <f>IF(OR('Cronograma R. Financiero'!$A88="",'Cronograma R. Financiero'!$D88=""),"",'Cronograma R. Financiero'!$D88)</f>
        <v/>
      </c>
      <c r="E88" s="63">
        <f>IF(OR('Cronograma R. Financiero'!$A88="",'Cronograma R. Financiero'!$E88=""),"",'Cronograma R. Financiero'!$E88)</f>
        <v/>
      </c>
      <c r="F88" s="22">
        <f>IF(OR('Cronograma R. Financiero'!$A88="",NOT(ISNUMBER('Cronograma R. Financiero'!$E88))),"",IF('Cronograma R. Financiero'!$E88&lt;InicioCiclo,"Antes del ciclo",IF('Cronograma R. Financiero'!$E88&gt;=InicioCiclo+28,"Después del ciclo","Semana "&amp;(INT(('Cronograma R. Financiero'!$E88-InicioCiclo)/7)+1))))</f>
        <v/>
      </c>
      <c r="G88" s="20">
        <f>IF(OR('Cronograma R. Financiero'!$A88="",'Cronograma R. Financiero'!$G88=""),"",'Cronograma R. Financiero'!$G88)</f>
        <v/>
      </c>
      <c r="H88" s="20">
        <f>IF(OR('Cronograma R. Financiero'!$A88="",'Cronograma R. Financiero'!$H88=""),"",'Cronograma R. Financiero'!$H88)</f>
        <v/>
      </c>
      <c r="I88" s="20">
        <f>IF(OR('Cronograma R. Financiero'!$A88="",'Cronograma R. Financiero'!$I88=""),"",'Cronograma R. Financiero'!$I88)</f>
        <v/>
      </c>
      <c r="J88" s="20">
        <f>IF(OR('Cronograma R. Financiero'!$A88="",'Cronograma R. Financiero'!$J88=""),"",'Cronograma R. Financiero'!$J88)</f>
        <v/>
      </c>
      <c r="K88" s="20">
        <f>IF('Cronograma R. Financiero'!$A88="","",'Cronograma R. Financiero'!$K88)</f>
        <v/>
      </c>
      <c r="L88" s="22">
        <f>IF('Cronograma R. Financiero'!$A88="","",IF(N('Cronograma R. Financiero'!$K88)&gt;=1,"Completado",IF(AND(ISNUMBER('Cronograma R. Financiero'!$E88),'Cronograma R. Financiero'!$E88&lt;FechaRef),"Vencida",IF(N('Cronograma R. Financiero'!$K88)&gt;0,"En curso","Pendiente"))))</f>
        <v/>
      </c>
      <c r="M88" s="41">
        <f>IF('Cronograma R. Financiero'!$A88="","",'Cronograma R. Financiero'!$M88&amp;"")</f>
        <v/>
      </c>
    </row>
    <row r="89">
      <c r="A89" s="22">
        <f>IF('Cronograma R. Financiero'!$A89="","",'Cronograma R. Financiero'!$A89)</f>
        <v/>
      </c>
      <c r="B89" s="41">
        <f>IF('Cronograma R. Financiero'!$A89="","",'Cronograma R. Financiero'!$B89&amp;"")</f>
        <v/>
      </c>
      <c r="C89" s="41">
        <f>IF('Cronograma R. Financiero'!$A89="","",'Cronograma R. Financiero'!$C89&amp;"")</f>
        <v/>
      </c>
      <c r="D89" s="63">
        <f>IF(OR('Cronograma R. Financiero'!$A89="",'Cronograma R. Financiero'!$D89=""),"",'Cronograma R. Financiero'!$D89)</f>
        <v/>
      </c>
      <c r="E89" s="63">
        <f>IF(OR('Cronograma R. Financiero'!$A89="",'Cronograma R. Financiero'!$E89=""),"",'Cronograma R. Financiero'!$E89)</f>
        <v/>
      </c>
      <c r="F89" s="22">
        <f>IF(OR('Cronograma R. Financiero'!$A89="",NOT(ISNUMBER('Cronograma R. Financiero'!$E89))),"",IF('Cronograma R. Financiero'!$E89&lt;InicioCiclo,"Antes del ciclo",IF('Cronograma R. Financiero'!$E89&gt;=InicioCiclo+28,"Después del ciclo","Semana "&amp;(INT(('Cronograma R. Financiero'!$E89-InicioCiclo)/7)+1))))</f>
        <v/>
      </c>
      <c r="G89" s="20">
        <f>IF(OR('Cronograma R. Financiero'!$A89="",'Cronograma R. Financiero'!$G89=""),"",'Cronograma R. Financiero'!$G89)</f>
        <v/>
      </c>
      <c r="H89" s="20">
        <f>IF(OR('Cronograma R. Financiero'!$A89="",'Cronograma R. Financiero'!$H89=""),"",'Cronograma R. Financiero'!$H89)</f>
        <v/>
      </c>
      <c r="I89" s="20">
        <f>IF(OR('Cronograma R. Financiero'!$A89="",'Cronograma R. Financiero'!$I89=""),"",'Cronograma R. Financiero'!$I89)</f>
        <v/>
      </c>
      <c r="J89" s="20">
        <f>IF(OR('Cronograma R. Financiero'!$A89="",'Cronograma R. Financiero'!$J89=""),"",'Cronograma R. Financiero'!$J89)</f>
        <v/>
      </c>
      <c r="K89" s="20">
        <f>IF('Cronograma R. Financiero'!$A89="","",'Cronograma R. Financiero'!$K89)</f>
        <v/>
      </c>
      <c r="L89" s="22">
        <f>IF('Cronograma R. Financiero'!$A89="","",IF(N('Cronograma R. Financiero'!$K89)&gt;=1,"Completado",IF(AND(ISNUMBER('Cronograma R. Financiero'!$E89),'Cronograma R. Financiero'!$E89&lt;FechaRef),"Vencida",IF(N('Cronograma R. Financiero'!$K89)&gt;0,"En curso","Pendiente"))))</f>
        <v/>
      </c>
      <c r="M89" s="41">
        <f>IF('Cronograma R. Financiero'!$A89="","",'Cronograma R. Financiero'!$M89&amp;"")</f>
        <v/>
      </c>
    </row>
    <row r="90">
      <c r="A90" s="22">
        <f>IF('Cronograma R. Financiero'!$A90="","",'Cronograma R. Financiero'!$A90)</f>
        <v/>
      </c>
      <c r="B90" s="41">
        <f>IF('Cronograma R. Financiero'!$A90="","",'Cronograma R. Financiero'!$B90&amp;"")</f>
        <v/>
      </c>
      <c r="C90" s="41">
        <f>IF('Cronograma R. Financiero'!$A90="","",'Cronograma R. Financiero'!$C90&amp;"")</f>
        <v/>
      </c>
      <c r="D90" s="63">
        <f>IF(OR('Cronograma R. Financiero'!$A90="",'Cronograma R. Financiero'!$D90=""),"",'Cronograma R. Financiero'!$D90)</f>
        <v/>
      </c>
      <c r="E90" s="63">
        <f>IF(OR('Cronograma R. Financiero'!$A90="",'Cronograma R. Financiero'!$E90=""),"",'Cronograma R. Financiero'!$E90)</f>
        <v/>
      </c>
      <c r="F90" s="22">
        <f>IF(OR('Cronograma R. Financiero'!$A90="",NOT(ISNUMBER('Cronograma R. Financiero'!$E90))),"",IF('Cronograma R. Financiero'!$E90&lt;InicioCiclo,"Antes del ciclo",IF('Cronograma R. Financiero'!$E90&gt;=InicioCiclo+28,"Después del ciclo","Semana "&amp;(INT(('Cronograma R. Financiero'!$E90-InicioCiclo)/7)+1))))</f>
        <v/>
      </c>
      <c r="G90" s="20">
        <f>IF(OR('Cronograma R. Financiero'!$A90="",'Cronograma R. Financiero'!$G90=""),"",'Cronograma R. Financiero'!$G90)</f>
        <v/>
      </c>
      <c r="H90" s="20">
        <f>IF(OR('Cronograma R. Financiero'!$A90="",'Cronograma R. Financiero'!$H90=""),"",'Cronograma R. Financiero'!$H90)</f>
        <v/>
      </c>
      <c r="I90" s="20">
        <f>IF(OR('Cronograma R. Financiero'!$A90="",'Cronograma R. Financiero'!$I90=""),"",'Cronograma R. Financiero'!$I90)</f>
        <v/>
      </c>
      <c r="J90" s="20">
        <f>IF(OR('Cronograma R. Financiero'!$A90="",'Cronograma R. Financiero'!$J90=""),"",'Cronograma R. Financiero'!$J90)</f>
        <v/>
      </c>
      <c r="K90" s="20">
        <f>IF('Cronograma R. Financiero'!$A90="","",'Cronograma R. Financiero'!$K90)</f>
        <v/>
      </c>
      <c r="L90" s="22">
        <f>IF('Cronograma R. Financiero'!$A90="","",IF(N('Cronograma R. Financiero'!$K90)&gt;=1,"Completado",IF(AND(ISNUMBER('Cronograma R. Financiero'!$E90),'Cronograma R. Financiero'!$E90&lt;FechaRef),"Vencida",IF(N('Cronograma R. Financiero'!$K90)&gt;0,"En curso","Pendiente"))))</f>
        <v/>
      </c>
      <c r="M90" s="41">
        <f>IF('Cronograma R. Financiero'!$A90="","",'Cronograma R. Financiero'!$M90&amp;"")</f>
        <v/>
      </c>
    </row>
    <row r="91">
      <c r="A91" s="22">
        <f>IF('Cronograma R. Financiero'!$A91="","",'Cronograma R. Financiero'!$A91)</f>
        <v/>
      </c>
      <c r="B91" s="41">
        <f>IF('Cronograma R. Financiero'!$A91="","",'Cronograma R. Financiero'!$B91&amp;"")</f>
        <v/>
      </c>
      <c r="C91" s="41">
        <f>IF('Cronograma R. Financiero'!$A91="","",'Cronograma R. Financiero'!$C91&amp;"")</f>
        <v/>
      </c>
      <c r="D91" s="63">
        <f>IF(OR('Cronograma R. Financiero'!$A91="",'Cronograma R. Financiero'!$D91=""),"",'Cronograma R. Financiero'!$D91)</f>
        <v/>
      </c>
      <c r="E91" s="63">
        <f>IF(OR('Cronograma R. Financiero'!$A91="",'Cronograma R. Financiero'!$E91=""),"",'Cronograma R. Financiero'!$E91)</f>
        <v/>
      </c>
      <c r="F91" s="22">
        <f>IF(OR('Cronograma R. Financiero'!$A91="",NOT(ISNUMBER('Cronograma R. Financiero'!$E91))),"",IF('Cronograma R. Financiero'!$E91&lt;InicioCiclo,"Antes del ciclo",IF('Cronograma R. Financiero'!$E91&gt;=InicioCiclo+28,"Después del ciclo","Semana "&amp;(INT(('Cronograma R. Financiero'!$E91-InicioCiclo)/7)+1))))</f>
        <v/>
      </c>
      <c r="G91" s="20">
        <f>IF(OR('Cronograma R. Financiero'!$A91="",'Cronograma R. Financiero'!$G91=""),"",'Cronograma R. Financiero'!$G91)</f>
        <v/>
      </c>
      <c r="H91" s="20">
        <f>IF(OR('Cronograma R. Financiero'!$A91="",'Cronograma R. Financiero'!$H91=""),"",'Cronograma R. Financiero'!$H91)</f>
        <v/>
      </c>
      <c r="I91" s="20">
        <f>IF(OR('Cronograma R. Financiero'!$A91="",'Cronograma R. Financiero'!$I91=""),"",'Cronograma R. Financiero'!$I91)</f>
        <v/>
      </c>
      <c r="J91" s="20">
        <f>IF(OR('Cronograma R. Financiero'!$A91="",'Cronograma R. Financiero'!$J91=""),"",'Cronograma R. Financiero'!$J91)</f>
        <v/>
      </c>
      <c r="K91" s="20">
        <f>IF('Cronograma R. Financiero'!$A91="","",'Cronograma R. Financiero'!$K91)</f>
        <v/>
      </c>
      <c r="L91" s="22">
        <f>IF('Cronograma R. Financiero'!$A91="","",IF(N('Cronograma R. Financiero'!$K91)&gt;=1,"Completado",IF(AND(ISNUMBER('Cronograma R. Financiero'!$E91),'Cronograma R. Financiero'!$E91&lt;FechaRef),"Vencida",IF(N('Cronograma R. Financiero'!$K91)&gt;0,"En curso","Pendiente"))))</f>
        <v/>
      </c>
      <c r="M91" s="41">
        <f>IF('Cronograma R. Financiero'!$A91="","",'Cronograma R. Financiero'!$M91&amp;"")</f>
        <v/>
      </c>
    </row>
    <row r="92">
      <c r="A92" s="22">
        <f>IF('Cronograma R. Financiero'!$A92="","",'Cronograma R. Financiero'!$A92)</f>
        <v/>
      </c>
      <c r="B92" s="41">
        <f>IF('Cronograma R. Financiero'!$A92="","",'Cronograma R. Financiero'!$B92&amp;"")</f>
        <v/>
      </c>
      <c r="C92" s="41">
        <f>IF('Cronograma R. Financiero'!$A92="","",'Cronograma R. Financiero'!$C92&amp;"")</f>
        <v/>
      </c>
      <c r="D92" s="63">
        <f>IF(OR('Cronograma R. Financiero'!$A92="",'Cronograma R. Financiero'!$D92=""),"",'Cronograma R. Financiero'!$D92)</f>
        <v/>
      </c>
      <c r="E92" s="63">
        <f>IF(OR('Cronograma R. Financiero'!$A92="",'Cronograma R. Financiero'!$E92=""),"",'Cronograma R. Financiero'!$E92)</f>
        <v/>
      </c>
      <c r="F92" s="22">
        <f>IF(OR('Cronograma R. Financiero'!$A92="",NOT(ISNUMBER('Cronograma R. Financiero'!$E92))),"",IF('Cronograma R. Financiero'!$E92&lt;InicioCiclo,"Antes del ciclo",IF('Cronograma R. Financiero'!$E92&gt;=InicioCiclo+28,"Después del ciclo","Semana "&amp;(INT(('Cronograma R. Financiero'!$E92-InicioCiclo)/7)+1))))</f>
        <v/>
      </c>
      <c r="G92" s="20">
        <f>IF(OR('Cronograma R. Financiero'!$A92="",'Cronograma R. Financiero'!$G92=""),"",'Cronograma R. Financiero'!$G92)</f>
        <v/>
      </c>
      <c r="H92" s="20">
        <f>IF(OR('Cronograma R. Financiero'!$A92="",'Cronograma R. Financiero'!$H92=""),"",'Cronograma R. Financiero'!$H92)</f>
        <v/>
      </c>
      <c r="I92" s="20">
        <f>IF(OR('Cronograma R. Financiero'!$A92="",'Cronograma R. Financiero'!$I92=""),"",'Cronograma R. Financiero'!$I92)</f>
        <v/>
      </c>
      <c r="J92" s="20">
        <f>IF(OR('Cronograma R. Financiero'!$A92="",'Cronograma R. Financiero'!$J92=""),"",'Cronograma R. Financiero'!$J92)</f>
        <v/>
      </c>
      <c r="K92" s="20">
        <f>IF('Cronograma R. Financiero'!$A92="","",'Cronograma R. Financiero'!$K92)</f>
        <v/>
      </c>
      <c r="L92" s="22">
        <f>IF('Cronograma R. Financiero'!$A92="","",IF(N('Cronograma R. Financiero'!$K92)&gt;=1,"Completado",IF(AND(ISNUMBER('Cronograma R. Financiero'!$E92),'Cronograma R. Financiero'!$E92&lt;FechaRef),"Vencida",IF(N('Cronograma R. Financiero'!$K92)&gt;0,"En curso","Pendiente"))))</f>
        <v/>
      </c>
      <c r="M92" s="41">
        <f>IF('Cronograma R. Financiero'!$A92="","",'Cronograma R. Financiero'!$M92&amp;"")</f>
        <v/>
      </c>
    </row>
    <row r="93">
      <c r="A93" s="22">
        <f>IF('Cronograma R. Financiero'!$A93="","",'Cronograma R. Financiero'!$A93)</f>
        <v/>
      </c>
      <c r="B93" s="41">
        <f>IF('Cronograma R. Financiero'!$A93="","",'Cronograma R. Financiero'!$B93&amp;"")</f>
        <v/>
      </c>
      <c r="C93" s="41">
        <f>IF('Cronograma R. Financiero'!$A93="","",'Cronograma R. Financiero'!$C93&amp;"")</f>
        <v/>
      </c>
      <c r="D93" s="63">
        <f>IF(OR('Cronograma R. Financiero'!$A93="",'Cronograma R. Financiero'!$D93=""),"",'Cronograma R. Financiero'!$D93)</f>
        <v/>
      </c>
      <c r="E93" s="63">
        <f>IF(OR('Cronograma R. Financiero'!$A93="",'Cronograma R. Financiero'!$E93=""),"",'Cronograma R. Financiero'!$E93)</f>
        <v/>
      </c>
      <c r="F93" s="22">
        <f>IF(OR('Cronograma R. Financiero'!$A93="",NOT(ISNUMBER('Cronograma R. Financiero'!$E93))),"",IF('Cronograma R. Financiero'!$E93&lt;InicioCiclo,"Antes del ciclo",IF('Cronograma R. Financiero'!$E93&gt;=InicioCiclo+28,"Después del ciclo","Semana "&amp;(INT(('Cronograma R. Financiero'!$E93-InicioCiclo)/7)+1))))</f>
        <v/>
      </c>
      <c r="G93" s="20">
        <f>IF(OR('Cronograma R. Financiero'!$A93="",'Cronograma R. Financiero'!$G93=""),"",'Cronograma R. Financiero'!$G93)</f>
        <v/>
      </c>
      <c r="H93" s="20">
        <f>IF(OR('Cronograma R. Financiero'!$A93="",'Cronograma R. Financiero'!$H93=""),"",'Cronograma R. Financiero'!$H93)</f>
        <v/>
      </c>
      <c r="I93" s="20">
        <f>IF(OR('Cronograma R. Financiero'!$A93="",'Cronograma R. Financiero'!$I93=""),"",'Cronograma R. Financiero'!$I93)</f>
        <v/>
      </c>
      <c r="J93" s="20">
        <f>IF(OR('Cronograma R. Financiero'!$A93="",'Cronograma R. Financiero'!$J93=""),"",'Cronograma R. Financiero'!$J93)</f>
        <v/>
      </c>
      <c r="K93" s="20">
        <f>IF('Cronograma R. Financiero'!$A93="","",'Cronograma R. Financiero'!$K93)</f>
        <v/>
      </c>
      <c r="L93" s="22">
        <f>IF('Cronograma R. Financiero'!$A93="","",IF(N('Cronograma R. Financiero'!$K93)&gt;=1,"Completado",IF(AND(ISNUMBER('Cronograma R. Financiero'!$E93),'Cronograma R. Financiero'!$E93&lt;FechaRef),"Vencida",IF(N('Cronograma R. Financiero'!$K93)&gt;0,"En curso","Pendiente"))))</f>
        <v/>
      </c>
      <c r="M93" s="41">
        <f>IF('Cronograma R. Financiero'!$A93="","",'Cronograma R. Financiero'!$M93&amp;"")</f>
        <v/>
      </c>
    </row>
    <row r="94">
      <c r="A94" s="22">
        <f>IF('Cronograma R. Financiero'!$A94="","",'Cronograma R. Financiero'!$A94)</f>
        <v/>
      </c>
      <c r="B94" s="41">
        <f>IF('Cronograma R. Financiero'!$A94="","",'Cronograma R. Financiero'!$B94&amp;"")</f>
        <v/>
      </c>
      <c r="C94" s="41">
        <f>IF('Cronograma R. Financiero'!$A94="","",'Cronograma R. Financiero'!$C94&amp;"")</f>
        <v/>
      </c>
      <c r="D94" s="63">
        <f>IF(OR('Cronograma R. Financiero'!$A94="",'Cronograma R. Financiero'!$D94=""),"",'Cronograma R. Financiero'!$D94)</f>
        <v/>
      </c>
      <c r="E94" s="63">
        <f>IF(OR('Cronograma R. Financiero'!$A94="",'Cronograma R. Financiero'!$E94=""),"",'Cronograma R. Financiero'!$E94)</f>
        <v/>
      </c>
      <c r="F94" s="22">
        <f>IF(OR('Cronograma R. Financiero'!$A94="",NOT(ISNUMBER('Cronograma R. Financiero'!$E94))),"",IF('Cronograma R. Financiero'!$E94&lt;InicioCiclo,"Antes del ciclo",IF('Cronograma R. Financiero'!$E94&gt;=InicioCiclo+28,"Después del ciclo","Semana "&amp;(INT(('Cronograma R. Financiero'!$E94-InicioCiclo)/7)+1))))</f>
        <v/>
      </c>
      <c r="G94" s="20">
        <f>IF(OR('Cronograma R. Financiero'!$A94="",'Cronograma R. Financiero'!$G94=""),"",'Cronograma R. Financiero'!$G94)</f>
        <v/>
      </c>
      <c r="H94" s="20">
        <f>IF(OR('Cronograma R. Financiero'!$A94="",'Cronograma R. Financiero'!$H94=""),"",'Cronograma R. Financiero'!$H94)</f>
        <v/>
      </c>
      <c r="I94" s="20">
        <f>IF(OR('Cronograma R. Financiero'!$A94="",'Cronograma R. Financiero'!$I94=""),"",'Cronograma R. Financiero'!$I94)</f>
        <v/>
      </c>
      <c r="J94" s="20">
        <f>IF(OR('Cronograma R. Financiero'!$A94="",'Cronograma R. Financiero'!$J94=""),"",'Cronograma R. Financiero'!$J94)</f>
        <v/>
      </c>
      <c r="K94" s="20">
        <f>IF('Cronograma R. Financiero'!$A94="","",'Cronograma R. Financiero'!$K94)</f>
        <v/>
      </c>
      <c r="L94" s="22">
        <f>IF('Cronograma R. Financiero'!$A94="","",IF(N('Cronograma R. Financiero'!$K94)&gt;=1,"Completado",IF(AND(ISNUMBER('Cronograma R. Financiero'!$E94),'Cronograma R. Financiero'!$E94&lt;FechaRef),"Vencida",IF(N('Cronograma R. Financiero'!$K94)&gt;0,"En curso","Pendiente"))))</f>
        <v/>
      </c>
      <c r="M94" s="41">
        <f>IF('Cronograma R. Financiero'!$A94="","",'Cronograma R. Financiero'!$M94&amp;"")</f>
        <v/>
      </c>
    </row>
    <row r="95">
      <c r="A95" s="22">
        <f>IF('Cronograma R. Financiero'!$A95="","",'Cronograma R. Financiero'!$A95)</f>
        <v/>
      </c>
      <c r="B95" s="41">
        <f>IF('Cronograma R. Financiero'!$A95="","",'Cronograma R. Financiero'!$B95&amp;"")</f>
        <v/>
      </c>
      <c r="C95" s="41">
        <f>IF('Cronograma R. Financiero'!$A95="","",'Cronograma R. Financiero'!$C95&amp;"")</f>
        <v/>
      </c>
      <c r="D95" s="63">
        <f>IF(OR('Cronograma R. Financiero'!$A95="",'Cronograma R. Financiero'!$D95=""),"",'Cronograma R. Financiero'!$D95)</f>
        <v/>
      </c>
      <c r="E95" s="63">
        <f>IF(OR('Cronograma R. Financiero'!$A95="",'Cronograma R. Financiero'!$E95=""),"",'Cronograma R. Financiero'!$E95)</f>
        <v/>
      </c>
      <c r="F95" s="22">
        <f>IF(OR('Cronograma R. Financiero'!$A95="",NOT(ISNUMBER('Cronograma R. Financiero'!$E95))),"",IF('Cronograma R. Financiero'!$E95&lt;InicioCiclo,"Antes del ciclo",IF('Cronograma R. Financiero'!$E95&gt;=InicioCiclo+28,"Después del ciclo","Semana "&amp;(INT(('Cronograma R. Financiero'!$E95-InicioCiclo)/7)+1))))</f>
        <v/>
      </c>
      <c r="G95" s="20">
        <f>IF(OR('Cronograma R. Financiero'!$A95="",'Cronograma R. Financiero'!$G95=""),"",'Cronograma R. Financiero'!$G95)</f>
        <v/>
      </c>
      <c r="H95" s="20">
        <f>IF(OR('Cronograma R. Financiero'!$A95="",'Cronograma R. Financiero'!$H95=""),"",'Cronograma R. Financiero'!$H95)</f>
        <v/>
      </c>
      <c r="I95" s="20">
        <f>IF(OR('Cronograma R. Financiero'!$A95="",'Cronograma R. Financiero'!$I95=""),"",'Cronograma R. Financiero'!$I95)</f>
        <v/>
      </c>
      <c r="J95" s="20">
        <f>IF(OR('Cronograma R. Financiero'!$A95="",'Cronograma R. Financiero'!$J95=""),"",'Cronograma R. Financiero'!$J95)</f>
        <v/>
      </c>
      <c r="K95" s="20">
        <f>IF('Cronograma R. Financiero'!$A95="","",'Cronograma R. Financiero'!$K95)</f>
        <v/>
      </c>
      <c r="L95" s="22">
        <f>IF('Cronograma R. Financiero'!$A95="","",IF(N('Cronograma R. Financiero'!$K95)&gt;=1,"Completado",IF(AND(ISNUMBER('Cronograma R. Financiero'!$E95),'Cronograma R. Financiero'!$E95&lt;FechaRef),"Vencida",IF(N('Cronograma R. Financiero'!$K95)&gt;0,"En curso","Pendiente"))))</f>
        <v/>
      </c>
      <c r="M95" s="41">
        <f>IF('Cronograma R. Financiero'!$A95="","",'Cronograma R. Financiero'!$M95&amp;"")</f>
        <v/>
      </c>
    </row>
    <row r="96">
      <c r="A96" s="22">
        <f>IF('Cronograma R. Financiero'!$A96="","",'Cronograma R. Financiero'!$A96)</f>
        <v/>
      </c>
      <c r="B96" s="41">
        <f>IF('Cronograma R. Financiero'!$A96="","",'Cronograma R. Financiero'!$B96&amp;"")</f>
        <v/>
      </c>
      <c r="C96" s="41">
        <f>IF('Cronograma R. Financiero'!$A96="","",'Cronograma R. Financiero'!$C96&amp;"")</f>
        <v/>
      </c>
      <c r="D96" s="63">
        <f>IF(OR('Cronograma R. Financiero'!$A96="",'Cronograma R. Financiero'!$D96=""),"",'Cronograma R. Financiero'!$D96)</f>
        <v/>
      </c>
      <c r="E96" s="63">
        <f>IF(OR('Cronograma R. Financiero'!$A96="",'Cronograma R. Financiero'!$E96=""),"",'Cronograma R. Financiero'!$E96)</f>
        <v/>
      </c>
      <c r="F96" s="22">
        <f>IF(OR('Cronograma R. Financiero'!$A96="",NOT(ISNUMBER('Cronograma R. Financiero'!$E96))),"",IF('Cronograma R. Financiero'!$E96&lt;InicioCiclo,"Antes del ciclo",IF('Cronograma R. Financiero'!$E96&gt;=InicioCiclo+28,"Después del ciclo","Semana "&amp;(INT(('Cronograma R. Financiero'!$E96-InicioCiclo)/7)+1))))</f>
        <v/>
      </c>
      <c r="G96" s="20">
        <f>IF(OR('Cronograma R. Financiero'!$A96="",'Cronograma R. Financiero'!$G96=""),"",'Cronograma R. Financiero'!$G96)</f>
        <v/>
      </c>
      <c r="H96" s="20">
        <f>IF(OR('Cronograma R. Financiero'!$A96="",'Cronograma R. Financiero'!$H96=""),"",'Cronograma R. Financiero'!$H96)</f>
        <v/>
      </c>
      <c r="I96" s="20">
        <f>IF(OR('Cronograma R. Financiero'!$A96="",'Cronograma R. Financiero'!$I96=""),"",'Cronograma R. Financiero'!$I96)</f>
        <v/>
      </c>
      <c r="J96" s="20">
        <f>IF(OR('Cronograma R. Financiero'!$A96="",'Cronograma R. Financiero'!$J96=""),"",'Cronograma R. Financiero'!$J96)</f>
        <v/>
      </c>
      <c r="K96" s="20">
        <f>IF('Cronograma R. Financiero'!$A96="","",'Cronograma R. Financiero'!$K96)</f>
        <v/>
      </c>
      <c r="L96" s="22">
        <f>IF('Cronograma R. Financiero'!$A96="","",IF(N('Cronograma R. Financiero'!$K96)&gt;=1,"Completado",IF(AND(ISNUMBER('Cronograma R. Financiero'!$E96),'Cronograma R. Financiero'!$E96&lt;FechaRef),"Vencida",IF(N('Cronograma R. Financiero'!$K96)&gt;0,"En curso","Pendiente"))))</f>
        <v/>
      </c>
      <c r="M96" s="41">
        <f>IF('Cronograma R. Financiero'!$A96="","",'Cronograma R. Financiero'!$M96&amp;"")</f>
        <v/>
      </c>
    </row>
    <row r="97">
      <c r="A97" s="22">
        <f>IF('Cronograma R. Financiero'!$A97="","",'Cronograma R. Financiero'!$A97)</f>
        <v/>
      </c>
      <c r="B97" s="41">
        <f>IF('Cronograma R. Financiero'!$A97="","",'Cronograma R. Financiero'!$B97&amp;"")</f>
        <v/>
      </c>
      <c r="C97" s="41">
        <f>IF('Cronograma R. Financiero'!$A97="","",'Cronograma R. Financiero'!$C97&amp;"")</f>
        <v/>
      </c>
      <c r="D97" s="63">
        <f>IF(OR('Cronograma R. Financiero'!$A97="",'Cronograma R. Financiero'!$D97=""),"",'Cronograma R. Financiero'!$D97)</f>
        <v/>
      </c>
      <c r="E97" s="63">
        <f>IF(OR('Cronograma R. Financiero'!$A97="",'Cronograma R. Financiero'!$E97=""),"",'Cronograma R. Financiero'!$E97)</f>
        <v/>
      </c>
      <c r="F97" s="22">
        <f>IF(OR('Cronograma R. Financiero'!$A97="",NOT(ISNUMBER('Cronograma R. Financiero'!$E97))),"",IF('Cronograma R. Financiero'!$E97&lt;InicioCiclo,"Antes del ciclo",IF('Cronograma R. Financiero'!$E97&gt;=InicioCiclo+28,"Después del ciclo","Semana "&amp;(INT(('Cronograma R. Financiero'!$E97-InicioCiclo)/7)+1))))</f>
        <v/>
      </c>
      <c r="G97" s="20">
        <f>IF(OR('Cronograma R. Financiero'!$A97="",'Cronograma R. Financiero'!$G97=""),"",'Cronograma R. Financiero'!$G97)</f>
        <v/>
      </c>
      <c r="H97" s="20">
        <f>IF(OR('Cronograma R. Financiero'!$A97="",'Cronograma R. Financiero'!$H97=""),"",'Cronograma R. Financiero'!$H97)</f>
        <v/>
      </c>
      <c r="I97" s="20">
        <f>IF(OR('Cronograma R. Financiero'!$A97="",'Cronograma R. Financiero'!$I97=""),"",'Cronograma R. Financiero'!$I97)</f>
        <v/>
      </c>
      <c r="J97" s="20">
        <f>IF(OR('Cronograma R. Financiero'!$A97="",'Cronograma R. Financiero'!$J97=""),"",'Cronograma R. Financiero'!$J97)</f>
        <v/>
      </c>
      <c r="K97" s="20">
        <f>IF('Cronograma R. Financiero'!$A97="","",'Cronograma R. Financiero'!$K97)</f>
        <v/>
      </c>
      <c r="L97" s="22">
        <f>IF('Cronograma R. Financiero'!$A97="","",IF(N('Cronograma R. Financiero'!$K97)&gt;=1,"Completado",IF(AND(ISNUMBER('Cronograma R. Financiero'!$E97),'Cronograma R. Financiero'!$E97&lt;FechaRef),"Vencida",IF(N('Cronograma R. Financiero'!$K97)&gt;0,"En curso","Pendiente"))))</f>
        <v/>
      </c>
      <c r="M97" s="41">
        <f>IF('Cronograma R. Financiero'!$A97="","",'Cronograma R. Financiero'!$M97&amp;"")</f>
        <v/>
      </c>
    </row>
    <row r="98">
      <c r="A98" s="22">
        <f>IF('Cronograma R. Financiero'!$A98="","",'Cronograma R. Financiero'!$A98)</f>
        <v/>
      </c>
      <c r="B98" s="41">
        <f>IF('Cronograma R. Financiero'!$A98="","",'Cronograma R. Financiero'!$B98&amp;"")</f>
        <v/>
      </c>
      <c r="C98" s="41">
        <f>IF('Cronograma R. Financiero'!$A98="","",'Cronograma R. Financiero'!$C98&amp;"")</f>
        <v/>
      </c>
      <c r="D98" s="63">
        <f>IF(OR('Cronograma R. Financiero'!$A98="",'Cronograma R. Financiero'!$D98=""),"",'Cronograma R. Financiero'!$D98)</f>
        <v/>
      </c>
      <c r="E98" s="63">
        <f>IF(OR('Cronograma R. Financiero'!$A98="",'Cronograma R. Financiero'!$E98=""),"",'Cronograma R. Financiero'!$E98)</f>
        <v/>
      </c>
      <c r="F98" s="22">
        <f>IF(OR('Cronograma R. Financiero'!$A98="",NOT(ISNUMBER('Cronograma R. Financiero'!$E98))),"",IF('Cronograma R. Financiero'!$E98&lt;InicioCiclo,"Antes del ciclo",IF('Cronograma R. Financiero'!$E98&gt;=InicioCiclo+28,"Después del ciclo","Semana "&amp;(INT(('Cronograma R. Financiero'!$E98-InicioCiclo)/7)+1))))</f>
        <v/>
      </c>
      <c r="G98" s="20">
        <f>IF(OR('Cronograma R. Financiero'!$A98="",'Cronograma R. Financiero'!$G98=""),"",'Cronograma R. Financiero'!$G98)</f>
        <v/>
      </c>
      <c r="H98" s="20">
        <f>IF(OR('Cronograma R. Financiero'!$A98="",'Cronograma R. Financiero'!$H98=""),"",'Cronograma R. Financiero'!$H98)</f>
        <v/>
      </c>
      <c r="I98" s="20">
        <f>IF(OR('Cronograma R. Financiero'!$A98="",'Cronograma R. Financiero'!$I98=""),"",'Cronograma R. Financiero'!$I98)</f>
        <v/>
      </c>
      <c r="J98" s="20">
        <f>IF(OR('Cronograma R. Financiero'!$A98="",'Cronograma R. Financiero'!$J98=""),"",'Cronograma R. Financiero'!$J98)</f>
        <v/>
      </c>
      <c r="K98" s="20">
        <f>IF('Cronograma R. Financiero'!$A98="","",'Cronograma R. Financiero'!$K98)</f>
        <v/>
      </c>
      <c r="L98" s="22">
        <f>IF('Cronograma R. Financiero'!$A98="","",IF(N('Cronograma R. Financiero'!$K98)&gt;=1,"Completado",IF(AND(ISNUMBER('Cronograma R. Financiero'!$E98),'Cronograma R. Financiero'!$E98&lt;FechaRef),"Vencida",IF(N('Cronograma R. Financiero'!$K98)&gt;0,"En curso","Pendiente"))))</f>
        <v/>
      </c>
      <c r="M98" s="41">
        <f>IF('Cronograma R. Financiero'!$A98="","",'Cronograma R. Financiero'!$M98&amp;"")</f>
        <v/>
      </c>
    </row>
    <row r="99">
      <c r="A99" s="22">
        <f>IF('Cronograma R. Financiero'!$A99="","",'Cronograma R. Financiero'!$A99)</f>
        <v/>
      </c>
      <c r="B99" s="41">
        <f>IF('Cronograma R. Financiero'!$A99="","",'Cronograma R. Financiero'!$B99&amp;"")</f>
        <v/>
      </c>
      <c r="C99" s="41">
        <f>IF('Cronograma R. Financiero'!$A99="","",'Cronograma R. Financiero'!$C99&amp;"")</f>
        <v/>
      </c>
      <c r="D99" s="63">
        <f>IF(OR('Cronograma R. Financiero'!$A99="",'Cronograma R. Financiero'!$D99=""),"",'Cronograma R. Financiero'!$D99)</f>
        <v/>
      </c>
      <c r="E99" s="63">
        <f>IF(OR('Cronograma R. Financiero'!$A99="",'Cronograma R. Financiero'!$E99=""),"",'Cronograma R. Financiero'!$E99)</f>
        <v/>
      </c>
      <c r="F99" s="22">
        <f>IF(OR('Cronograma R. Financiero'!$A99="",NOT(ISNUMBER('Cronograma R. Financiero'!$E99))),"",IF('Cronograma R. Financiero'!$E99&lt;InicioCiclo,"Antes del ciclo",IF('Cronograma R. Financiero'!$E99&gt;=InicioCiclo+28,"Después del ciclo","Semana "&amp;(INT(('Cronograma R. Financiero'!$E99-InicioCiclo)/7)+1))))</f>
        <v/>
      </c>
      <c r="G99" s="20">
        <f>IF(OR('Cronograma R. Financiero'!$A99="",'Cronograma R. Financiero'!$G99=""),"",'Cronograma R. Financiero'!$G99)</f>
        <v/>
      </c>
      <c r="H99" s="20">
        <f>IF(OR('Cronograma R. Financiero'!$A99="",'Cronograma R. Financiero'!$H99=""),"",'Cronograma R. Financiero'!$H99)</f>
        <v/>
      </c>
      <c r="I99" s="20">
        <f>IF(OR('Cronograma R. Financiero'!$A99="",'Cronograma R. Financiero'!$I99=""),"",'Cronograma R. Financiero'!$I99)</f>
        <v/>
      </c>
      <c r="J99" s="20">
        <f>IF(OR('Cronograma R. Financiero'!$A99="",'Cronograma R. Financiero'!$J99=""),"",'Cronograma R. Financiero'!$J99)</f>
        <v/>
      </c>
      <c r="K99" s="20">
        <f>IF('Cronograma R. Financiero'!$A99="","",'Cronograma R. Financiero'!$K99)</f>
        <v/>
      </c>
      <c r="L99" s="22">
        <f>IF('Cronograma R. Financiero'!$A99="","",IF(N('Cronograma R. Financiero'!$K99)&gt;=1,"Completado",IF(AND(ISNUMBER('Cronograma R. Financiero'!$E99),'Cronograma R. Financiero'!$E99&lt;FechaRef),"Vencida",IF(N('Cronograma R. Financiero'!$K99)&gt;0,"En curso","Pendiente"))))</f>
        <v/>
      </c>
      <c r="M99" s="41">
        <f>IF('Cronograma R. Financiero'!$A99="","",'Cronograma R. Financiero'!$M99&amp;"")</f>
        <v/>
      </c>
    </row>
    <row r="100">
      <c r="A100" s="22">
        <f>IF('Cronograma R. Financiero'!$A100="","",'Cronograma R. Financiero'!$A100)</f>
        <v/>
      </c>
      <c r="B100" s="41">
        <f>IF('Cronograma R. Financiero'!$A100="","",'Cronograma R. Financiero'!$B100&amp;"")</f>
        <v/>
      </c>
      <c r="C100" s="41">
        <f>IF('Cronograma R. Financiero'!$A100="","",'Cronograma R. Financiero'!$C100&amp;"")</f>
        <v/>
      </c>
      <c r="D100" s="63">
        <f>IF(OR('Cronograma R. Financiero'!$A100="",'Cronograma R. Financiero'!$D100=""),"",'Cronograma R. Financiero'!$D100)</f>
        <v/>
      </c>
      <c r="E100" s="63">
        <f>IF(OR('Cronograma R. Financiero'!$A100="",'Cronograma R. Financiero'!$E100=""),"",'Cronograma R. Financiero'!$E100)</f>
        <v/>
      </c>
      <c r="F100" s="22">
        <f>IF(OR('Cronograma R. Financiero'!$A100="",NOT(ISNUMBER('Cronograma R. Financiero'!$E100))),"",IF('Cronograma R. Financiero'!$E100&lt;InicioCiclo,"Antes del ciclo",IF('Cronograma R. Financiero'!$E100&gt;=InicioCiclo+28,"Después del ciclo","Semana "&amp;(INT(('Cronograma R. Financiero'!$E100-InicioCiclo)/7)+1))))</f>
        <v/>
      </c>
      <c r="G100" s="20">
        <f>IF(OR('Cronograma R. Financiero'!$A100="",'Cronograma R. Financiero'!$G100=""),"",'Cronograma R. Financiero'!$G100)</f>
        <v/>
      </c>
      <c r="H100" s="20">
        <f>IF(OR('Cronograma R. Financiero'!$A100="",'Cronograma R. Financiero'!$H100=""),"",'Cronograma R. Financiero'!$H100)</f>
        <v/>
      </c>
      <c r="I100" s="20">
        <f>IF(OR('Cronograma R. Financiero'!$A100="",'Cronograma R. Financiero'!$I100=""),"",'Cronograma R. Financiero'!$I100)</f>
        <v/>
      </c>
      <c r="J100" s="20">
        <f>IF(OR('Cronograma R. Financiero'!$A100="",'Cronograma R. Financiero'!$J100=""),"",'Cronograma R. Financiero'!$J100)</f>
        <v/>
      </c>
      <c r="K100" s="20">
        <f>IF('Cronograma R. Financiero'!$A100="","",'Cronograma R. Financiero'!$K100)</f>
        <v/>
      </c>
      <c r="L100" s="22">
        <f>IF('Cronograma R. Financiero'!$A100="","",IF(N('Cronograma R. Financiero'!$K100)&gt;=1,"Completado",IF(AND(ISNUMBER('Cronograma R. Financiero'!$E100),'Cronograma R. Financiero'!$E100&lt;FechaRef),"Vencida",IF(N('Cronograma R. Financiero'!$K100)&gt;0,"En curso","Pendiente"))))</f>
        <v/>
      </c>
      <c r="M100" s="41">
        <f>IF('Cronograma R. Financiero'!$A100="","",'Cronograma R. Financiero'!$M100&amp;"")</f>
        <v/>
      </c>
    </row>
    <row r="101">
      <c r="A101" s="22">
        <f>IF('Cronograma R. Financiero'!$A101="","",'Cronograma R. Financiero'!$A101)</f>
        <v/>
      </c>
      <c r="B101" s="41">
        <f>IF('Cronograma R. Financiero'!$A101="","",'Cronograma R. Financiero'!$B101&amp;"")</f>
        <v/>
      </c>
      <c r="C101" s="41">
        <f>IF('Cronograma R. Financiero'!$A101="","",'Cronograma R. Financiero'!$C101&amp;"")</f>
        <v/>
      </c>
      <c r="D101" s="63">
        <f>IF(OR('Cronograma R. Financiero'!$A101="",'Cronograma R. Financiero'!$D101=""),"",'Cronograma R. Financiero'!$D101)</f>
        <v/>
      </c>
      <c r="E101" s="63">
        <f>IF(OR('Cronograma R. Financiero'!$A101="",'Cronograma R. Financiero'!$E101=""),"",'Cronograma R. Financiero'!$E101)</f>
        <v/>
      </c>
      <c r="F101" s="22">
        <f>IF(OR('Cronograma R. Financiero'!$A101="",NOT(ISNUMBER('Cronograma R. Financiero'!$E101))),"",IF('Cronograma R. Financiero'!$E101&lt;InicioCiclo,"Antes del ciclo",IF('Cronograma R. Financiero'!$E101&gt;=InicioCiclo+28,"Después del ciclo","Semana "&amp;(INT(('Cronograma R. Financiero'!$E101-InicioCiclo)/7)+1))))</f>
        <v/>
      </c>
      <c r="G101" s="20">
        <f>IF(OR('Cronograma R. Financiero'!$A101="",'Cronograma R. Financiero'!$G101=""),"",'Cronograma R. Financiero'!$G101)</f>
        <v/>
      </c>
      <c r="H101" s="20">
        <f>IF(OR('Cronograma R. Financiero'!$A101="",'Cronograma R. Financiero'!$H101=""),"",'Cronograma R. Financiero'!$H101)</f>
        <v/>
      </c>
      <c r="I101" s="20">
        <f>IF(OR('Cronograma R. Financiero'!$A101="",'Cronograma R. Financiero'!$I101=""),"",'Cronograma R. Financiero'!$I101)</f>
        <v/>
      </c>
      <c r="J101" s="20">
        <f>IF(OR('Cronograma R. Financiero'!$A101="",'Cronograma R. Financiero'!$J101=""),"",'Cronograma R. Financiero'!$J101)</f>
        <v/>
      </c>
      <c r="K101" s="20">
        <f>IF('Cronograma R. Financiero'!$A101="","",'Cronograma R. Financiero'!$K101)</f>
        <v/>
      </c>
      <c r="L101" s="22">
        <f>IF('Cronograma R. Financiero'!$A101="","",IF(N('Cronograma R. Financiero'!$K101)&gt;=1,"Completado",IF(AND(ISNUMBER('Cronograma R. Financiero'!$E101),'Cronograma R. Financiero'!$E101&lt;FechaRef),"Vencida",IF(N('Cronograma R. Financiero'!$K101)&gt;0,"En curso","Pendiente"))))</f>
        <v/>
      </c>
      <c r="M101" s="41">
        <f>IF('Cronograma R. Financiero'!$A101="","",'Cronograma R. Financiero'!$M101&amp;"")</f>
        <v/>
      </c>
    </row>
    <row r="102">
      <c r="A102" s="22">
        <f>IF('Cronograma R. Financiero'!$A102="","",'Cronograma R. Financiero'!$A102)</f>
        <v/>
      </c>
      <c r="B102" s="41">
        <f>IF('Cronograma R. Financiero'!$A102="","",'Cronograma R. Financiero'!$B102&amp;"")</f>
        <v/>
      </c>
      <c r="C102" s="41">
        <f>IF('Cronograma R. Financiero'!$A102="","",'Cronograma R. Financiero'!$C102&amp;"")</f>
        <v/>
      </c>
      <c r="D102" s="63">
        <f>IF(OR('Cronograma R. Financiero'!$A102="",'Cronograma R. Financiero'!$D102=""),"",'Cronograma R. Financiero'!$D102)</f>
        <v/>
      </c>
      <c r="E102" s="63">
        <f>IF(OR('Cronograma R. Financiero'!$A102="",'Cronograma R. Financiero'!$E102=""),"",'Cronograma R. Financiero'!$E102)</f>
        <v/>
      </c>
      <c r="F102" s="22">
        <f>IF(OR('Cronograma R. Financiero'!$A102="",NOT(ISNUMBER('Cronograma R. Financiero'!$E102))),"",IF('Cronograma R. Financiero'!$E102&lt;InicioCiclo,"Antes del ciclo",IF('Cronograma R. Financiero'!$E102&gt;=InicioCiclo+28,"Después del ciclo","Semana "&amp;(INT(('Cronograma R. Financiero'!$E102-InicioCiclo)/7)+1))))</f>
        <v/>
      </c>
      <c r="G102" s="20">
        <f>IF(OR('Cronograma R. Financiero'!$A102="",'Cronograma R. Financiero'!$G102=""),"",'Cronograma R. Financiero'!$G102)</f>
        <v/>
      </c>
      <c r="H102" s="20">
        <f>IF(OR('Cronograma R. Financiero'!$A102="",'Cronograma R. Financiero'!$H102=""),"",'Cronograma R. Financiero'!$H102)</f>
        <v/>
      </c>
      <c r="I102" s="20">
        <f>IF(OR('Cronograma R. Financiero'!$A102="",'Cronograma R. Financiero'!$I102=""),"",'Cronograma R. Financiero'!$I102)</f>
        <v/>
      </c>
      <c r="J102" s="20">
        <f>IF(OR('Cronograma R. Financiero'!$A102="",'Cronograma R. Financiero'!$J102=""),"",'Cronograma R. Financiero'!$J102)</f>
        <v/>
      </c>
      <c r="K102" s="20">
        <f>IF('Cronograma R. Financiero'!$A102="","",'Cronograma R. Financiero'!$K102)</f>
        <v/>
      </c>
      <c r="L102" s="22">
        <f>IF('Cronograma R. Financiero'!$A102="","",IF(N('Cronograma R. Financiero'!$K102)&gt;=1,"Completado",IF(AND(ISNUMBER('Cronograma R. Financiero'!$E102),'Cronograma R. Financiero'!$E102&lt;FechaRef),"Vencida",IF(N('Cronograma R. Financiero'!$K102)&gt;0,"En curso","Pendiente"))))</f>
        <v/>
      </c>
      <c r="M102" s="41">
        <f>IF('Cronograma R. Financiero'!$A102="","",'Cronograma R. Financiero'!$M102&amp;"")</f>
        <v/>
      </c>
    </row>
    <row r="103">
      <c r="A103" s="22">
        <f>IF('Cronograma R. Financiero'!$A103="","",'Cronograma R. Financiero'!$A103)</f>
        <v/>
      </c>
      <c r="B103" s="41">
        <f>IF('Cronograma R. Financiero'!$A103="","",'Cronograma R. Financiero'!$B103&amp;"")</f>
        <v/>
      </c>
      <c r="C103" s="41">
        <f>IF('Cronograma R. Financiero'!$A103="","",'Cronograma R. Financiero'!$C103&amp;"")</f>
        <v/>
      </c>
      <c r="D103" s="63">
        <f>IF(OR('Cronograma R. Financiero'!$A103="",'Cronograma R. Financiero'!$D103=""),"",'Cronograma R. Financiero'!$D103)</f>
        <v/>
      </c>
      <c r="E103" s="63">
        <f>IF(OR('Cronograma R. Financiero'!$A103="",'Cronograma R. Financiero'!$E103=""),"",'Cronograma R. Financiero'!$E103)</f>
        <v/>
      </c>
      <c r="F103" s="22">
        <f>IF(OR('Cronograma R. Financiero'!$A103="",NOT(ISNUMBER('Cronograma R. Financiero'!$E103))),"",IF('Cronograma R. Financiero'!$E103&lt;InicioCiclo,"Antes del ciclo",IF('Cronograma R. Financiero'!$E103&gt;=InicioCiclo+28,"Después del ciclo","Semana "&amp;(INT(('Cronograma R. Financiero'!$E103-InicioCiclo)/7)+1))))</f>
        <v/>
      </c>
      <c r="G103" s="20">
        <f>IF(OR('Cronograma R. Financiero'!$A103="",'Cronograma R. Financiero'!$G103=""),"",'Cronograma R. Financiero'!$G103)</f>
        <v/>
      </c>
      <c r="H103" s="20">
        <f>IF(OR('Cronograma R. Financiero'!$A103="",'Cronograma R. Financiero'!$H103=""),"",'Cronograma R. Financiero'!$H103)</f>
        <v/>
      </c>
      <c r="I103" s="20">
        <f>IF(OR('Cronograma R. Financiero'!$A103="",'Cronograma R. Financiero'!$I103=""),"",'Cronograma R. Financiero'!$I103)</f>
        <v/>
      </c>
      <c r="J103" s="20">
        <f>IF(OR('Cronograma R. Financiero'!$A103="",'Cronograma R. Financiero'!$J103=""),"",'Cronograma R. Financiero'!$J103)</f>
        <v/>
      </c>
      <c r="K103" s="20">
        <f>IF('Cronograma R. Financiero'!$A103="","",'Cronograma R. Financiero'!$K103)</f>
        <v/>
      </c>
      <c r="L103" s="22">
        <f>IF('Cronograma R. Financiero'!$A103="","",IF(N('Cronograma R. Financiero'!$K103)&gt;=1,"Completado",IF(AND(ISNUMBER('Cronograma R. Financiero'!$E103),'Cronograma R. Financiero'!$E103&lt;FechaRef),"Vencida",IF(N('Cronograma R. Financiero'!$K103)&gt;0,"En curso","Pendiente"))))</f>
        <v/>
      </c>
      <c r="M103" s="41">
        <f>IF('Cronograma R. Financiero'!$A103="","",'Cronograma R. Financiero'!$M103&amp;"")</f>
        <v/>
      </c>
    </row>
    <row r="104">
      <c r="A104" s="22">
        <f>IF('Cronograma R. Financiero'!$A104="","",'Cronograma R. Financiero'!$A104)</f>
        <v/>
      </c>
      <c r="B104" s="41">
        <f>IF('Cronograma R. Financiero'!$A104="","",'Cronograma R. Financiero'!$B104&amp;"")</f>
        <v/>
      </c>
      <c r="C104" s="41">
        <f>IF('Cronograma R. Financiero'!$A104="","",'Cronograma R. Financiero'!$C104&amp;"")</f>
        <v/>
      </c>
      <c r="D104" s="63">
        <f>IF(OR('Cronograma R. Financiero'!$A104="",'Cronograma R. Financiero'!$D104=""),"",'Cronograma R. Financiero'!$D104)</f>
        <v/>
      </c>
      <c r="E104" s="63">
        <f>IF(OR('Cronograma R. Financiero'!$A104="",'Cronograma R. Financiero'!$E104=""),"",'Cronograma R. Financiero'!$E104)</f>
        <v/>
      </c>
      <c r="F104" s="22">
        <f>IF(OR('Cronograma R. Financiero'!$A104="",NOT(ISNUMBER('Cronograma R. Financiero'!$E104))),"",IF('Cronograma R. Financiero'!$E104&lt;InicioCiclo,"Antes del ciclo",IF('Cronograma R. Financiero'!$E104&gt;=InicioCiclo+28,"Después del ciclo","Semana "&amp;(INT(('Cronograma R. Financiero'!$E104-InicioCiclo)/7)+1))))</f>
        <v/>
      </c>
      <c r="G104" s="20">
        <f>IF(OR('Cronograma R. Financiero'!$A104="",'Cronograma R. Financiero'!$G104=""),"",'Cronograma R. Financiero'!$G104)</f>
        <v/>
      </c>
      <c r="H104" s="20">
        <f>IF(OR('Cronograma R. Financiero'!$A104="",'Cronograma R. Financiero'!$H104=""),"",'Cronograma R. Financiero'!$H104)</f>
        <v/>
      </c>
      <c r="I104" s="20">
        <f>IF(OR('Cronograma R. Financiero'!$A104="",'Cronograma R. Financiero'!$I104=""),"",'Cronograma R. Financiero'!$I104)</f>
        <v/>
      </c>
      <c r="J104" s="20">
        <f>IF(OR('Cronograma R. Financiero'!$A104="",'Cronograma R. Financiero'!$J104=""),"",'Cronograma R. Financiero'!$J104)</f>
        <v/>
      </c>
      <c r="K104" s="20">
        <f>IF('Cronograma R. Financiero'!$A104="","",'Cronograma R. Financiero'!$K104)</f>
        <v/>
      </c>
      <c r="L104" s="22">
        <f>IF('Cronograma R. Financiero'!$A104="","",IF(N('Cronograma R. Financiero'!$K104)&gt;=1,"Completado",IF(AND(ISNUMBER('Cronograma R. Financiero'!$E104),'Cronograma R. Financiero'!$E104&lt;FechaRef),"Vencida",IF(N('Cronograma R. Financiero'!$K104)&gt;0,"En curso","Pendiente"))))</f>
        <v/>
      </c>
      <c r="M104" s="41">
        <f>IF('Cronograma R. Financiero'!$A104="","",'Cronograma R. Financiero'!$M104&amp;"")</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G5:J104">
    <cfRule type="expression" priority="1" dxfId="6" stopIfTrue="1">
      <formula>AND(AND(ISNUMBER($D5),ISNUMBER($E5),$D5&lt;=InicioCiclo+7*(COLUMN(G5)-7)+6,$E5&gt;=InicioCiclo+7*(COLUMN(G5)-7)),$L5="Vencida")</formula>
    </cfRule>
    <cfRule type="expression" priority="2" dxfId="11">
      <formula>AND(ISNUMBER($D5),ISNUMBER($E5),$D5&lt;=InicioCiclo+7*(COLUMN(G5)-7)+6,$E5&gt;=InicioCiclo+7*(COLUMN(G5)-7))</formula>
    </cfRule>
  </conditionalFormatting>
  <conditionalFormatting sqref="L5:L104">
    <cfRule type="expression" priority="3" dxfId="0">
      <formula>$L5="Completado"</formula>
    </cfRule>
    <cfRule type="expression" priority="4" dxfId="6">
      <formula>$L5="Vencida"</formula>
    </cfRule>
    <cfRule type="expression" priority="5" dxfId="4">
      <formula>$L5="En curso"</formula>
    </cfRule>
    <cfRule type="expression" priority="6" dxfId="5">
      <formula>$L5="Pendiente"</formula>
    </cfRule>
  </conditionalFormatting>
  <conditionalFormatting sqref="F5:F104">
    <cfRule type="expression" priority="7" dxfId="1">
      <formula>$F5="Semana "&amp;SemanaActual</formula>
    </cfRule>
  </conditionalFormatting>
  <conditionalFormatting sqref="K5:K104">
    <cfRule type="dataBar" priority="8">
      <dataBar showValue="1">
        <cfvo type="num" val="0"/>
        <cfvo type="num" val="1"/>
        <color rgb="005B9BD5"/>
      </dataBar>
    </cfRule>
  </conditionalFormatting>
  <conditionalFormatting sqref="G4:J4">
    <cfRule type="expression" priority="9" dxfId="1">
      <formula>COLUMN(G4)-6=SemanaActual</formula>
    </cfRule>
  </conditionalFormatting>
  <conditionalFormatting sqref="G3:J3">
    <cfRule type="expression" priority="10" dxfId="1">
      <formula>COLUMN(G3)-6=SemanaActual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C55A11"/>
    <outlinePr summaryBelow="1" summaryRight="1"/>
    <pageSetUpPr fitToPage="1"/>
  </sheetPr>
  <dimension ref="A1:N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6" customWidth="1" min="2" max="2"/>
    <col width="22" customWidth="1" min="3" max="3"/>
    <col width="12" customWidth="1" min="4" max="4"/>
    <col width="12" customWidth="1" min="5" max="5"/>
    <col width="11" customWidth="1" min="6" max="6"/>
    <col width="11" customWidth="1" min="7" max="7"/>
    <col width="11" customWidth="1" min="8" max="8"/>
    <col width="11" customWidth="1" min="9" max="9"/>
    <col width="11" customWidth="1" min="10" max="10"/>
    <col width="12" customWidth="1" min="11" max="11"/>
    <col width="13" customWidth="1" min="12" max="12"/>
    <col width="42" customWidth="1" min="13" max="13"/>
    <col width="52" customWidth="1" min="14" max="14"/>
  </cols>
  <sheetData>
    <row r="1" ht="28" customHeight="1">
      <c r="A1" s="68" t="inlineStr">
        <is>
          <t>Cronograma – Asistente Técnico de Riesgo</t>
        </is>
      </c>
      <c r="B1" s="68" t="n"/>
      <c r="C1" s="68" t="n"/>
      <c r="D1" s="68" t="n"/>
      <c r="E1" s="68" t="n"/>
      <c r="F1" s="68" t="n"/>
      <c r="G1" s="68" t="n"/>
      <c r="H1" s="68" t="n"/>
      <c r="I1" s="68" t="n"/>
      <c r="J1" s="68" t="n"/>
      <c r="K1" s="68" t="n"/>
      <c r="L1" s="68" t="n"/>
      <c r="M1" s="68" t="n"/>
      <c r="N1" s="68" t="n"/>
    </row>
    <row r="2" ht="30" customHeight="1">
      <c r="A2" s="46" t="inlineStr">
        <is>
          <t>Llene solo las celdas AMARILLAS; las GRISES se calculan solas (el N° se numera solo). En cada semana escriba el % TOTAL logrado hasta esa semana (ej. 20%, 45%, 75%, 100%). Los pesos de esta hoja deben sumar 100%. Si una actividad no se cumple, explique el motivo en Observaciones.</t>
        </is>
      </c>
      <c r="B2" s="46" t="n"/>
      <c r="C2" s="46" t="n"/>
      <c r="D2" s="46" t="n"/>
      <c r="E2" s="46" t="n"/>
      <c r="F2" s="46" t="n"/>
      <c r="G2" s="46" t="n"/>
      <c r="H2" s="46" t="n"/>
      <c r="I2" s="46" t="n"/>
      <c r="J2" s="46" t="n"/>
      <c r="K2" s="46" t="n"/>
      <c r="L2" s="46" t="n"/>
      <c r="M2" s="46" t="n"/>
      <c r="N2" s="46" t="n"/>
    </row>
    <row r="3">
      <c r="A3" s="47" t="inlineStr">
        <is>
          <t>Entrada</t>
        </is>
      </c>
      <c r="B3" s="48" t="inlineStr">
        <is>
          <t>Gris = automático</t>
        </is>
      </c>
      <c r="C3" s="49" t="inlineStr">
        <is>
          <t>Suma de pesos:</t>
        </is>
      </c>
      <c r="D3" s="50">
        <f>SUM(F5:F1000)</f>
        <v/>
      </c>
      <c r="E3" s="51">
        <f>IF(COUNTIF(N5:N1000,"?*")=0,"",IF(ABS(D3-1)&lt;=0.0001,"✔ 100%","⚠ Debe sumar 100%"))</f>
        <v/>
      </c>
      <c r="F3" s="51" t="n"/>
    </row>
    <row r="4" ht="42" customHeight="1">
      <c r="A4" s="52" t="inlineStr">
        <is>
          <t>N°</t>
        </is>
      </c>
      <c r="B4" s="69" t="inlineStr">
        <is>
          <t>Macro Actividad</t>
        </is>
      </c>
      <c r="C4" s="69" t="inlineStr">
        <is>
          <t>Responsable</t>
        </is>
      </c>
      <c r="D4" s="69" t="inlineStr">
        <is>
          <t>Fecha de inicio</t>
        </is>
      </c>
      <c r="E4" s="69" t="inlineStr">
        <is>
          <t>Fecha límite</t>
        </is>
      </c>
      <c r="F4" s="69" t="inlineStr">
        <is>
          <t>Peso de actividad (%)</t>
        </is>
      </c>
      <c r="G4" s="69" t="inlineStr">
        <is>
          <t>Avance Semana 1 (%)</t>
        </is>
      </c>
      <c r="H4" s="69" t="inlineStr">
        <is>
          <t>Avance Semana 2 (%)</t>
        </is>
      </c>
      <c r="I4" s="69" t="inlineStr">
        <is>
          <t>Avance Semana 3 (%)</t>
        </is>
      </c>
      <c r="J4" s="69" t="inlineStr">
        <is>
          <t>Avance Semana 4 (%)</t>
        </is>
      </c>
      <c r="K4" s="52" t="inlineStr">
        <is>
          <t>% de Avance Total Actual</t>
        </is>
      </c>
      <c r="L4" s="52" t="inlineStr">
        <is>
          <t>Estado</t>
        </is>
      </c>
      <c r="M4" s="69" t="inlineStr">
        <is>
          <t>Observaciones</t>
        </is>
      </c>
      <c r="N4" s="52" t="inlineStr">
        <is>
          <t>Revisión automática (alertas)</t>
        </is>
      </c>
    </row>
    <row r="5">
      <c r="A5" s="53">
        <f>IF(NOT((COUNTA($B5:$J5)+COUNTA($M5))&gt;0),"",COUNTIF($L$5:$L5,"?*"))</f>
        <v/>
      </c>
      <c r="B5" s="54" t="n"/>
      <c r="C5" s="54" t="n"/>
      <c r="D5" s="55" t="n"/>
      <c r="E5" s="55" t="n"/>
      <c r="F5" s="56" t="n"/>
      <c r="G5" s="57" t="n"/>
      <c r="H5" s="57" t="n"/>
      <c r="I5" s="57" t="n"/>
      <c r="J5" s="57" t="n"/>
      <c r="K5" s="58">
        <f>IF(NOT((COUNTA($B5:$J5)+COUNTA($M5))&gt;0),"",IFERROR(LOOKUP(2,1/(G5:J5&lt;&gt;""),G5:J5),0))</f>
        <v/>
      </c>
      <c r="L5" s="53">
        <f>IF(K5="","",IF(K5&gt;=1,"Completado",IF(K5&gt;0,"En curso","Pendiente")))</f>
        <v/>
      </c>
      <c r="M5" s="54" t="n"/>
      <c r="N5" s="59">
        <f>IF(NOT((COUNTA($B5:$J5)+COUNTA($M5))&gt;0),"",IF((IF(B5="","Macroactividad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","")&amp;IF(ABS(SUM($F$5:$F$1000)-1)&gt;0.0001,"Pesos del puesto suman "&amp;TEXT(SUM($F$5:$F$1000),"0%")&amp;"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 OK","⚠ "&amp;LEFT(IF(B5="","Macroactividad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","")&amp;IF(ABS(SUM($F$5:$F$1000)-1)&gt;0.0001,"Pesos del puesto suman "&amp;TEXT(SUM($F$5:$F$1000),"0%")&amp;"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",""),LEN(IF(B5="","Macroactividad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","")&amp;IF(ABS(SUM($F$5:$F$1000)-1)&gt;0.0001,"Pesos del puesto suman "&amp;TEXT(SUM($F$5:$F$1000),"0%")&amp;"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",""))-3)))</f>
        <v/>
      </c>
    </row>
    <row r="6">
      <c r="A6" s="53">
        <f>IF(NOT((COUNTA($B6:$J6)+COUNTA($M6))&gt;0),"",COUNTIF($L$5:$L6,"?*"))</f>
        <v/>
      </c>
      <c r="B6" s="54" t="n"/>
      <c r="C6" s="54" t="n"/>
      <c r="D6" s="55" t="n"/>
      <c r="E6" s="55" t="n"/>
      <c r="F6" s="56" t="n"/>
      <c r="G6" s="57" t="n"/>
      <c r="H6" s="57" t="n"/>
      <c r="I6" s="57" t="n"/>
      <c r="J6" s="57" t="n"/>
      <c r="K6" s="58">
        <f>IF(NOT((COUNTA($B6:$J6)+COUNTA($M6))&gt;0),"",IFERROR(LOOKUP(2,1/(G6:J6&lt;&gt;""),G6:J6),0))</f>
        <v/>
      </c>
      <c r="L6" s="53">
        <f>IF(K6="","",IF(K6&gt;=1,"Completado",IF(K6&gt;0,"En curso","Pendiente")))</f>
        <v/>
      </c>
      <c r="M6" s="54" t="n"/>
      <c r="N6" s="59">
        <f>IF(NOT((COUNTA($B6:$J6)+COUNTA($M6))&gt;0),"",IF((IF(B6="","Macroactividad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","")&amp;IF(ABS(SUM($F$5:$F$1000)-1)&gt;0.0001,"Pesos del puesto suman "&amp;TEXT(SUM($F$5:$F$1000),"0%")&amp;"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 OK","⚠ "&amp;LEFT(IF(B6="","Macroactividad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","")&amp;IF(ABS(SUM($F$5:$F$1000)-1)&gt;0.0001,"Pesos del puesto suman "&amp;TEXT(SUM($F$5:$F$1000),"0%")&amp;"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",""),LEN(IF(B6="","Macroactividad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","")&amp;IF(ABS(SUM($F$5:$F$1000)-1)&gt;0.0001,"Pesos del puesto suman "&amp;TEXT(SUM($F$5:$F$1000),"0%")&amp;"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",""))-3)))</f>
        <v/>
      </c>
    </row>
    <row r="7">
      <c r="A7" s="53">
        <f>IF(NOT((COUNTA($B7:$J7)+COUNTA($M7))&gt;0),"",COUNTIF($L$5:$L7,"?*"))</f>
        <v/>
      </c>
      <c r="B7" s="54" t="n"/>
      <c r="C7" s="54" t="n"/>
      <c r="D7" s="55" t="n"/>
      <c r="E7" s="55" t="n"/>
      <c r="F7" s="56" t="n"/>
      <c r="G7" s="57" t="n"/>
      <c r="H7" s="57" t="n"/>
      <c r="I7" s="57" t="n"/>
      <c r="J7" s="57" t="n"/>
      <c r="K7" s="58">
        <f>IF(NOT((COUNTA($B7:$J7)+COUNTA($M7))&gt;0),"",IFERROR(LOOKUP(2,1/(G7:J7&lt;&gt;""),G7:J7),0))</f>
        <v/>
      </c>
      <c r="L7" s="53">
        <f>IF(K7="","",IF(K7&gt;=1,"Completado",IF(K7&gt;0,"En curso","Pendiente")))</f>
        <v/>
      </c>
      <c r="M7" s="54" t="n"/>
      <c r="N7" s="59">
        <f>IF(NOT((COUNTA($B7:$J7)+COUNTA($M7))&gt;0),"",IF((IF(B7="","Macroactividad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","")&amp;IF(ABS(SUM($F$5:$F$1000)-1)&gt;0.0001,"Pesos del puesto suman "&amp;TEXT(SUM($F$5:$F$1000),"0%")&amp;"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 OK","⚠ "&amp;LEFT(IF(B7="","Macroactividad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","")&amp;IF(ABS(SUM($F$5:$F$1000)-1)&gt;0.0001,"Pesos del puesto suman "&amp;TEXT(SUM($F$5:$F$1000),"0%")&amp;"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",""),LEN(IF(B7="","Macroactividad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","")&amp;IF(ABS(SUM($F$5:$F$1000)-1)&gt;0.0001,"Pesos del puesto suman "&amp;TEXT(SUM($F$5:$F$1000),"0%")&amp;"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",""))-3)))</f>
        <v/>
      </c>
    </row>
    <row r="8">
      <c r="A8" s="53">
        <f>IF(NOT((COUNTA($B8:$J8)+COUNTA($M8))&gt;0),"",COUNTIF($L$5:$L8,"?*"))</f>
        <v/>
      </c>
      <c r="B8" s="54" t="n"/>
      <c r="C8" s="54" t="n"/>
      <c r="D8" s="55" t="n"/>
      <c r="E8" s="55" t="n"/>
      <c r="F8" s="56" t="n"/>
      <c r="G8" s="57" t="n"/>
      <c r="H8" s="57" t="n"/>
      <c r="I8" s="57" t="n"/>
      <c r="J8" s="57" t="n"/>
      <c r="K8" s="58">
        <f>IF(NOT((COUNTA($B8:$J8)+COUNTA($M8))&gt;0),"",IFERROR(LOOKUP(2,1/(G8:J8&lt;&gt;""),G8:J8),0))</f>
        <v/>
      </c>
      <c r="L8" s="53">
        <f>IF(K8="","",IF(K8&gt;=1,"Completado",IF(K8&gt;0,"En curso","Pendiente")))</f>
        <v/>
      </c>
      <c r="M8" s="54" t="n"/>
      <c r="N8" s="59">
        <f>IF(NOT((COUNTA($B8:$J8)+COUNTA($M8))&gt;0),"",IF((IF(B8="","Macroactividad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","")&amp;IF(ABS(SUM($F$5:$F$1000)-1)&gt;0.0001,"Pesos del puesto suman "&amp;TEXT(SUM($F$5:$F$1000),"0%")&amp;"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 OK","⚠ "&amp;LEFT(IF(B8="","Macroactividad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","")&amp;IF(ABS(SUM($F$5:$F$1000)-1)&gt;0.0001,"Pesos del puesto suman "&amp;TEXT(SUM($F$5:$F$1000),"0%")&amp;"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",""),LEN(IF(B8="","Macroactividad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","")&amp;IF(ABS(SUM($F$5:$F$1000)-1)&gt;0.0001,"Pesos del puesto suman "&amp;TEXT(SUM($F$5:$F$1000),"0%")&amp;"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",""))-3)))</f>
        <v/>
      </c>
    </row>
    <row r="9">
      <c r="A9" s="53">
        <f>IF(NOT((COUNTA($B9:$J9)+COUNTA($M9))&gt;0),"",COUNTIF($L$5:$L9,"?*"))</f>
        <v/>
      </c>
      <c r="B9" s="54" t="n"/>
      <c r="C9" s="54" t="n"/>
      <c r="D9" s="55" t="n"/>
      <c r="E9" s="55" t="n"/>
      <c r="F9" s="56" t="n"/>
      <c r="G9" s="57" t="n"/>
      <c r="H9" s="57" t="n"/>
      <c r="I9" s="57" t="n"/>
      <c r="J9" s="57" t="n"/>
      <c r="K9" s="58">
        <f>IF(NOT((COUNTA($B9:$J9)+COUNTA($M9))&gt;0),"",IFERROR(LOOKUP(2,1/(G9:J9&lt;&gt;""),G9:J9),0))</f>
        <v/>
      </c>
      <c r="L9" s="53">
        <f>IF(K9="","",IF(K9&gt;=1,"Completado",IF(K9&gt;0,"En curso","Pendiente")))</f>
        <v/>
      </c>
      <c r="M9" s="54" t="n"/>
      <c r="N9" s="59">
        <f>IF(NOT((COUNTA($B9:$J9)+COUNTA($M9))&gt;0),"",IF((IF(B9="","Macroactividad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","")&amp;IF(ABS(SUM($F$5:$F$1000)-1)&gt;0.0001,"Pesos del puesto suman "&amp;TEXT(SUM($F$5:$F$1000),"0%")&amp;"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 OK","⚠ "&amp;LEFT(IF(B9="","Macroactividad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","")&amp;IF(ABS(SUM($F$5:$F$1000)-1)&gt;0.0001,"Pesos del puesto suman "&amp;TEXT(SUM($F$5:$F$1000),"0%")&amp;"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",""),LEN(IF(B9="","Macroactividad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","")&amp;IF(ABS(SUM($F$5:$F$1000)-1)&gt;0.0001,"Pesos del puesto suman "&amp;TEXT(SUM($F$5:$F$1000),"0%")&amp;"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",""))-3)))</f>
        <v/>
      </c>
    </row>
    <row r="10">
      <c r="A10" s="53">
        <f>IF(NOT((COUNTA($B10:$J10)+COUNTA($M10))&gt;0),"",COUNTIF($L$5:$L10,"?*"))</f>
        <v/>
      </c>
      <c r="B10" s="54" t="n"/>
      <c r="C10" s="54" t="n"/>
      <c r="D10" s="55" t="n"/>
      <c r="E10" s="55" t="n"/>
      <c r="F10" s="56" t="n"/>
      <c r="G10" s="57" t="n"/>
      <c r="H10" s="57" t="n"/>
      <c r="I10" s="57" t="n"/>
      <c r="J10" s="57" t="n"/>
      <c r="K10" s="58">
        <f>IF(NOT((COUNTA($B10:$J10)+COUNTA($M10))&gt;0),"",IFERROR(LOOKUP(2,1/(G10:J10&lt;&gt;""),G10:J10),0))</f>
        <v/>
      </c>
      <c r="L10" s="53">
        <f>IF(K10="","",IF(K10&gt;=1,"Completado",IF(K10&gt;0,"En curso","Pendiente")))</f>
        <v/>
      </c>
      <c r="M10" s="54" t="n"/>
      <c r="N10" s="59">
        <f>IF(NOT((COUNTA($B10:$J10)+COUNTA($M10))&gt;0),"",IF((IF(B10="","Macroactividad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","")&amp;IF(ABS(SUM($F$5:$F$1000)-1)&gt;0.0001,"Pesos del puesto suman "&amp;TEXT(SUM($F$5:$F$1000),"0%")&amp;"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 OK","⚠ "&amp;LEFT(IF(B10="","Macroactividad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","")&amp;IF(ABS(SUM($F$5:$F$1000)-1)&gt;0.0001,"Pesos del puesto suman "&amp;TEXT(SUM($F$5:$F$1000),"0%")&amp;"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",""),LEN(IF(B10="","Macroactividad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","")&amp;IF(ABS(SUM($F$5:$F$1000)-1)&gt;0.0001,"Pesos del puesto suman "&amp;TEXT(SUM($F$5:$F$1000),"0%")&amp;"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",""))-3)))</f>
        <v/>
      </c>
    </row>
    <row r="11">
      <c r="A11" s="53">
        <f>IF(NOT((COUNTA($B11:$J11)+COUNTA($M11))&gt;0),"",COUNTIF($L$5:$L11,"?*"))</f>
        <v/>
      </c>
      <c r="B11" s="54" t="n"/>
      <c r="C11" s="54" t="n"/>
      <c r="D11" s="55" t="n"/>
      <c r="E11" s="55" t="n"/>
      <c r="F11" s="56" t="n"/>
      <c r="G11" s="57" t="n"/>
      <c r="H11" s="57" t="n"/>
      <c r="I11" s="57" t="n"/>
      <c r="J11" s="57" t="n"/>
      <c r="K11" s="58">
        <f>IF(NOT((COUNTA($B11:$J11)+COUNTA($M11))&gt;0),"",IFERROR(LOOKUP(2,1/(G11:J11&lt;&gt;""),G11:J11),0))</f>
        <v/>
      </c>
      <c r="L11" s="53">
        <f>IF(K11="","",IF(K11&gt;=1,"Completado",IF(K11&gt;0,"En curso","Pendiente")))</f>
        <v/>
      </c>
      <c r="M11" s="54" t="n"/>
      <c r="N11" s="59">
        <f>IF(NOT((COUNTA($B11:$J11)+COUNTA($M11))&gt;0),"",IF((IF(B11="","Macroactividad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","")&amp;IF(ABS(SUM($F$5:$F$1000)-1)&gt;0.0001,"Pesos del puesto suman "&amp;TEXT(SUM($F$5:$F$1000),"0%")&amp;"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 OK","⚠ "&amp;LEFT(IF(B11="","Macroactividad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","")&amp;IF(ABS(SUM($F$5:$F$1000)-1)&gt;0.0001,"Pesos del puesto suman "&amp;TEXT(SUM($F$5:$F$1000),"0%")&amp;"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",""),LEN(IF(B11="","Macroactividad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","")&amp;IF(ABS(SUM($F$5:$F$1000)-1)&gt;0.0001,"Pesos del puesto suman "&amp;TEXT(SUM($F$5:$F$1000),"0%")&amp;"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",""))-3)))</f>
        <v/>
      </c>
    </row>
    <row r="12">
      <c r="A12" s="53">
        <f>IF(NOT((COUNTA($B12:$J12)+COUNTA($M12))&gt;0),"",COUNTIF($L$5:$L12,"?*"))</f>
        <v/>
      </c>
      <c r="B12" s="54" t="n"/>
      <c r="C12" s="54" t="n"/>
      <c r="D12" s="55" t="n"/>
      <c r="E12" s="55" t="n"/>
      <c r="F12" s="56" t="n"/>
      <c r="G12" s="57" t="n"/>
      <c r="H12" s="57" t="n"/>
      <c r="I12" s="57" t="n"/>
      <c r="J12" s="57" t="n"/>
      <c r="K12" s="58">
        <f>IF(NOT((COUNTA($B12:$J12)+COUNTA($M12))&gt;0),"",IFERROR(LOOKUP(2,1/(G12:J12&lt;&gt;""),G12:J12),0))</f>
        <v/>
      </c>
      <c r="L12" s="53">
        <f>IF(K12="","",IF(K12&gt;=1,"Completado",IF(K12&gt;0,"En curso","Pendiente")))</f>
        <v/>
      </c>
      <c r="M12" s="54" t="n"/>
      <c r="N12" s="59">
        <f>IF(NOT((COUNTA($B12:$J12)+COUNTA($M12))&gt;0),"",IF((IF(B12="","Macroactividad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","")&amp;IF(ABS(SUM($F$5:$F$1000)-1)&gt;0.0001,"Pesos del puesto suman "&amp;TEXT(SUM($F$5:$F$1000),"0%")&amp;"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 OK","⚠ "&amp;LEFT(IF(B12="","Macroactividad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","")&amp;IF(ABS(SUM($F$5:$F$1000)-1)&gt;0.0001,"Pesos del puesto suman "&amp;TEXT(SUM($F$5:$F$1000),"0%")&amp;"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",""),LEN(IF(B12="","Macroactividad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","")&amp;IF(ABS(SUM($F$5:$F$1000)-1)&gt;0.0001,"Pesos del puesto suman "&amp;TEXT(SUM($F$5:$F$1000),"0%")&amp;"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",""))-3)))</f>
        <v/>
      </c>
    </row>
    <row r="13">
      <c r="A13" s="53">
        <f>IF(NOT((COUNTA($B13:$J13)+COUNTA($M13))&gt;0),"",COUNTIF($L$5:$L13,"?*"))</f>
        <v/>
      </c>
      <c r="B13" s="54" t="n"/>
      <c r="C13" s="54" t="n"/>
      <c r="D13" s="55" t="n"/>
      <c r="E13" s="55" t="n"/>
      <c r="F13" s="56" t="n"/>
      <c r="G13" s="57" t="n"/>
      <c r="H13" s="57" t="n"/>
      <c r="I13" s="57" t="n"/>
      <c r="J13" s="57" t="n"/>
      <c r="K13" s="58">
        <f>IF(NOT((COUNTA($B13:$J13)+COUNTA($M13))&gt;0),"",IFERROR(LOOKUP(2,1/(G13:J13&lt;&gt;""),G13:J13),0))</f>
        <v/>
      </c>
      <c r="L13" s="53">
        <f>IF(K13="","",IF(K13&gt;=1,"Completado",IF(K13&gt;0,"En curso","Pendiente")))</f>
        <v/>
      </c>
      <c r="M13" s="54" t="n"/>
      <c r="N13" s="59">
        <f>IF(NOT((COUNTA($B13:$J13)+COUNTA($M13))&gt;0),"",IF((IF(B13="","Macroactividad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","")&amp;IF(ABS(SUM($F$5:$F$1000)-1)&gt;0.0001,"Pesos del puesto suman "&amp;TEXT(SUM($F$5:$F$1000),"0%")&amp;"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 OK","⚠ "&amp;LEFT(IF(B13="","Macroactividad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","")&amp;IF(ABS(SUM($F$5:$F$1000)-1)&gt;0.0001,"Pesos del puesto suman "&amp;TEXT(SUM($F$5:$F$1000),"0%")&amp;"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",""),LEN(IF(B13="","Macroactividad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","")&amp;IF(ABS(SUM($F$5:$F$1000)-1)&gt;0.0001,"Pesos del puesto suman "&amp;TEXT(SUM($F$5:$F$1000),"0%")&amp;"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",""))-3)))</f>
        <v/>
      </c>
    </row>
    <row r="14">
      <c r="A14" s="53">
        <f>IF(NOT((COUNTA($B14:$J14)+COUNTA($M14))&gt;0),"",COUNTIF($L$5:$L14,"?*"))</f>
        <v/>
      </c>
      <c r="B14" s="54" t="n"/>
      <c r="C14" s="54" t="n"/>
      <c r="D14" s="55" t="n"/>
      <c r="E14" s="55" t="n"/>
      <c r="F14" s="56" t="n"/>
      <c r="G14" s="57" t="n"/>
      <c r="H14" s="57" t="n"/>
      <c r="I14" s="57" t="n"/>
      <c r="J14" s="57" t="n"/>
      <c r="K14" s="58">
        <f>IF(NOT((COUNTA($B14:$J14)+COUNTA($M14))&gt;0),"",IFERROR(LOOKUP(2,1/(G14:J14&lt;&gt;""),G14:J14),0))</f>
        <v/>
      </c>
      <c r="L14" s="53">
        <f>IF(K14="","",IF(K14&gt;=1,"Completado",IF(K14&gt;0,"En curso","Pendiente")))</f>
        <v/>
      </c>
      <c r="M14" s="54" t="n"/>
      <c r="N14" s="59">
        <f>IF(NOT((COUNTA($B14:$J14)+COUNTA($M14))&gt;0),"",IF((IF(B14="","Macroactividad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","")&amp;IF(ABS(SUM($F$5:$F$1000)-1)&gt;0.0001,"Pesos del puesto suman "&amp;TEXT(SUM($F$5:$F$1000),"0%")&amp;"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 OK","⚠ "&amp;LEFT(IF(B14="","Macroactividad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","")&amp;IF(ABS(SUM($F$5:$F$1000)-1)&gt;0.0001,"Pesos del puesto suman "&amp;TEXT(SUM($F$5:$F$1000),"0%")&amp;"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",""),LEN(IF(B14="","Macroactividad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","")&amp;IF(ABS(SUM($F$5:$F$1000)-1)&gt;0.0001,"Pesos del puesto suman "&amp;TEXT(SUM($F$5:$F$1000),"0%")&amp;"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",""))-3)))</f>
        <v/>
      </c>
    </row>
    <row r="15">
      <c r="A15" s="53">
        <f>IF(NOT((COUNTA($B15:$J15)+COUNTA($M15))&gt;0),"",COUNTIF($L$5:$L15,"?*"))</f>
        <v/>
      </c>
      <c r="B15" s="54" t="n"/>
      <c r="C15" s="54" t="n"/>
      <c r="D15" s="55" t="n"/>
      <c r="E15" s="55" t="n"/>
      <c r="F15" s="56" t="n"/>
      <c r="G15" s="57" t="n"/>
      <c r="H15" s="57" t="n"/>
      <c r="I15" s="57" t="n"/>
      <c r="J15" s="57" t="n"/>
      <c r="K15" s="58">
        <f>IF(NOT((COUNTA($B15:$J15)+COUNTA($M15))&gt;0),"",IFERROR(LOOKUP(2,1/(G15:J15&lt;&gt;""),G15:J15),0))</f>
        <v/>
      </c>
      <c r="L15" s="53">
        <f>IF(K15="","",IF(K15&gt;=1,"Completado",IF(K15&gt;0,"En curso","Pendiente")))</f>
        <v/>
      </c>
      <c r="M15" s="54" t="n"/>
      <c r="N15" s="59">
        <f>IF(NOT((COUNTA($B15:$J15)+COUNTA($M15))&gt;0),"",IF((IF(B15="","Macroactividad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","")&amp;IF(ABS(SUM($F$5:$F$1000)-1)&gt;0.0001,"Pesos del puesto suman "&amp;TEXT(SUM($F$5:$F$1000),"0%")&amp;"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 OK","⚠ "&amp;LEFT(IF(B15="","Macroactividad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","")&amp;IF(ABS(SUM($F$5:$F$1000)-1)&gt;0.0001,"Pesos del puesto suman "&amp;TEXT(SUM($F$5:$F$1000),"0%")&amp;"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",""),LEN(IF(B15="","Macroactividad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","")&amp;IF(ABS(SUM($F$5:$F$1000)-1)&gt;0.0001,"Pesos del puesto suman "&amp;TEXT(SUM($F$5:$F$1000),"0%")&amp;"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",""))-3)))</f>
        <v/>
      </c>
    </row>
    <row r="16">
      <c r="A16" s="53">
        <f>IF(NOT((COUNTA($B16:$J16)+COUNTA($M16))&gt;0),"",COUNTIF($L$5:$L16,"?*"))</f>
        <v/>
      </c>
      <c r="B16" s="54" t="n"/>
      <c r="C16" s="54" t="n"/>
      <c r="D16" s="55" t="n"/>
      <c r="E16" s="55" t="n"/>
      <c r="F16" s="56" t="n"/>
      <c r="G16" s="57" t="n"/>
      <c r="H16" s="57" t="n"/>
      <c r="I16" s="57" t="n"/>
      <c r="J16" s="57" t="n"/>
      <c r="K16" s="58">
        <f>IF(NOT((COUNTA($B16:$J16)+COUNTA($M16))&gt;0),"",IFERROR(LOOKUP(2,1/(G16:J16&lt;&gt;""),G16:J16),0))</f>
        <v/>
      </c>
      <c r="L16" s="53">
        <f>IF(K16="","",IF(K16&gt;=1,"Completado",IF(K16&gt;0,"En curso","Pendiente")))</f>
        <v/>
      </c>
      <c r="M16" s="54" t="n"/>
      <c r="N16" s="59">
        <f>IF(NOT((COUNTA($B16:$J16)+COUNTA($M16))&gt;0),"",IF((IF(B16="","Macroactividad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","")&amp;IF(ABS(SUM($F$5:$F$1000)-1)&gt;0.0001,"Pesos del puesto suman "&amp;TEXT(SUM($F$5:$F$1000),"0%")&amp;"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 OK","⚠ "&amp;LEFT(IF(B16="","Macroactividad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","")&amp;IF(ABS(SUM($F$5:$F$1000)-1)&gt;0.0001,"Pesos del puesto suman "&amp;TEXT(SUM($F$5:$F$1000),"0%")&amp;"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",""),LEN(IF(B16="","Macroactividad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","")&amp;IF(ABS(SUM($F$5:$F$1000)-1)&gt;0.0001,"Pesos del puesto suman "&amp;TEXT(SUM($F$5:$F$1000),"0%")&amp;"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",""))-3)))</f>
        <v/>
      </c>
    </row>
    <row r="17">
      <c r="A17" s="53">
        <f>IF(NOT((COUNTA($B17:$J17)+COUNTA($M17))&gt;0),"",COUNTIF($L$5:$L17,"?*"))</f>
        <v/>
      </c>
      <c r="B17" s="54" t="n"/>
      <c r="C17" s="54" t="n"/>
      <c r="D17" s="55" t="n"/>
      <c r="E17" s="55" t="n"/>
      <c r="F17" s="56" t="n"/>
      <c r="G17" s="57" t="n"/>
      <c r="H17" s="57" t="n"/>
      <c r="I17" s="57" t="n"/>
      <c r="J17" s="57" t="n"/>
      <c r="K17" s="58">
        <f>IF(NOT((COUNTA($B17:$J17)+COUNTA($M17))&gt;0),"",IFERROR(LOOKUP(2,1/(G17:J17&lt;&gt;""),G17:J17),0))</f>
        <v/>
      </c>
      <c r="L17" s="53">
        <f>IF(K17="","",IF(K17&gt;=1,"Completado",IF(K17&gt;0,"En curso","Pendiente")))</f>
        <v/>
      </c>
      <c r="M17" s="54" t="n"/>
      <c r="N17" s="59">
        <f>IF(NOT((COUNTA($B17:$J17)+COUNTA($M17))&gt;0),"",IF((IF(B17="","Macroactividad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","")&amp;IF(ABS(SUM($F$5:$F$1000)-1)&gt;0.0001,"Pesos del puesto suman "&amp;TEXT(SUM($F$5:$F$1000),"0%")&amp;"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 OK","⚠ "&amp;LEFT(IF(B17="","Macroactividad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","")&amp;IF(ABS(SUM($F$5:$F$1000)-1)&gt;0.0001,"Pesos del puesto suman "&amp;TEXT(SUM($F$5:$F$1000),"0%")&amp;"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",""),LEN(IF(B17="","Macroactividad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","")&amp;IF(ABS(SUM($F$5:$F$1000)-1)&gt;0.0001,"Pesos del puesto suman "&amp;TEXT(SUM($F$5:$F$1000),"0%")&amp;"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",""))-3)))</f>
        <v/>
      </c>
    </row>
    <row r="18">
      <c r="A18" s="53">
        <f>IF(NOT((COUNTA($B18:$J18)+COUNTA($M18))&gt;0),"",COUNTIF($L$5:$L18,"?*"))</f>
        <v/>
      </c>
      <c r="B18" s="54" t="n"/>
      <c r="C18" s="54" t="n"/>
      <c r="D18" s="55" t="n"/>
      <c r="E18" s="55" t="n"/>
      <c r="F18" s="56" t="n"/>
      <c r="G18" s="57" t="n"/>
      <c r="H18" s="57" t="n"/>
      <c r="I18" s="57" t="n"/>
      <c r="J18" s="57" t="n"/>
      <c r="K18" s="58">
        <f>IF(NOT((COUNTA($B18:$J18)+COUNTA($M18))&gt;0),"",IFERROR(LOOKUP(2,1/(G18:J18&lt;&gt;""),G18:J18),0))</f>
        <v/>
      </c>
      <c r="L18" s="53">
        <f>IF(K18="","",IF(K18&gt;=1,"Completado",IF(K18&gt;0,"En curso","Pendiente")))</f>
        <v/>
      </c>
      <c r="M18" s="54" t="n"/>
      <c r="N18" s="59">
        <f>IF(NOT((COUNTA($B18:$J18)+COUNTA($M18))&gt;0),"",IF((IF(B18="","Macroactividad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","")&amp;IF(ABS(SUM($F$5:$F$1000)-1)&gt;0.0001,"Pesos del puesto suman "&amp;TEXT(SUM($F$5:$F$1000),"0%")&amp;"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 OK","⚠ "&amp;LEFT(IF(B18="","Macroactividad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","")&amp;IF(ABS(SUM($F$5:$F$1000)-1)&gt;0.0001,"Pesos del puesto suman "&amp;TEXT(SUM($F$5:$F$1000),"0%")&amp;"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",""),LEN(IF(B18="","Macroactividad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","")&amp;IF(ABS(SUM($F$5:$F$1000)-1)&gt;0.0001,"Pesos del puesto suman "&amp;TEXT(SUM($F$5:$F$1000),"0%")&amp;"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",""))-3)))</f>
        <v/>
      </c>
    </row>
    <row r="19">
      <c r="A19" s="53">
        <f>IF(NOT((COUNTA($B19:$J19)+COUNTA($M19))&gt;0),"",COUNTIF($L$5:$L19,"?*"))</f>
        <v/>
      </c>
      <c r="B19" s="54" t="n"/>
      <c r="C19" s="54" t="n"/>
      <c r="D19" s="55" t="n"/>
      <c r="E19" s="55" t="n"/>
      <c r="F19" s="56" t="n"/>
      <c r="G19" s="57" t="n"/>
      <c r="H19" s="57" t="n"/>
      <c r="I19" s="57" t="n"/>
      <c r="J19" s="57" t="n"/>
      <c r="K19" s="58">
        <f>IF(NOT((COUNTA($B19:$J19)+COUNTA($M19))&gt;0),"",IFERROR(LOOKUP(2,1/(G19:J19&lt;&gt;""),G19:J19),0))</f>
        <v/>
      </c>
      <c r="L19" s="53">
        <f>IF(K19="","",IF(K19&gt;=1,"Completado",IF(K19&gt;0,"En curso","Pendiente")))</f>
        <v/>
      </c>
      <c r="M19" s="54" t="n"/>
      <c r="N19" s="59">
        <f>IF(NOT((COUNTA($B19:$J19)+COUNTA($M19))&gt;0),"",IF((IF(B19="","Macroactividad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","")&amp;IF(ABS(SUM($F$5:$F$1000)-1)&gt;0.0001,"Pesos del puesto suman "&amp;TEXT(SUM($F$5:$F$1000),"0%")&amp;"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 OK","⚠ "&amp;LEFT(IF(B19="","Macroactividad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","")&amp;IF(ABS(SUM($F$5:$F$1000)-1)&gt;0.0001,"Pesos del puesto suman "&amp;TEXT(SUM($F$5:$F$1000),"0%")&amp;"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",""),LEN(IF(B19="","Macroactividad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","")&amp;IF(ABS(SUM($F$5:$F$1000)-1)&gt;0.0001,"Pesos del puesto suman "&amp;TEXT(SUM($F$5:$F$1000),"0%")&amp;"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",""))-3)))</f>
        <v/>
      </c>
    </row>
    <row r="20">
      <c r="A20" s="53">
        <f>IF(NOT((COUNTA($B20:$J20)+COUNTA($M20))&gt;0),"",COUNTIF($L$5:$L20,"?*"))</f>
        <v/>
      </c>
      <c r="B20" s="54" t="n"/>
      <c r="C20" s="54" t="n"/>
      <c r="D20" s="55" t="n"/>
      <c r="E20" s="55" t="n"/>
      <c r="F20" s="56" t="n"/>
      <c r="G20" s="57" t="n"/>
      <c r="H20" s="57" t="n"/>
      <c r="I20" s="57" t="n"/>
      <c r="J20" s="57" t="n"/>
      <c r="K20" s="58">
        <f>IF(NOT((COUNTA($B20:$J20)+COUNTA($M20))&gt;0),"",IFERROR(LOOKUP(2,1/(G20:J20&lt;&gt;""),G20:J20),0))</f>
        <v/>
      </c>
      <c r="L20" s="53">
        <f>IF(K20="","",IF(K20&gt;=1,"Completado",IF(K20&gt;0,"En curso","Pendiente")))</f>
        <v/>
      </c>
      <c r="M20" s="54" t="n"/>
      <c r="N20" s="59">
        <f>IF(NOT((COUNTA($B20:$J20)+COUNTA($M20))&gt;0),"",IF((IF(B20="","Macroactividad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","")&amp;IF(ABS(SUM($F$5:$F$1000)-1)&gt;0.0001,"Pesos del puesto suman "&amp;TEXT(SUM($F$5:$F$1000),"0%")&amp;"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 OK","⚠ "&amp;LEFT(IF(B20="","Macroactividad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","")&amp;IF(ABS(SUM($F$5:$F$1000)-1)&gt;0.0001,"Pesos del puesto suman "&amp;TEXT(SUM($F$5:$F$1000),"0%")&amp;"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",""),LEN(IF(B20="","Macroactividad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","")&amp;IF(ABS(SUM($F$5:$F$1000)-1)&gt;0.0001,"Pesos del puesto suman "&amp;TEXT(SUM($F$5:$F$1000),"0%")&amp;"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",""))-3)))</f>
        <v/>
      </c>
    </row>
    <row r="21">
      <c r="A21" s="53">
        <f>IF(NOT((COUNTA($B21:$J21)+COUNTA($M21))&gt;0),"",COUNTIF($L$5:$L21,"?*"))</f>
        <v/>
      </c>
      <c r="B21" s="54" t="n"/>
      <c r="C21" s="54" t="n"/>
      <c r="D21" s="55" t="n"/>
      <c r="E21" s="55" t="n"/>
      <c r="F21" s="56" t="n"/>
      <c r="G21" s="57" t="n"/>
      <c r="H21" s="57" t="n"/>
      <c r="I21" s="57" t="n"/>
      <c r="J21" s="57" t="n"/>
      <c r="K21" s="58">
        <f>IF(NOT((COUNTA($B21:$J21)+COUNTA($M21))&gt;0),"",IFERROR(LOOKUP(2,1/(G21:J21&lt;&gt;""),G21:J21),0))</f>
        <v/>
      </c>
      <c r="L21" s="53">
        <f>IF(K21="","",IF(K21&gt;=1,"Completado",IF(K21&gt;0,"En curso","Pendiente")))</f>
        <v/>
      </c>
      <c r="M21" s="54" t="n"/>
      <c r="N21" s="59">
        <f>IF(NOT((COUNTA($B21:$J21)+COUNTA($M21))&gt;0),"",IF((IF(B21="","Macroactividad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","")&amp;IF(ABS(SUM($F$5:$F$1000)-1)&gt;0.0001,"Pesos del puesto suman "&amp;TEXT(SUM($F$5:$F$1000),"0%")&amp;"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 OK","⚠ "&amp;LEFT(IF(B21="","Macroactividad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","")&amp;IF(ABS(SUM($F$5:$F$1000)-1)&gt;0.0001,"Pesos del puesto suman "&amp;TEXT(SUM($F$5:$F$1000),"0%")&amp;"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",""),LEN(IF(B21="","Macroactividad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","")&amp;IF(ABS(SUM($F$5:$F$1000)-1)&gt;0.0001,"Pesos del puesto suman "&amp;TEXT(SUM($F$5:$F$1000),"0%")&amp;"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",""))-3)))</f>
        <v/>
      </c>
    </row>
    <row r="22">
      <c r="A22" s="53">
        <f>IF(NOT((COUNTA($B22:$J22)+COUNTA($M22))&gt;0),"",COUNTIF($L$5:$L22,"?*"))</f>
        <v/>
      </c>
      <c r="B22" s="54" t="n"/>
      <c r="C22" s="54" t="n"/>
      <c r="D22" s="55" t="n"/>
      <c r="E22" s="55" t="n"/>
      <c r="F22" s="56" t="n"/>
      <c r="G22" s="57" t="n"/>
      <c r="H22" s="57" t="n"/>
      <c r="I22" s="57" t="n"/>
      <c r="J22" s="57" t="n"/>
      <c r="K22" s="58">
        <f>IF(NOT((COUNTA($B22:$J22)+COUNTA($M22))&gt;0),"",IFERROR(LOOKUP(2,1/(G22:J22&lt;&gt;""),G22:J22),0))</f>
        <v/>
      </c>
      <c r="L22" s="53">
        <f>IF(K22="","",IF(K22&gt;=1,"Completado",IF(K22&gt;0,"En curso","Pendiente")))</f>
        <v/>
      </c>
      <c r="M22" s="54" t="n"/>
      <c r="N22" s="59">
        <f>IF(NOT((COUNTA($B22:$J22)+COUNTA($M22))&gt;0),"",IF((IF(B22="","Macroactividad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","")&amp;IF(ABS(SUM($F$5:$F$1000)-1)&gt;0.0001,"Pesos del puesto suman "&amp;TEXT(SUM($F$5:$F$1000),"0%")&amp;"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 OK","⚠ "&amp;LEFT(IF(B22="","Macroactividad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","")&amp;IF(ABS(SUM($F$5:$F$1000)-1)&gt;0.0001,"Pesos del puesto suman "&amp;TEXT(SUM($F$5:$F$1000),"0%")&amp;"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",""),LEN(IF(B22="","Macroactividad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","")&amp;IF(ABS(SUM($F$5:$F$1000)-1)&gt;0.0001,"Pesos del puesto suman "&amp;TEXT(SUM($F$5:$F$1000),"0%")&amp;"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",""))-3)))</f>
        <v/>
      </c>
    </row>
    <row r="23">
      <c r="A23" s="53">
        <f>IF(NOT((COUNTA($B23:$J23)+COUNTA($M23))&gt;0),"",COUNTIF($L$5:$L23,"?*"))</f>
        <v/>
      </c>
      <c r="B23" s="54" t="n"/>
      <c r="C23" s="54" t="n"/>
      <c r="D23" s="55" t="n"/>
      <c r="E23" s="55" t="n"/>
      <c r="F23" s="56" t="n"/>
      <c r="G23" s="57" t="n"/>
      <c r="H23" s="57" t="n"/>
      <c r="I23" s="57" t="n"/>
      <c r="J23" s="57" t="n"/>
      <c r="K23" s="58">
        <f>IF(NOT((COUNTA($B23:$J23)+COUNTA($M23))&gt;0),"",IFERROR(LOOKUP(2,1/(G23:J23&lt;&gt;""),G23:J23),0))</f>
        <v/>
      </c>
      <c r="L23" s="53">
        <f>IF(K23="","",IF(K23&gt;=1,"Completado",IF(K23&gt;0,"En curso","Pendiente")))</f>
        <v/>
      </c>
      <c r="M23" s="54" t="n"/>
      <c r="N23" s="59">
        <f>IF(NOT((COUNTA($B23:$J23)+COUNTA($M23))&gt;0),"",IF((IF(B23="","Macroactividad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","")&amp;IF(ABS(SUM($F$5:$F$1000)-1)&gt;0.0001,"Pesos del puesto suman "&amp;TEXT(SUM($F$5:$F$1000),"0%")&amp;"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 OK","⚠ "&amp;LEFT(IF(B23="","Macroactividad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","")&amp;IF(ABS(SUM($F$5:$F$1000)-1)&gt;0.0001,"Pesos del puesto suman "&amp;TEXT(SUM($F$5:$F$1000),"0%")&amp;"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",""),LEN(IF(B23="","Macroactividad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","")&amp;IF(ABS(SUM($F$5:$F$1000)-1)&gt;0.0001,"Pesos del puesto suman "&amp;TEXT(SUM($F$5:$F$1000),"0%")&amp;"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",""))-3)))</f>
        <v/>
      </c>
    </row>
    <row r="24">
      <c r="A24" s="53">
        <f>IF(NOT((COUNTA($B24:$J24)+COUNTA($M24))&gt;0),"",COUNTIF($L$5:$L24,"?*"))</f>
        <v/>
      </c>
      <c r="B24" s="54" t="n"/>
      <c r="C24" s="54" t="n"/>
      <c r="D24" s="55" t="n"/>
      <c r="E24" s="55" t="n"/>
      <c r="F24" s="56" t="n"/>
      <c r="G24" s="57" t="n"/>
      <c r="H24" s="57" t="n"/>
      <c r="I24" s="57" t="n"/>
      <c r="J24" s="57" t="n"/>
      <c r="K24" s="58">
        <f>IF(NOT((COUNTA($B24:$J24)+COUNTA($M24))&gt;0),"",IFERROR(LOOKUP(2,1/(G24:J24&lt;&gt;""),G24:J24),0))</f>
        <v/>
      </c>
      <c r="L24" s="53">
        <f>IF(K24="","",IF(K24&gt;=1,"Completado",IF(K24&gt;0,"En curso","Pendiente")))</f>
        <v/>
      </c>
      <c r="M24" s="54" t="n"/>
      <c r="N24" s="59">
        <f>IF(NOT((COUNTA($B24:$J24)+COUNTA($M24))&gt;0),"",IF((IF(B24="","Macroactividad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","")&amp;IF(ABS(SUM($F$5:$F$1000)-1)&gt;0.0001,"Pesos del puesto suman "&amp;TEXT(SUM($F$5:$F$1000),"0%")&amp;"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 OK","⚠ "&amp;LEFT(IF(B24="","Macroactividad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","")&amp;IF(ABS(SUM($F$5:$F$1000)-1)&gt;0.0001,"Pesos del puesto suman "&amp;TEXT(SUM($F$5:$F$1000),"0%")&amp;"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",""),LEN(IF(B24="","Macroactividad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","")&amp;IF(ABS(SUM($F$5:$F$1000)-1)&gt;0.0001,"Pesos del puesto suman "&amp;TEXT(SUM($F$5:$F$1000),"0%")&amp;"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",""))-3)))</f>
        <v/>
      </c>
    </row>
    <row r="25">
      <c r="A25" s="53">
        <f>IF(NOT((COUNTA($B25:$J25)+COUNTA($M25))&gt;0),"",COUNTIF($L$5:$L25,"?*"))</f>
        <v/>
      </c>
      <c r="B25" s="54" t="n"/>
      <c r="C25" s="54" t="n"/>
      <c r="D25" s="55" t="n"/>
      <c r="E25" s="55" t="n"/>
      <c r="F25" s="56" t="n"/>
      <c r="G25" s="57" t="n"/>
      <c r="H25" s="57" t="n"/>
      <c r="I25" s="57" t="n"/>
      <c r="J25" s="57" t="n"/>
      <c r="K25" s="58">
        <f>IF(NOT((COUNTA($B25:$J25)+COUNTA($M25))&gt;0),"",IFERROR(LOOKUP(2,1/(G25:J25&lt;&gt;""),G25:J25),0))</f>
        <v/>
      </c>
      <c r="L25" s="53">
        <f>IF(K25="","",IF(K25&gt;=1,"Completado",IF(K25&gt;0,"En curso","Pendiente")))</f>
        <v/>
      </c>
      <c r="M25" s="54" t="n"/>
      <c r="N25" s="59">
        <f>IF(NOT((COUNTA($B25:$J25)+COUNTA($M25))&gt;0),"",IF((IF(B25="","Macroactividad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","")&amp;IF(ABS(SUM($F$5:$F$1000)-1)&gt;0.0001,"Pesos del puesto suman "&amp;TEXT(SUM($F$5:$F$1000),"0%")&amp;"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 OK","⚠ "&amp;LEFT(IF(B25="","Macroactividad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","")&amp;IF(ABS(SUM($F$5:$F$1000)-1)&gt;0.0001,"Pesos del puesto suman "&amp;TEXT(SUM($F$5:$F$1000),"0%")&amp;"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",""),LEN(IF(B25="","Macroactividad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","")&amp;IF(ABS(SUM($F$5:$F$1000)-1)&gt;0.0001,"Pesos del puesto suman "&amp;TEXT(SUM($F$5:$F$1000),"0%")&amp;"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",""))-3)))</f>
        <v/>
      </c>
    </row>
    <row r="26">
      <c r="A26" s="53">
        <f>IF(NOT((COUNTA($B26:$J26)+COUNTA($M26))&gt;0),"",COUNTIF($L$5:$L26,"?*"))</f>
        <v/>
      </c>
      <c r="B26" s="54" t="n"/>
      <c r="C26" s="54" t="n"/>
      <c r="D26" s="55" t="n"/>
      <c r="E26" s="55" t="n"/>
      <c r="F26" s="56" t="n"/>
      <c r="G26" s="57" t="n"/>
      <c r="H26" s="57" t="n"/>
      <c r="I26" s="57" t="n"/>
      <c r="J26" s="57" t="n"/>
      <c r="K26" s="58">
        <f>IF(NOT((COUNTA($B26:$J26)+COUNTA($M26))&gt;0),"",IFERROR(LOOKUP(2,1/(G26:J26&lt;&gt;""),G26:J26),0))</f>
        <v/>
      </c>
      <c r="L26" s="53">
        <f>IF(K26="","",IF(K26&gt;=1,"Completado",IF(K26&gt;0,"En curso","Pendiente")))</f>
        <v/>
      </c>
      <c r="M26" s="54" t="n"/>
      <c r="N26" s="59">
        <f>IF(NOT((COUNTA($B26:$J26)+COUNTA($M26))&gt;0),"",IF((IF(B26="","Macroactividad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","")&amp;IF(ABS(SUM($F$5:$F$1000)-1)&gt;0.0001,"Pesos del puesto suman "&amp;TEXT(SUM($F$5:$F$1000),"0%")&amp;"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 OK","⚠ "&amp;LEFT(IF(B26="","Macroactividad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","")&amp;IF(ABS(SUM($F$5:$F$1000)-1)&gt;0.0001,"Pesos del puesto suman "&amp;TEXT(SUM($F$5:$F$1000),"0%")&amp;"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",""),LEN(IF(B26="","Macroactividad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","")&amp;IF(ABS(SUM($F$5:$F$1000)-1)&gt;0.0001,"Pesos del puesto suman "&amp;TEXT(SUM($F$5:$F$1000),"0%")&amp;"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",""))-3)))</f>
        <v/>
      </c>
    </row>
    <row r="27">
      <c r="A27" s="53">
        <f>IF(NOT((COUNTA($B27:$J27)+COUNTA($M27))&gt;0),"",COUNTIF($L$5:$L27,"?*"))</f>
        <v/>
      </c>
      <c r="B27" s="54" t="n"/>
      <c r="C27" s="54" t="n"/>
      <c r="D27" s="55" t="n"/>
      <c r="E27" s="55" t="n"/>
      <c r="F27" s="56" t="n"/>
      <c r="G27" s="57" t="n"/>
      <c r="H27" s="57" t="n"/>
      <c r="I27" s="57" t="n"/>
      <c r="J27" s="57" t="n"/>
      <c r="K27" s="58">
        <f>IF(NOT((COUNTA($B27:$J27)+COUNTA($M27))&gt;0),"",IFERROR(LOOKUP(2,1/(G27:J27&lt;&gt;""),G27:J27),0))</f>
        <v/>
      </c>
      <c r="L27" s="53">
        <f>IF(K27="","",IF(K27&gt;=1,"Completado",IF(K27&gt;0,"En curso","Pendiente")))</f>
        <v/>
      </c>
      <c r="M27" s="54" t="n"/>
      <c r="N27" s="59">
        <f>IF(NOT((COUNTA($B27:$J27)+COUNTA($M27))&gt;0),"",IF((IF(B27="","Macroactividad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","")&amp;IF(ABS(SUM($F$5:$F$1000)-1)&gt;0.0001,"Pesos del puesto suman "&amp;TEXT(SUM($F$5:$F$1000),"0%")&amp;"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 OK","⚠ "&amp;LEFT(IF(B27="","Macroactividad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","")&amp;IF(ABS(SUM($F$5:$F$1000)-1)&gt;0.0001,"Pesos del puesto suman "&amp;TEXT(SUM($F$5:$F$1000),"0%")&amp;"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",""),LEN(IF(B27="","Macroactividad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","")&amp;IF(ABS(SUM($F$5:$F$1000)-1)&gt;0.0001,"Pesos del puesto suman "&amp;TEXT(SUM($F$5:$F$1000),"0%")&amp;"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",""))-3)))</f>
        <v/>
      </c>
    </row>
    <row r="28">
      <c r="A28" s="53">
        <f>IF(NOT((COUNTA($B28:$J28)+COUNTA($M28))&gt;0),"",COUNTIF($L$5:$L28,"?*"))</f>
        <v/>
      </c>
      <c r="B28" s="54" t="n"/>
      <c r="C28" s="54" t="n"/>
      <c r="D28" s="55" t="n"/>
      <c r="E28" s="55" t="n"/>
      <c r="F28" s="56" t="n"/>
      <c r="G28" s="57" t="n"/>
      <c r="H28" s="57" t="n"/>
      <c r="I28" s="57" t="n"/>
      <c r="J28" s="57" t="n"/>
      <c r="K28" s="58">
        <f>IF(NOT((COUNTA($B28:$J28)+COUNTA($M28))&gt;0),"",IFERROR(LOOKUP(2,1/(G28:J28&lt;&gt;""),G28:J28),0))</f>
        <v/>
      </c>
      <c r="L28" s="53">
        <f>IF(K28="","",IF(K28&gt;=1,"Completado",IF(K28&gt;0,"En curso","Pendiente")))</f>
        <v/>
      </c>
      <c r="M28" s="54" t="n"/>
      <c r="N28" s="59">
        <f>IF(NOT((COUNTA($B28:$J28)+COUNTA($M28))&gt;0),"",IF((IF(B28="","Macroactividad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","")&amp;IF(ABS(SUM($F$5:$F$1000)-1)&gt;0.0001,"Pesos del puesto suman "&amp;TEXT(SUM($F$5:$F$1000),"0%")&amp;"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 OK","⚠ "&amp;LEFT(IF(B28="","Macroactividad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","")&amp;IF(ABS(SUM($F$5:$F$1000)-1)&gt;0.0001,"Pesos del puesto suman "&amp;TEXT(SUM($F$5:$F$1000),"0%")&amp;"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",""),LEN(IF(B28="","Macroactividad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","")&amp;IF(ABS(SUM($F$5:$F$1000)-1)&gt;0.0001,"Pesos del puesto suman "&amp;TEXT(SUM($F$5:$F$1000),"0%")&amp;"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",""))-3)))</f>
        <v/>
      </c>
    </row>
    <row r="29">
      <c r="A29" s="53">
        <f>IF(NOT((COUNTA($B29:$J29)+COUNTA($M29))&gt;0),"",COUNTIF($L$5:$L29,"?*"))</f>
        <v/>
      </c>
      <c r="B29" s="54" t="n"/>
      <c r="C29" s="54" t="n"/>
      <c r="D29" s="55" t="n"/>
      <c r="E29" s="55" t="n"/>
      <c r="F29" s="56" t="n"/>
      <c r="G29" s="57" t="n"/>
      <c r="H29" s="57" t="n"/>
      <c r="I29" s="57" t="n"/>
      <c r="J29" s="57" t="n"/>
      <c r="K29" s="58">
        <f>IF(NOT((COUNTA($B29:$J29)+COUNTA($M29))&gt;0),"",IFERROR(LOOKUP(2,1/(G29:J29&lt;&gt;""),G29:J29),0))</f>
        <v/>
      </c>
      <c r="L29" s="53">
        <f>IF(K29="","",IF(K29&gt;=1,"Completado",IF(K29&gt;0,"En curso","Pendiente")))</f>
        <v/>
      </c>
      <c r="M29" s="54" t="n"/>
      <c r="N29" s="59">
        <f>IF(NOT((COUNTA($B29:$J29)+COUNTA($M29))&gt;0),"",IF((IF(B29="","Macroactividad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","")&amp;IF(ABS(SUM($F$5:$F$1000)-1)&gt;0.0001,"Pesos del puesto suman "&amp;TEXT(SUM($F$5:$F$1000),"0%")&amp;"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 OK","⚠ "&amp;LEFT(IF(B29="","Macroactividad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","")&amp;IF(ABS(SUM($F$5:$F$1000)-1)&gt;0.0001,"Pesos del puesto suman "&amp;TEXT(SUM($F$5:$F$1000),"0%")&amp;"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",""),LEN(IF(B29="","Macroactividad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","")&amp;IF(ABS(SUM($F$5:$F$1000)-1)&gt;0.0001,"Pesos del puesto suman "&amp;TEXT(SUM($F$5:$F$1000),"0%")&amp;"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",""))-3)))</f>
        <v/>
      </c>
    </row>
    <row r="30">
      <c r="A30" s="53">
        <f>IF(NOT((COUNTA($B30:$J30)+COUNTA($M30))&gt;0),"",COUNTIF($L$5:$L30,"?*"))</f>
        <v/>
      </c>
      <c r="B30" s="54" t="n"/>
      <c r="C30" s="54" t="n"/>
      <c r="D30" s="55" t="n"/>
      <c r="E30" s="55" t="n"/>
      <c r="F30" s="56" t="n"/>
      <c r="G30" s="57" t="n"/>
      <c r="H30" s="57" t="n"/>
      <c r="I30" s="57" t="n"/>
      <c r="J30" s="57" t="n"/>
      <c r="K30" s="58">
        <f>IF(NOT((COUNTA($B30:$J30)+COUNTA($M30))&gt;0),"",IFERROR(LOOKUP(2,1/(G30:J30&lt;&gt;""),G30:J30),0))</f>
        <v/>
      </c>
      <c r="L30" s="53">
        <f>IF(K30="","",IF(K30&gt;=1,"Completado",IF(K30&gt;0,"En curso","Pendiente")))</f>
        <v/>
      </c>
      <c r="M30" s="54" t="n"/>
      <c r="N30" s="59">
        <f>IF(NOT((COUNTA($B30:$J30)+COUNTA($M30))&gt;0),"",IF((IF(B30="","Macroactividad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","")&amp;IF(ABS(SUM($F$5:$F$1000)-1)&gt;0.0001,"Pesos del puesto suman "&amp;TEXT(SUM($F$5:$F$1000),"0%")&amp;"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 OK","⚠ "&amp;LEFT(IF(B30="","Macroactividad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","")&amp;IF(ABS(SUM($F$5:$F$1000)-1)&gt;0.0001,"Pesos del puesto suman "&amp;TEXT(SUM($F$5:$F$1000),"0%")&amp;"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",""),LEN(IF(B30="","Macroactividad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","")&amp;IF(ABS(SUM($F$5:$F$1000)-1)&gt;0.0001,"Pesos del puesto suman "&amp;TEXT(SUM($F$5:$F$1000),"0%")&amp;"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",""))-3)))</f>
        <v/>
      </c>
    </row>
    <row r="31">
      <c r="A31" s="53">
        <f>IF(NOT((COUNTA($B31:$J31)+COUNTA($M31))&gt;0),"",COUNTIF($L$5:$L31,"?*"))</f>
        <v/>
      </c>
      <c r="B31" s="54" t="n"/>
      <c r="C31" s="54" t="n"/>
      <c r="D31" s="55" t="n"/>
      <c r="E31" s="55" t="n"/>
      <c r="F31" s="56" t="n"/>
      <c r="G31" s="57" t="n"/>
      <c r="H31" s="57" t="n"/>
      <c r="I31" s="57" t="n"/>
      <c r="J31" s="57" t="n"/>
      <c r="K31" s="58">
        <f>IF(NOT((COUNTA($B31:$J31)+COUNTA($M31))&gt;0),"",IFERROR(LOOKUP(2,1/(G31:J31&lt;&gt;""),G31:J31),0))</f>
        <v/>
      </c>
      <c r="L31" s="53">
        <f>IF(K31="","",IF(K31&gt;=1,"Completado",IF(K31&gt;0,"En curso","Pendiente")))</f>
        <v/>
      </c>
      <c r="M31" s="54" t="n"/>
      <c r="N31" s="59">
        <f>IF(NOT((COUNTA($B31:$J31)+COUNTA($M31))&gt;0),"",IF((IF(B31="","Macroactividad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","")&amp;IF(ABS(SUM($F$5:$F$1000)-1)&gt;0.0001,"Pesos del puesto suman "&amp;TEXT(SUM($F$5:$F$1000),"0%")&amp;"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 OK","⚠ "&amp;LEFT(IF(B31="","Macroactividad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","")&amp;IF(ABS(SUM($F$5:$F$1000)-1)&gt;0.0001,"Pesos del puesto suman "&amp;TEXT(SUM($F$5:$F$1000),"0%")&amp;"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",""),LEN(IF(B31="","Macroactividad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","")&amp;IF(ABS(SUM($F$5:$F$1000)-1)&gt;0.0001,"Pesos del puesto suman "&amp;TEXT(SUM($F$5:$F$1000),"0%")&amp;"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",""))-3)))</f>
        <v/>
      </c>
    </row>
    <row r="32">
      <c r="A32" s="53">
        <f>IF(NOT((COUNTA($B32:$J32)+COUNTA($M32))&gt;0),"",COUNTIF($L$5:$L32,"?*"))</f>
        <v/>
      </c>
      <c r="B32" s="54" t="n"/>
      <c r="C32" s="54" t="n"/>
      <c r="D32" s="55" t="n"/>
      <c r="E32" s="55" t="n"/>
      <c r="F32" s="56" t="n"/>
      <c r="G32" s="57" t="n"/>
      <c r="H32" s="57" t="n"/>
      <c r="I32" s="57" t="n"/>
      <c r="J32" s="57" t="n"/>
      <c r="K32" s="58">
        <f>IF(NOT((COUNTA($B32:$J32)+COUNTA($M32))&gt;0),"",IFERROR(LOOKUP(2,1/(G32:J32&lt;&gt;""),G32:J32),0))</f>
        <v/>
      </c>
      <c r="L32" s="53">
        <f>IF(K32="","",IF(K32&gt;=1,"Completado",IF(K32&gt;0,"En curso","Pendiente")))</f>
        <v/>
      </c>
      <c r="M32" s="54" t="n"/>
      <c r="N32" s="59">
        <f>IF(NOT((COUNTA($B32:$J32)+COUNTA($M32))&gt;0),"",IF((IF(B32="","Macroactividad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","")&amp;IF(ABS(SUM($F$5:$F$1000)-1)&gt;0.0001,"Pesos del puesto suman "&amp;TEXT(SUM($F$5:$F$1000),"0%")&amp;"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 OK","⚠ "&amp;LEFT(IF(B32="","Macroactividad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","")&amp;IF(ABS(SUM($F$5:$F$1000)-1)&gt;0.0001,"Pesos del puesto suman "&amp;TEXT(SUM($F$5:$F$1000),"0%")&amp;"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",""),LEN(IF(B32="","Macroactividad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","")&amp;IF(ABS(SUM($F$5:$F$1000)-1)&gt;0.0001,"Pesos del puesto suman "&amp;TEXT(SUM($F$5:$F$1000),"0%")&amp;"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",""))-3)))</f>
        <v/>
      </c>
    </row>
    <row r="33">
      <c r="A33" s="53">
        <f>IF(NOT((COUNTA($B33:$J33)+COUNTA($M33))&gt;0),"",COUNTIF($L$5:$L33,"?*"))</f>
        <v/>
      </c>
      <c r="B33" s="54" t="n"/>
      <c r="C33" s="54" t="n"/>
      <c r="D33" s="55" t="n"/>
      <c r="E33" s="55" t="n"/>
      <c r="F33" s="56" t="n"/>
      <c r="G33" s="57" t="n"/>
      <c r="H33" s="57" t="n"/>
      <c r="I33" s="57" t="n"/>
      <c r="J33" s="57" t="n"/>
      <c r="K33" s="58">
        <f>IF(NOT((COUNTA($B33:$J33)+COUNTA($M33))&gt;0),"",IFERROR(LOOKUP(2,1/(G33:J33&lt;&gt;""),G33:J33),0))</f>
        <v/>
      </c>
      <c r="L33" s="53">
        <f>IF(K33="","",IF(K33&gt;=1,"Completado",IF(K33&gt;0,"En curso","Pendiente")))</f>
        <v/>
      </c>
      <c r="M33" s="54" t="n"/>
      <c r="N33" s="59">
        <f>IF(NOT((COUNTA($B33:$J33)+COUNTA($M33))&gt;0),"",IF((IF(B33="","Macroactividad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","")&amp;IF(ABS(SUM($F$5:$F$1000)-1)&gt;0.0001,"Pesos del puesto suman "&amp;TEXT(SUM($F$5:$F$1000),"0%")&amp;"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 OK","⚠ "&amp;LEFT(IF(B33="","Macroactividad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","")&amp;IF(ABS(SUM($F$5:$F$1000)-1)&gt;0.0001,"Pesos del puesto suman "&amp;TEXT(SUM($F$5:$F$1000),"0%")&amp;"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",""),LEN(IF(B33="","Macroactividad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","")&amp;IF(ABS(SUM($F$5:$F$1000)-1)&gt;0.0001,"Pesos del puesto suman "&amp;TEXT(SUM($F$5:$F$1000),"0%")&amp;"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",""))-3)))</f>
        <v/>
      </c>
    </row>
    <row r="34">
      <c r="A34" s="53">
        <f>IF(NOT((COUNTA($B34:$J34)+COUNTA($M34))&gt;0),"",COUNTIF($L$5:$L34,"?*"))</f>
        <v/>
      </c>
      <c r="B34" s="54" t="n"/>
      <c r="C34" s="54" t="n"/>
      <c r="D34" s="55" t="n"/>
      <c r="E34" s="55" t="n"/>
      <c r="F34" s="56" t="n"/>
      <c r="G34" s="57" t="n"/>
      <c r="H34" s="57" t="n"/>
      <c r="I34" s="57" t="n"/>
      <c r="J34" s="57" t="n"/>
      <c r="K34" s="58">
        <f>IF(NOT((COUNTA($B34:$J34)+COUNTA($M34))&gt;0),"",IFERROR(LOOKUP(2,1/(G34:J34&lt;&gt;""),G34:J34),0))</f>
        <v/>
      </c>
      <c r="L34" s="53">
        <f>IF(K34="","",IF(K34&gt;=1,"Completado",IF(K34&gt;0,"En curso","Pendiente")))</f>
        <v/>
      </c>
      <c r="M34" s="54" t="n"/>
      <c r="N34" s="59">
        <f>IF(NOT((COUNTA($B34:$J34)+COUNTA($M34))&gt;0),"",IF((IF(B34="","Macroactividad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","")&amp;IF(ABS(SUM($F$5:$F$1000)-1)&gt;0.0001,"Pesos del puesto suman "&amp;TEXT(SUM($F$5:$F$1000),"0%")&amp;"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 OK","⚠ "&amp;LEFT(IF(B34="","Macroactividad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","")&amp;IF(ABS(SUM($F$5:$F$1000)-1)&gt;0.0001,"Pesos del puesto suman "&amp;TEXT(SUM($F$5:$F$1000),"0%")&amp;"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",""),LEN(IF(B34="","Macroactividad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","")&amp;IF(ABS(SUM($F$5:$F$1000)-1)&gt;0.0001,"Pesos del puesto suman "&amp;TEXT(SUM($F$5:$F$1000),"0%")&amp;"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",""))-3)))</f>
        <v/>
      </c>
    </row>
    <row r="35">
      <c r="A35" s="53">
        <f>IF(NOT((COUNTA($B35:$J35)+COUNTA($M35))&gt;0),"",COUNTIF($L$5:$L35,"?*"))</f>
        <v/>
      </c>
      <c r="B35" s="54" t="n"/>
      <c r="C35" s="54" t="n"/>
      <c r="D35" s="55" t="n"/>
      <c r="E35" s="55" t="n"/>
      <c r="F35" s="56" t="n"/>
      <c r="G35" s="57" t="n"/>
      <c r="H35" s="57" t="n"/>
      <c r="I35" s="57" t="n"/>
      <c r="J35" s="57" t="n"/>
      <c r="K35" s="58">
        <f>IF(NOT((COUNTA($B35:$J35)+COUNTA($M35))&gt;0),"",IFERROR(LOOKUP(2,1/(G35:J35&lt;&gt;""),G35:J35),0))</f>
        <v/>
      </c>
      <c r="L35" s="53">
        <f>IF(K35="","",IF(K35&gt;=1,"Completado",IF(K35&gt;0,"En curso","Pendiente")))</f>
        <v/>
      </c>
      <c r="M35" s="54" t="n"/>
      <c r="N35" s="59">
        <f>IF(NOT((COUNTA($B35:$J35)+COUNTA($M35))&gt;0),"",IF((IF(B35="","Macroactividad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","")&amp;IF(ABS(SUM($F$5:$F$1000)-1)&gt;0.0001,"Pesos del puesto suman "&amp;TEXT(SUM($F$5:$F$1000),"0%")&amp;"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 OK","⚠ "&amp;LEFT(IF(B35="","Macroactividad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","")&amp;IF(ABS(SUM($F$5:$F$1000)-1)&gt;0.0001,"Pesos del puesto suman "&amp;TEXT(SUM($F$5:$F$1000),"0%")&amp;"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",""),LEN(IF(B35="","Macroactividad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","")&amp;IF(ABS(SUM($F$5:$F$1000)-1)&gt;0.0001,"Pesos del puesto suman "&amp;TEXT(SUM($F$5:$F$1000),"0%")&amp;"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",""))-3)))</f>
        <v/>
      </c>
    </row>
    <row r="36">
      <c r="A36" s="53">
        <f>IF(NOT((COUNTA($B36:$J36)+COUNTA($M36))&gt;0),"",COUNTIF($L$5:$L36,"?*"))</f>
        <v/>
      </c>
      <c r="B36" s="54" t="n"/>
      <c r="C36" s="54" t="n"/>
      <c r="D36" s="55" t="n"/>
      <c r="E36" s="55" t="n"/>
      <c r="F36" s="56" t="n"/>
      <c r="G36" s="57" t="n"/>
      <c r="H36" s="57" t="n"/>
      <c r="I36" s="57" t="n"/>
      <c r="J36" s="57" t="n"/>
      <c r="K36" s="58">
        <f>IF(NOT((COUNTA($B36:$J36)+COUNTA($M36))&gt;0),"",IFERROR(LOOKUP(2,1/(G36:J36&lt;&gt;""),G36:J36),0))</f>
        <v/>
      </c>
      <c r="L36" s="53">
        <f>IF(K36="","",IF(K36&gt;=1,"Completado",IF(K36&gt;0,"En curso","Pendiente")))</f>
        <v/>
      </c>
      <c r="M36" s="54" t="n"/>
      <c r="N36" s="59">
        <f>IF(NOT((COUNTA($B36:$J36)+COUNTA($M36))&gt;0),"",IF((IF(B36="","Macroactividad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","")&amp;IF(ABS(SUM($F$5:$F$1000)-1)&gt;0.0001,"Pesos del puesto suman "&amp;TEXT(SUM($F$5:$F$1000),"0%")&amp;"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 OK","⚠ "&amp;LEFT(IF(B36="","Macroactividad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","")&amp;IF(ABS(SUM($F$5:$F$1000)-1)&gt;0.0001,"Pesos del puesto suman "&amp;TEXT(SUM($F$5:$F$1000),"0%")&amp;"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",""),LEN(IF(B36="","Macroactividad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","")&amp;IF(ABS(SUM($F$5:$F$1000)-1)&gt;0.0001,"Pesos del puesto suman "&amp;TEXT(SUM($F$5:$F$1000),"0%")&amp;"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",""))-3)))</f>
        <v/>
      </c>
    </row>
    <row r="37">
      <c r="A37" s="53">
        <f>IF(NOT((COUNTA($B37:$J37)+COUNTA($M37))&gt;0),"",COUNTIF($L$5:$L37,"?*"))</f>
        <v/>
      </c>
      <c r="B37" s="54" t="n"/>
      <c r="C37" s="54" t="n"/>
      <c r="D37" s="55" t="n"/>
      <c r="E37" s="55" t="n"/>
      <c r="F37" s="56" t="n"/>
      <c r="G37" s="57" t="n"/>
      <c r="H37" s="57" t="n"/>
      <c r="I37" s="57" t="n"/>
      <c r="J37" s="57" t="n"/>
      <c r="K37" s="58">
        <f>IF(NOT((COUNTA($B37:$J37)+COUNTA($M37))&gt;0),"",IFERROR(LOOKUP(2,1/(G37:J37&lt;&gt;""),G37:J37),0))</f>
        <v/>
      </c>
      <c r="L37" s="53">
        <f>IF(K37="","",IF(K37&gt;=1,"Completado",IF(K37&gt;0,"En curso","Pendiente")))</f>
        <v/>
      </c>
      <c r="M37" s="54" t="n"/>
      <c r="N37" s="59">
        <f>IF(NOT((COUNTA($B37:$J37)+COUNTA($M37))&gt;0),"",IF((IF(B37="","Macroactividad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","")&amp;IF(ABS(SUM($F$5:$F$1000)-1)&gt;0.0001,"Pesos del puesto suman "&amp;TEXT(SUM($F$5:$F$1000),"0%")&amp;"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 OK","⚠ "&amp;LEFT(IF(B37="","Macroactividad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","")&amp;IF(ABS(SUM($F$5:$F$1000)-1)&gt;0.0001,"Pesos del puesto suman "&amp;TEXT(SUM($F$5:$F$1000),"0%")&amp;"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",""),LEN(IF(B37="","Macroactividad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","")&amp;IF(ABS(SUM($F$5:$F$1000)-1)&gt;0.0001,"Pesos del puesto suman "&amp;TEXT(SUM($F$5:$F$1000),"0%")&amp;"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",""))-3)))</f>
        <v/>
      </c>
    </row>
    <row r="38">
      <c r="A38" s="53">
        <f>IF(NOT((COUNTA($B38:$J38)+COUNTA($M38))&gt;0),"",COUNTIF($L$5:$L38,"?*"))</f>
        <v/>
      </c>
      <c r="B38" s="54" t="n"/>
      <c r="C38" s="54" t="n"/>
      <c r="D38" s="55" t="n"/>
      <c r="E38" s="55" t="n"/>
      <c r="F38" s="56" t="n"/>
      <c r="G38" s="57" t="n"/>
      <c r="H38" s="57" t="n"/>
      <c r="I38" s="57" t="n"/>
      <c r="J38" s="57" t="n"/>
      <c r="K38" s="58">
        <f>IF(NOT((COUNTA($B38:$J38)+COUNTA($M38))&gt;0),"",IFERROR(LOOKUP(2,1/(G38:J38&lt;&gt;""),G38:J38),0))</f>
        <v/>
      </c>
      <c r="L38" s="53">
        <f>IF(K38="","",IF(K38&gt;=1,"Completado",IF(K38&gt;0,"En curso","Pendiente")))</f>
        <v/>
      </c>
      <c r="M38" s="54" t="n"/>
      <c r="N38" s="59">
        <f>IF(NOT((COUNTA($B38:$J38)+COUNTA($M38))&gt;0),"",IF((IF(B38="","Macroactividad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","")&amp;IF(ABS(SUM($F$5:$F$1000)-1)&gt;0.0001,"Pesos del puesto suman "&amp;TEXT(SUM($F$5:$F$1000),"0%")&amp;"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 OK","⚠ "&amp;LEFT(IF(B38="","Macroactividad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","")&amp;IF(ABS(SUM($F$5:$F$1000)-1)&gt;0.0001,"Pesos del puesto suman "&amp;TEXT(SUM($F$5:$F$1000),"0%")&amp;"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",""),LEN(IF(B38="","Macroactividad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","")&amp;IF(ABS(SUM($F$5:$F$1000)-1)&gt;0.0001,"Pesos del puesto suman "&amp;TEXT(SUM($F$5:$F$1000),"0%")&amp;"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",""))-3)))</f>
        <v/>
      </c>
    </row>
    <row r="39">
      <c r="A39" s="53">
        <f>IF(NOT((COUNTA($B39:$J39)+COUNTA($M39))&gt;0),"",COUNTIF($L$5:$L39,"?*"))</f>
        <v/>
      </c>
      <c r="B39" s="54" t="n"/>
      <c r="C39" s="54" t="n"/>
      <c r="D39" s="55" t="n"/>
      <c r="E39" s="55" t="n"/>
      <c r="F39" s="56" t="n"/>
      <c r="G39" s="57" t="n"/>
      <c r="H39" s="57" t="n"/>
      <c r="I39" s="57" t="n"/>
      <c r="J39" s="57" t="n"/>
      <c r="K39" s="58">
        <f>IF(NOT((COUNTA($B39:$J39)+COUNTA($M39))&gt;0),"",IFERROR(LOOKUP(2,1/(G39:J39&lt;&gt;""),G39:J39),0))</f>
        <v/>
      </c>
      <c r="L39" s="53">
        <f>IF(K39="","",IF(K39&gt;=1,"Completado",IF(K39&gt;0,"En curso","Pendiente")))</f>
        <v/>
      </c>
      <c r="M39" s="54" t="n"/>
      <c r="N39" s="59">
        <f>IF(NOT((COUNTA($B39:$J39)+COUNTA($M39))&gt;0),"",IF((IF(B39="","Macroactividad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","")&amp;IF(ABS(SUM($F$5:$F$1000)-1)&gt;0.0001,"Pesos del puesto suman "&amp;TEXT(SUM($F$5:$F$1000),"0%")&amp;"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 OK","⚠ "&amp;LEFT(IF(B39="","Macroactividad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","")&amp;IF(ABS(SUM($F$5:$F$1000)-1)&gt;0.0001,"Pesos del puesto suman "&amp;TEXT(SUM($F$5:$F$1000),"0%")&amp;"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",""),LEN(IF(B39="","Macroactividad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","")&amp;IF(ABS(SUM($F$5:$F$1000)-1)&gt;0.0001,"Pesos del puesto suman "&amp;TEXT(SUM($F$5:$F$1000),"0%")&amp;"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",""))-3)))</f>
        <v/>
      </c>
    </row>
    <row r="40">
      <c r="A40" s="53">
        <f>IF(NOT((COUNTA($B40:$J40)+COUNTA($M40))&gt;0),"",COUNTIF($L$5:$L40,"?*"))</f>
        <v/>
      </c>
      <c r="B40" s="54" t="n"/>
      <c r="C40" s="54" t="n"/>
      <c r="D40" s="55" t="n"/>
      <c r="E40" s="55" t="n"/>
      <c r="F40" s="56" t="n"/>
      <c r="G40" s="57" t="n"/>
      <c r="H40" s="57" t="n"/>
      <c r="I40" s="57" t="n"/>
      <c r="J40" s="57" t="n"/>
      <c r="K40" s="58">
        <f>IF(NOT((COUNTA($B40:$J40)+COUNTA($M40))&gt;0),"",IFERROR(LOOKUP(2,1/(G40:J40&lt;&gt;""),G40:J40),0))</f>
        <v/>
      </c>
      <c r="L40" s="53">
        <f>IF(K40="","",IF(K40&gt;=1,"Completado",IF(K40&gt;0,"En curso","Pendiente")))</f>
        <v/>
      </c>
      <c r="M40" s="54" t="n"/>
      <c r="N40" s="59">
        <f>IF(NOT((COUNTA($B40:$J40)+COUNTA($M40))&gt;0),"",IF((IF(B40="","Macroactividad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","")&amp;IF(ABS(SUM($F$5:$F$1000)-1)&gt;0.0001,"Pesos del puesto suman "&amp;TEXT(SUM($F$5:$F$1000),"0%")&amp;"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 OK","⚠ "&amp;LEFT(IF(B40="","Macroactividad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","")&amp;IF(ABS(SUM($F$5:$F$1000)-1)&gt;0.0001,"Pesos del puesto suman "&amp;TEXT(SUM($F$5:$F$1000),"0%")&amp;"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",""),LEN(IF(B40="","Macroactividad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","")&amp;IF(ABS(SUM($F$5:$F$1000)-1)&gt;0.0001,"Pesos del puesto suman "&amp;TEXT(SUM($F$5:$F$1000),"0%")&amp;"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",""))-3)))</f>
        <v/>
      </c>
    </row>
    <row r="41">
      <c r="A41" s="53">
        <f>IF(NOT((COUNTA($B41:$J41)+COUNTA($M41))&gt;0),"",COUNTIF($L$5:$L41,"?*"))</f>
        <v/>
      </c>
      <c r="B41" s="54" t="n"/>
      <c r="C41" s="54" t="n"/>
      <c r="D41" s="55" t="n"/>
      <c r="E41" s="55" t="n"/>
      <c r="F41" s="56" t="n"/>
      <c r="G41" s="57" t="n"/>
      <c r="H41" s="57" t="n"/>
      <c r="I41" s="57" t="n"/>
      <c r="J41" s="57" t="n"/>
      <c r="K41" s="58">
        <f>IF(NOT((COUNTA($B41:$J41)+COUNTA($M41))&gt;0),"",IFERROR(LOOKUP(2,1/(G41:J41&lt;&gt;""),G41:J41),0))</f>
        <v/>
      </c>
      <c r="L41" s="53">
        <f>IF(K41="","",IF(K41&gt;=1,"Completado",IF(K41&gt;0,"En curso","Pendiente")))</f>
        <v/>
      </c>
      <c r="M41" s="54" t="n"/>
      <c r="N41" s="59">
        <f>IF(NOT((COUNTA($B41:$J41)+COUNTA($M41))&gt;0),"",IF((IF(B41="","Macroactividad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","")&amp;IF(ABS(SUM($F$5:$F$1000)-1)&gt;0.0001,"Pesos del puesto suman "&amp;TEXT(SUM($F$5:$F$1000),"0%")&amp;"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 OK","⚠ "&amp;LEFT(IF(B41="","Macroactividad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","")&amp;IF(ABS(SUM($F$5:$F$1000)-1)&gt;0.0001,"Pesos del puesto suman "&amp;TEXT(SUM($F$5:$F$1000),"0%")&amp;"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",""),LEN(IF(B41="","Macroactividad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","")&amp;IF(ABS(SUM($F$5:$F$1000)-1)&gt;0.0001,"Pesos del puesto suman "&amp;TEXT(SUM($F$5:$F$1000),"0%")&amp;"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",""))-3)))</f>
        <v/>
      </c>
    </row>
    <row r="42">
      <c r="A42" s="53">
        <f>IF(NOT((COUNTA($B42:$J42)+COUNTA($M42))&gt;0),"",COUNTIF($L$5:$L42,"?*"))</f>
        <v/>
      </c>
      <c r="B42" s="54" t="n"/>
      <c r="C42" s="54" t="n"/>
      <c r="D42" s="55" t="n"/>
      <c r="E42" s="55" t="n"/>
      <c r="F42" s="56" t="n"/>
      <c r="G42" s="57" t="n"/>
      <c r="H42" s="57" t="n"/>
      <c r="I42" s="57" t="n"/>
      <c r="J42" s="57" t="n"/>
      <c r="K42" s="58">
        <f>IF(NOT((COUNTA($B42:$J42)+COUNTA($M42))&gt;0),"",IFERROR(LOOKUP(2,1/(G42:J42&lt;&gt;""),G42:J42),0))</f>
        <v/>
      </c>
      <c r="L42" s="53">
        <f>IF(K42="","",IF(K42&gt;=1,"Completado",IF(K42&gt;0,"En curso","Pendiente")))</f>
        <v/>
      </c>
      <c r="M42" s="54" t="n"/>
      <c r="N42" s="59">
        <f>IF(NOT((COUNTA($B42:$J42)+COUNTA($M42))&gt;0),"",IF((IF(B42="","Macroactividad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","")&amp;IF(ABS(SUM($F$5:$F$1000)-1)&gt;0.0001,"Pesos del puesto suman "&amp;TEXT(SUM($F$5:$F$1000),"0%")&amp;"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 OK","⚠ "&amp;LEFT(IF(B42="","Macroactividad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","")&amp;IF(ABS(SUM($F$5:$F$1000)-1)&gt;0.0001,"Pesos del puesto suman "&amp;TEXT(SUM($F$5:$F$1000),"0%")&amp;"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",""),LEN(IF(B42="","Macroactividad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","")&amp;IF(ABS(SUM($F$5:$F$1000)-1)&gt;0.0001,"Pesos del puesto suman "&amp;TEXT(SUM($F$5:$F$1000),"0%")&amp;"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",""))-3)))</f>
        <v/>
      </c>
    </row>
    <row r="43">
      <c r="A43" s="53">
        <f>IF(NOT((COUNTA($B43:$J43)+COUNTA($M43))&gt;0),"",COUNTIF($L$5:$L43,"?*"))</f>
        <v/>
      </c>
      <c r="B43" s="54" t="n"/>
      <c r="C43" s="54" t="n"/>
      <c r="D43" s="55" t="n"/>
      <c r="E43" s="55" t="n"/>
      <c r="F43" s="56" t="n"/>
      <c r="G43" s="57" t="n"/>
      <c r="H43" s="57" t="n"/>
      <c r="I43" s="57" t="n"/>
      <c r="J43" s="57" t="n"/>
      <c r="K43" s="58">
        <f>IF(NOT((COUNTA($B43:$J43)+COUNTA($M43))&gt;0),"",IFERROR(LOOKUP(2,1/(G43:J43&lt;&gt;""),G43:J43),0))</f>
        <v/>
      </c>
      <c r="L43" s="53">
        <f>IF(K43="","",IF(K43&gt;=1,"Completado",IF(K43&gt;0,"En curso","Pendiente")))</f>
        <v/>
      </c>
      <c r="M43" s="54" t="n"/>
      <c r="N43" s="59">
        <f>IF(NOT((COUNTA($B43:$J43)+COUNTA($M43))&gt;0),"",IF((IF(B43="","Macroactividad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","")&amp;IF(ABS(SUM($F$5:$F$1000)-1)&gt;0.0001,"Pesos del puesto suman "&amp;TEXT(SUM($F$5:$F$1000),"0%")&amp;"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 OK","⚠ "&amp;LEFT(IF(B43="","Macroactividad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","")&amp;IF(ABS(SUM($F$5:$F$1000)-1)&gt;0.0001,"Pesos del puesto suman "&amp;TEXT(SUM($F$5:$F$1000),"0%")&amp;"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",""),LEN(IF(B43="","Macroactividad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","")&amp;IF(ABS(SUM($F$5:$F$1000)-1)&gt;0.0001,"Pesos del puesto suman "&amp;TEXT(SUM($F$5:$F$1000),"0%")&amp;"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",""))-3)))</f>
        <v/>
      </c>
    </row>
    <row r="44">
      <c r="A44" s="53">
        <f>IF(NOT((COUNTA($B44:$J44)+COUNTA($M44))&gt;0),"",COUNTIF($L$5:$L44,"?*"))</f>
        <v/>
      </c>
      <c r="B44" s="54" t="n"/>
      <c r="C44" s="54" t="n"/>
      <c r="D44" s="55" t="n"/>
      <c r="E44" s="55" t="n"/>
      <c r="F44" s="56" t="n"/>
      <c r="G44" s="57" t="n"/>
      <c r="H44" s="57" t="n"/>
      <c r="I44" s="57" t="n"/>
      <c r="J44" s="57" t="n"/>
      <c r="K44" s="58">
        <f>IF(NOT((COUNTA($B44:$J44)+COUNTA($M44))&gt;0),"",IFERROR(LOOKUP(2,1/(G44:J44&lt;&gt;""),G44:J44),0))</f>
        <v/>
      </c>
      <c r="L44" s="53">
        <f>IF(K44="","",IF(K44&gt;=1,"Completado",IF(K44&gt;0,"En curso","Pendiente")))</f>
        <v/>
      </c>
      <c r="M44" s="54" t="n"/>
      <c r="N44" s="59">
        <f>IF(NOT((COUNTA($B44:$J44)+COUNTA($M44))&gt;0),"",IF((IF(B44="","Macroactividad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","")&amp;IF(ABS(SUM($F$5:$F$1000)-1)&gt;0.0001,"Pesos del puesto suman "&amp;TEXT(SUM($F$5:$F$1000),"0%")&amp;"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 OK","⚠ "&amp;LEFT(IF(B44="","Macroactividad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","")&amp;IF(ABS(SUM($F$5:$F$1000)-1)&gt;0.0001,"Pesos del puesto suman "&amp;TEXT(SUM($F$5:$F$1000),"0%")&amp;"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",""),LEN(IF(B44="","Macroactividad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","")&amp;IF(ABS(SUM($F$5:$F$1000)-1)&gt;0.0001,"Pesos del puesto suman "&amp;TEXT(SUM($F$5:$F$1000),"0%")&amp;"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",""))-3)))</f>
        <v/>
      </c>
    </row>
    <row r="45">
      <c r="A45" s="53">
        <f>IF(NOT((COUNTA($B45:$J45)+COUNTA($M45))&gt;0),"",COUNTIF($L$5:$L45,"?*"))</f>
        <v/>
      </c>
      <c r="B45" s="54" t="n"/>
      <c r="C45" s="54" t="n"/>
      <c r="D45" s="55" t="n"/>
      <c r="E45" s="55" t="n"/>
      <c r="F45" s="56" t="n"/>
      <c r="G45" s="57" t="n"/>
      <c r="H45" s="57" t="n"/>
      <c r="I45" s="57" t="n"/>
      <c r="J45" s="57" t="n"/>
      <c r="K45" s="58">
        <f>IF(NOT((COUNTA($B45:$J45)+COUNTA($M45))&gt;0),"",IFERROR(LOOKUP(2,1/(G45:J45&lt;&gt;""),G45:J45),0))</f>
        <v/>
      </c>
      <c r="L45" s="53">
        <f>IF(K45="","",IF(K45&gt;=1,"Completado",IF(K45&gt;0,"En curso","Pendiente")))</f>
        <v/>
      </c>
      <c r="M45" s="54" t="n"/>
      <c r="N45" s="59">
        <f>IF(NOT((COUNTA($B45:$J45)+COUNTA($M45))&gt;0),"",IF((IF(B45="","Macroactividad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","")&amp;IF(ABS(SUM($F$5:$F$1000)-1)&gt;0.0001,"Pesos del puesto suman "&amp;TEXT(SUM($F$5:$F$1000),"0%")&amp;"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 OK","⚠ "&amp;LEFT(IF(B45="","Macroactividad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","")&amp;IF(ABS(SUM($F$5:$F$1000)-1)&gt;0.0001,"Pesos del puesto suman "&amp;TEXT(SUM($F$5:$F$1000),"0%")&amp;"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",""),LEN(IF(B45="","Macroactividad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","")&amp;IF(ABS(SUM($F$5:$F$1000)-1)&gt;0.0001,"Pesos del puesto suman "&amp;TEXT(SUM($F$5:$F$1000),"0%")&amp;"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",""))-3)))</f>
        <v/>
      </c>
    </row>
    <row r="46">
      <c r="A46" s="53">
        <f>IF(NOT((COUNTA($B46:$J46)+COUNTA($M46))&gt;0),"",COUNTIF($L$5:$L46,"?*"))</f>
        <v/>
      </c>
      <c r="B46" s="54" t="n"/>
      <c r="C46" s="54" t="n"/>
      <c r="D46" s="55" t="n"/>
      <c r="E46" s="55" t="n"/>
      <c r="F46" s="56" t="n"/>
      <c r="G46" s="57" t="n"/>
      <c r="H46" s="57" t="n"/>
      <c r="I46" s="57" t="n"/>
      <c r="J46" s="57" t="n"/>
      <c r="K46" s="58">
        <f>IF(NOT((COUNTA($B46:$J46)+COUNTA($M46))&gt;0),"",IFERROR(LOOKUP(2,1/(G46:J46&lt;&gt;""),G46:J46),0))</f>
        <v/>
      </c>
      <c r="L46" s="53">
        <f>IF(K46="","",IF(K46&gt;=1,"Completado",IF(K46&gt;0,"En curso","Pendiente")))</f>
        <v/>
      </c>
      <c r="M46" s="54" t="n"/>
      <c r="N46" s="59">
        <f>IF(NOT((COUNTA($B46:$J46)+COUNTA($M46))&gt;0),"",IF((IF(B46="","Macroactividad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","")&amp;IF(ABS(SUM($F$5:$F$1000)-1)&gt;0.0001,"Pesos del puesto suman "&amp;TEXT(SUM($F$5:$F$1000),"0%")&amp;"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 OK","⚠ "&amp;LEFT(IF(B46="","Macroactividad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","")&amp;IF(ABS(SUM($F$5:$F$1000)-1)&gt;0.0001,"Pesos del puesto suman "&amp;TEXT(SUM($F$5:$F$1000),"0%")&amp;"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",""),LEN(IF(B46="","Macroactividad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","")&amp;IF(ABS(SUM($F$5:$F$1000)-1)&gt;0.0001,"Pesos del puesto suman "&amp;TEXT(SUM($F$5:$F$1000),"0%")&amp;"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",""))-3)))</f>
        <v/>
      </c>
    </row>
    <row r="47">
      <c r="A47" s="53">
        <f>IF(NOT((COUNTA($B47:$J47)+COUNTA($M47))&gt;0),"",COUNTIF($L$5:$L47,"?*"))</f>
        <v/>
      </c>
      <c r="B47" s="54" t="n"/>
      <c r="C47" s="54" t="n"/>
      <c r="D47" s="55" t="n"/>
      <c r="E47" s="55" t="n"/>
      <c r="F47" s="56" t="n"/>
      <c r="G47" s="57" t="n"/>
      <c r="H47" s="57" t="n"/>
      <c r="I47" s="57" t="n"/>
      <c r="J47" s="57" t="n"/>
      <c r="K47" s="58">
        <f>IF(NOT((COUNTA($B47:$J47)+COUNTA($M47))&gt;0),"",IFERROR(LOOKUP(2,1/(G47:J47&lt;&gt;""),G47:J47),0))</f>
        <v/>
      </c>
      <c r="L47" s="53">
        <f>IF(K47="","",IF(K47&gt;=1,"Completado",IF(K47&gt;0,"En curso","Pendiente")))</f>
        <v/>
      </c>
      <c r="M47" s="54" t="n"/>
      <c r="N47" s="59">
        <f>IF(NOT((COUNTA($B47:$J47)+COUNTA($M47))&gt;0),"",IF((IF(B47="","Macroactividad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","")&amp;IF(ABS(SUM($F$5:$F$1000)-1)&gt;0.0001,"Pesos del puesto suman "&amp;TEXT(SUM($F$5:$F$1000),"0%")&amp;"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 OK","⚠ "&amp;LEFT(IF(B47="","Macroactividad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","")&amp;IF(ABS(SUM($F$5:$F$1000)-1)&gt;0.0001,"Pesos del puesto suman "&amp;TEXT(SUM($F$5:$F$1000),"0%")&amp;"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",""),LEN(IF(B47="","Macroactividad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","")&amp;IF(ABS(SUM($F$5:$F$1000)-1)&gt;0.0001,"Pesos del puesto suman "&amp;TEXT(SUM($F$5:$F$1000),"0%")&amp;"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",""))-3)))</f>
        <v/>
      </c>
    </row>
    <row r="48">
      <c r="A48" s="53">
        <f>IF(NOT((COUNTA($B48:$J48)+COUNTA($M48))&gt;0),"",COUNTIF($L$5:$L48,"?*"))</f>
        <v/>
      </c>
      <c r="B48" s="54" t="n"/>
      <c r="C48" s="54" t="n"/>
      <c r="D48" s="55" t="n"/>
      <c r="E48" s="55" t="n"/>
      <c r="F48" s="56" t="n"/>
      <c r="G48" s="57" t="n"/>
      <c r="H48" s="57" t="n"/>
      <c r="I48" s="57" t="n"/>
      <c r="J48" s="57" t="n"/>
      <c r="K48" s="58">
        <f>IF(NOT((COUNTA($B48:$J48)+COUNTA($M48))&gt;0),"",IFERROR(LOOKUP(2,1/(G48:J48&lt;&gt;""),G48:J48),0))</f>
        <v/>
      </c>
      <c r="L48" s="53">
        <f>IF(K48="","",IF(K48&gt;=1,"Completado",IF(K48&gt;0,"En curso","Pendiente")))</f>
        <v/>
      </c>
      <c r="M48" s="54" t="n"/>
      <c r="N48" s="59">
        <f>IF(NOT((COUNTA($B48:$J48)+COUNTA($M48))&gt;0),"",IF((IF(B48="","Macroactividad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","")&amp;IF(ABS(SUM($F$5:$F$1000)-1)&gt;0.0001,"Pesos del puesto suman "&amp;TEXT(SUM($F$5:$F$1000),"0%")&amp;"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 OK","⚠ "&amp;LEFT(IF(B48="","Macroactividad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","")&amp;IF(ABS(SUM($F$5:$F$1000)-1)&gt;0.0001,"Pesos del puesto suman "&amp;TEXT(SUM($F$5:$F$1000),"0%")&amp;"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",""),LEN(IF(B48="","Macroactividad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","")&amp;IF(ABS(SUM($F$5:$F$1000)-1)&gt;0.0001,"Pesos del puesto suman "&amp;TEXT(SUM($F$5:$F$1000),"0%")&amp;"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",""))-3)))</f>
        <v/>
      </c>
    </row>
    <row r="49">
      <c r="A49" s="53">
        <f>IF(NOT((COUNTA($B49:$J49)+COUNTA($M49))&gt;0),"",COUNTIF($L$5:$L49,"?*"))</f>
        <v/>
      </c>
      <c r="B49" s="54" t="n"/>
      <c r="C49" s="54" t="n"/>
      <c r="D49" s="55" t="n"/>
      <c r="E49" s="55" t="n"/>
      <c r="F49" s="56" t="n"/>
      <c r="G49" s="57" t="n"/>
      <c r="H49" s="57" t="n"/>
      <c r="I49" s="57" t="n"/>
      <c r="J49" s="57" t="n"/>
      <c r="K49" s="58">
        <f>IF(NOT((COUNTA($B49:$J49)+COUNTA($M49))&gt;0),"",IFERROR(LOOKUP(2,1/(G49:J49&lt;&gt;""),G49:J49),0))</f>
        <v/>
      </c>
      <c r="L49" s="53">
        <f>IF(K49="","",IF(K49&gt;=1,"Completado",IF(K49&gt;0,"En curso","Pendiente")))</f>
        <v/>
      </c>
      <c r="M49" s="54" t="n"/>
      <c r="N49" s="59">
        <f>IF(NOT((COUNTA($B49:$J49)+COUNTA($M49))&gt;0),"",IF((IF(B49="","Macroactividad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","")&amp;IF(ABS(SUM($F$5:$F$1000)-1)&gt;0.0001,"Pesos del puesto suman "&amp;TEXT(SUM($F$5:$F$1000),"0%")&amp;"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 OK","⚠ "&amp;LEFT(IF(B49="","Macroactividad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","")&amp;IF(ABS(SUM($F$5:$F$1000)-1)&gt;0.0001,"Pesos del puesto suman "&amp;TEXT(SUM($F$5:$F$1000),"0%")&amp;"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",""),LEN(IF(B49="","Macroactividad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","")&amp;IF(ABS(SUM($F$5:$F$1000)-1)&gt;0.0001,"Pesos del puesto suman "&amp;TEXT(SUM($F$5:$F$1000),"0%")&amp;"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",""))-3)))</f>
        <v/>
      </c>
    </row>
    <row r="50">
      <c r="A50" s="53">
        <f>IF(NOT((COUNTA($B50:$J50)+COUNTA($M50))&gt;0),"",COUNTIF($L$5:$L50,"?*"))</f>
        <v/>
      </c>
      <c r="B50" s="54" t="n"/>
      <c r="C50" s="54" t="n"/>
      <c r="D50" s="55" t="n"/>
      <c r="E50" s="55" t="n"/>
      <c r="F50" s="56" t="n"/>
      <c r="G50" s="57" t="n"/>
      <c r="H50" s="57" t="n"/>
      <c r="I50" s="57" t="n"/>
      <c r="J50" s="57" t="n"/>
      <c r="K50" s="58">
        <f>IF(NOT((COUNTA($B50:$J50)+COUNTA($M50))&gt;0),"",IFERROR(LOOKUP(2,1/(G50:J50&lt;&gt;""),G50:J50),0))</f>
        <v/>
      </c>
      <c r="L50" s="53">
        <f>IF(K50="","",IF(K50&gt;=1,"Completado",IF(K50&gt;0,"En curso","Pendiente")))</f>
        <v/>
      </c>
      <c r="M50" s="54" t="n"/>
      <c r="N50" s="59">
        <f>IF(NOT((COUNTA($B50:$J50)+COUNTA($M50))&gt;0),"",IF((IF(B50="","Macroactividad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","")&amp;IF(ABS(SUM($F$5:$F$1000)-1)&gt;0.0001,"Pesos del puesto suman "&amp;TEXT(SUM($F$5:$F$1000),"0%")&amp;"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 OK","⚠ "&amp;LEFT(IF(B50="","Macroactividad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","")&amp;IF(ABS(SUM($F$5:$F$1000)-1)&gt;0.0001,"Pesos del puesto suman "&amp;TEXT(SUM($F$5:$F$1000),"0%")&amp;"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",""),LEN(IF(B50="","Macroactividad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","")&amp;IF(ABS(SUM($F$5:$F$1000)-1)&gt;0.0001,"Pesos del puesto suman "&amp;TEXT(SUM($F$5:$F$1000),"0%")&amp;"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",""))-3)))</f>
        <v/>
      </c>
    </row>
    <row r="51">
      <c r="A51" s="53">
        <f>IF(NOT((COUNTA($B51:$J51)+COUNTA($M51))&gt;0),"",COUNTIF($L$5:$L51,"?*"))</f>
        <v/>
      </c>
      <c r="B51" s="54" t="n"/>
      <c r="C51" s="54" t="n"/>
      <c r="D51" s="55" t="n"/>
      <c r="E51" s="55" t="n"/>
      <c r="F51" s="56" t="n"/>
      <c r="G51" s="57" t="n"/>
      <c r="H51" s="57" t="n"/>
      <c r="I51" s="57" t="n"/>
      <c r="J51" s="57" t="n"/>
      <c r="K51" s="58">
        <f>IF(NOT((COUNTA($B51:$J51)+COUNTA($M51))&gt;0),"",IFERROR(LOOKUP(2,1/(G51:J51&lt;&gt;""),G51:J51),0))</f>
        <v/>
      </c>
      <c r="L51" s="53">
        <f>IF(K51="","",IF(K51&gt;=1,"Completado",IF(K51&gt;0,"En curso","Pendiente")))</f>
        <v/>
      </c>
      <c r="M51" s="54" t="n"/>
      <c r="N51" s="59">
        <f>IF(NOT((COUNTA($B51:$J51)+COUNTA($M51))&gt;0),"",IF((IF(B51="","Macroactividad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","")&amp;IF(ABS(SUM($F$5:$F$1000)-1)&gt;0.0001,"Pesos del puesto suman "&amp;TEXT(SUM($F$5:$F$1000),"0%")&amp;"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 OK","⚠ "&amp;LEFT(IF(B51="","Macroactividad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","")&amp;IF(ABS(SUM($F$5:$F$1000)-1)&gt;0.0001,"Pesos del puesto suman "&amp;TEXT(SUM($F$5:$F$1000),"0%")&amp;"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",""),LEN(IF(B51="","Macroactividad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","")&amp;IF(ABS(SUM($F$5:$F$1000)-1)&gt;0.0001,"Pesos del puesto suman "&amp;TEXT(SUM($F$5:$F$1000),"0%")&amp;"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",""))-3)))</f>
        <v/>
      </c>
    </row>
    <row r="52">
      <c r="A52" s="53">
        <f>IF(NOT((COUNTA($B52:$J52)+COUNTA($M52))&gt;0),"",COUNTIF($L$5:$L52,"?*"))</f>
        <v/>
      </c>
      <c r="B52" s="54" t="n"/>
      <c r="C52" s="54" t="n"/>
      <c r="D52" s="55" t="n"/>
      <c r="E52" s="55" t="n"/>
      <c r="F52" s="56" t="n"/>
      <c r="G52" s="57" t="n"/>
      <c r="H52" s="57" t="n"/>
      <c r="I52" s="57" t="n"/>
      <c r="J52" s="57" t="n"/>
      <c r="K52" s="58">
        <f>IF(NOT((COUNTA($B52:$J52)+COUNTA($M52))&gt;0),"",IFERROR(LOOKUP(2,1/(G52:J52&lt;&gt;""),G52:J52),0))</f>
        <v/>
      </c>
      <c r="L52" s="53">
        <f>IF(K52="","",IF(K52&gt;=1,"Completado",IF(K52&gt;0,"En curso","Pendiente")))</f>
        <v/>
      </c>
      <c r="M52" s="54" t="n"/>
      <c r="N52" s="59">
        <f>IF(NOT((COUNTA($B52:$J52)+COUNTA($M52))&gt;0),"",IF((IF(B52="","Macroactividad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","")&amp;IF(ABS(SUM($F$5:$F$1000)-1)&gt;0.0001,"Pesos del puesto suman "&amp;TEXT(SUM($F$5:$F$1000),"0%")&amp;"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 OK","⚠ "&amp;LEFT(IF(B52="","Macroactividad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","")&amp;IF(ABS(SUM($F$5:$F$1000)-1)&gt;0.0001,"Pesos del puesto suman "&amp;TEXT(SUM($F$5:$F$1000),"0%")&amp;"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",""),LEN(IF(B52="","Macroactividad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","")&amp;IF(ABS(SUM($F$5:$F$1000)-1)&gt;0.0001,"Pesos del puesto suman "&amp;TEXT(SUM($F$5:$F$1000),"0%")&amp;"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",""))-3)))</f>
        <v/>
      </c>
    </row>
    <row r="53">
      <c r="A53" s="53">
        <f>IF(NOT((COUNTA($B53:$J53)+COUNTA($M53))&gt;0),"",COUNTIF($L$5:$L53,"?*"))</f>
        <v/>
      </c>
      <c r="B53" s="54" t="n"/>
      <c r="C53" s="54" t="n"/>
      <c r="D53" s="55" t="n"/>
      <c r="E53" s="55" t="n"/>
      <c r="F53" s="56" t="n"/>
      <c r="G53" s="57" t="n"/>
      <c r="H53" s="57" t="n"/>
      <c r="I53" s="57" t="n"/>
      <c r="J53" s="57" t="n"/>
      <c r="K53" s="58">
        <f>IF(NOT((COUNTA($B53:$J53)+COUNTA($M53))&gt;0),"",IFERROR(LOOKUP(2,1/(G53:J53&lt;&gt;""),G53:J53),0))</f>
        <v/>
      </c>
      <c r="L53" s="53">
        <f>IF(K53="","",IF(K53&gt;=1,"Completado",IF(K53&gt;0,"En curso","Pendiente")))</f>
        <v/>
      </c>
      <c r="M53" s="54" t="n"/>
      <c r="N53" s="59">
        <f>IF(NOT((COUNTA($B53:$J53)+COUNTA($M53))&gt;0),"",IF((IF(B53="","Macroactividad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","")&amp;IF(ABS(SUM($F$5:$F$1000)-1)&gt;0.0001,"Pesos del puesto suman "&amp;TEXT(SUM($F$5:$F$1000),"0%")&amp;"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 OK","⚠ "&amp;LEFT(IF(B53="","Macroactividad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","")&amp;IF(ABS(SUM($F$5:$F$1000)-1)&gt;0.0001,"Pesos del puesto suman "&amp;TEXT(SUM($F$5:$F$1000),"0%")&amp;"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",""),LEN(IF(B53="","Macroactividad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","")&amp;IF(ABS(SUM($F$5:$F$1000)-1)&gt;0.0001,"Pesos del puesto suman "&amp;TEXT(SUM($F$5:$F$1000),"0%")&amp;"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",""))-3)))</f>
        <v/>
      </c>
    </row>
    <row r="54">
      <c r="A54" s="53">
        <f>IF(NOT((COUNTA($B54:$J54)+COUNTA($M54))&gt;0),"",COUNTIF($L$5:$L54,"?*"))</f>
        <v/>
      </c>
      <c r="B54" s="54" t="n"/>
      <c r="C54" s="54" t="n"/>
      <c r="D54" s="55" t="n"/>
      <c r="E54" s="55" t="n"/>
      <c r="F54" s="56" t="n"/>
      <c r="G54" s="57" t="n"/>
      <c r="H54" s="57" t="n"/>
      <c r="I54" s="57" t="n"/>
      <c r="J54" s="57" t="n"/>
      <c r="K54" s="58">
        <f>IF(NOT((COUNTA($B54:$J54)+COUNTA($M54))&gt;0),"",IFERROR(LOOKUP(2,1/(G54:J54&lt;&gt;""),G54:J54),0))</f>
        <v/>
      </c>
      <c r="L54" s="53">
        <f>IF(K54="","",IF(K54&gt;=1,"Completado",IF(K54&gt;0,"En curso","Pendiente")))</f>
        <v/>
      </c>
      <c r="M54" s="54" t="n"/>
      <c r="N54" s="59">
        <f>IF(NOT((COUNTA($B54:$J54)+COUNTA($M54))&gt;0),"",IF((IF(B54="","Macroactividad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","")&amp;IF(ABS(SUM($F$5:$F$1000)-1)&gt;0.0001,"Pesos del puesto suman "&amp;TEXT(SUM($F$5:$F$1000),"0%")&amp;"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 OK","⚠ "&amp;LEFT(IF(B54="","Macroactividad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","")&amp;IF(ABS(SUM($F$5:$F$1000)-1)&gt;0.0001,"Pesos del puesto suman "&amp;TEXT(SUM($F$5:$F$1000),"0%")&amp;"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",""),LEN(IF(B54="","Macroactividad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","")&amp;IF(ABS(SUM($F$5:$F$1000)-1)&gt;0.0001,"Pesos del puesto suman "&amp;TEXT(SUM($F$5:$F$1000),"0%")&amp;"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",""))-3)))</f>
        <v/>
      </c>
    </row>
    <row r="55">
      <c r="A55" s="53">
        <f>IF(NOT((COUNTA($B55:$J55)+COUNTA($M55))&gt;0),"",COUNTIF($L$5:$L55,"?*"))</f>
        <v/>
      </c>
      <c r="B55" s="54" t="n"/>
      <c r="C55" s="54" t="n"/>
      <c r="D55" s="55" t="n"/>
      <c r="E55" s="55" t="n"/>
      <c r="F55" s="56" t="n"/>
      <c r="G55" s="57" t="n"/>
      <c r="H55" s="57" t="n"/>
      <c r="I55" s="57" t="n"/>
      <c r="J55" s="57" t="n"/>
      <c r="K55" s="58">
        <f>IF(NOT((COUNTA($B55:$J55)+COUNTA($M55))&gt;0),"",IFERROR(LOOKUP(2,1/(G55:J55&lt;&gt;""),G55:J55),0))</f>
        <v/>
      </c>
      <c r="L55" s="53">
        <f>IF(K55="","",IF(K55&gt;=1,"Completado",IF(K55&gt;0,"En curso","Pendiente")))</f>
        <v/>
      </c>
      <c r="M55" s="54" t="n"/>
      <c r="N55" s="59">
        <f>IF(NOT((COUNTA($B55:$J55)+COUNTA($M55))&gt;0),"",IF((IF(B55="","Macroactividad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","")&amp;IF(ABS(SUM($F$5:$F$1000)-1)&gt;0.0001,"Pesos del puesto suman "&amp;TEXT(SUM($F$5:$F$1000),"0%")&amp;"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 OK","⚠ "&amp;LEFT(IF(B55="","Macroactividad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","")&amp;IF(ABS(SUM($F$5:$F$1000)-1)&gt;0.0001,"Pesos del puesto suman "&amp;TEXT(SUM($F$5:$F$1000),"0%")&amp;"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",""),LEN(IF(B55="","Macroactividad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","")&amp;IF(ABS(SUM($F$5:$F$1000)-1)&gt;0.0001,"Pesos del puesto suman "&amp;TEXT(SUM($F$5:$F$1000),"0%")&amp;"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",""))-3)))</f>
        <v/>
      </c>
    </row>
    <row r="56">
      <c r="A56" s="53">
        <f>IF(NOT((COUNTA($B56:$J56)+COUNTA($M56))&gt;0),"",COUNTIF($L$5:$L56,"?*"))</f>
        <v/>
      </c>
      <c r="B56" s="54" t="n"/>
      <c r="C56" s="54" t="n"/>
      <c r="D56" s="55" t="n"/>
      <c r="E56" s="55" t="n"/>
      <c r="F56" s="56" t="n"/>
      <c r="G56" s="57" t="n"/>
      <c r="H56" s="57" t="n"/>
      <c r="I56" s="57" t="n"/>
      <c r="J56" s="57" t="n"/>
      <c r="K56" s="58">
        <f>IF(NOT((COUNTA($B56:$J56)+COUNTA($M56))&gt;0),"",IFERROR(LOOKUP(2,1/(G56:J56&lt;&gt;""),G56:J56),0))</f>
        <v/>
      </c>
      <c r="L56" s="53">
        <f>IF(K56="","",IF(K56&gt;=1,"Completado",IF(K56&gt;0,"En curso","Pendiente")))</f>
        <v/>
      </c>
      <c r="M56" s="54" t="n"/>
      <c r="N56" s="59">
        <f>IF(NOT((COUNTA($B56:$J56)+COUNTA($M56))&gt;0),"",IF((IF(B56="","Macroactividad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","")&amp;IF(ABS(SUM($F$5:$F$1000)-1)&gt;0.0001,"Pesos del puesto suman "&amp;TEXT(SUM($F$5:$F$1000),"0%")&amp;"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 OK","⚠ "&amp;LEFT(IF(B56="","Macroactividad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","")&amp;IF(ABS(SUM($F$5:$F$1000)-1)&gt;0.0001,"Pesos del puesto suman "&amp;TEXT(SUM($F$5:$F$1000),"0%")&amp;"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",""),LEN(IF(B56="","Macroactividad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","")&amp;IF(ABS(SUM($F$5:$F$1000)-1)&gt;0.0001,"Pesos del puesto suman "&amp;TEXT(SUM($F$5:$F$1000),"0%")&amp;"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",""))-3)))</f>
        <v/>
      </c>
    </row>
    <row r="57">
      <c r="A57" s="53">
        <f>IF(NOT((COUNTA($B57:$J57)+COUNTA($M57))&gt;0),"",COUNTIF($L$5:$L57,"?*"))</f>
        <v/>
      </c>
      <c r="B57" s="54" t="n"/>
      <c r="C57" s="54" t="n"/>
      <c r="D57" s="55" t="n"/>
      <c r="E57" s="55" t="n"/>
      <c r="F57" s="56" t="n"/>
      <c r="G57" s="57" t="n"/>
      <c r="H57" s="57" t="n"/>
      <c r="I57" s="57" t="n"/>
      <c r="J57" s="57" t="n"/>
      <c r="K57" s="58">
        <f>IF(NOT((COUNTA($B57:$J57)+COUNTA($M57))&gt;0),"",IFERROR(LOOKUP(2,1/(G57:J57&lt;&gt;""),G57:J57),0))</f>
        <v/>
      </c>
      <c r="L57" s="53">
        <f>IF(K57="","",IF(K57&gt;=1,"Completado",IF(K57&gt;0,"En curso","Pendiente")))</f>
        <v/>
      </c>
      <c r="M57" s="54" t="n"/>
      <c r="N57" s="59">
        <f>IF(NOT((COUNTA($B57:$J57)+COUNTA($M57))&gt;0),"",IF((IF(B57="","Macroactividad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","")&amp;IF(ABS(SUM($F$5:$F$1000)-1)&gt;0.0001,"Pesos del puesto suman "&amp;TEXT(SUM($F$5:$F$1000),"0%")&amp;"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 OK","⚠ "&amp;LEFT(IF(B57="","Macroactividad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","")&amp;IF(ABS(SUM($F$5:$F$1000)-1)&gt;0.0001,"Pesos del puesto suman "&amp;TEXT(SUM($F$5:$F$1000),"0%")&amp;"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",""),LEN(IF(B57="","Macroactividad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","")&amp;IF(ABS(SUM($F$5:$F$1000)-1)&gt;0.0001,"Pesos del puesto suman "&amp;TEXT(SUM($F$5:$F$1000),"0%")&amp;"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",""))-3)))</f>
        <v/>
      </c>
    </row>
    <row r="58">
      <c r="A58" s="53">
        <f>IF(NOT((COUNTA($B58:$J58)+COUNTA($M58))&gt;0),"",COUNTIF($L$5:$L58,"?*"))</f>
        <v/>
      </c>
      <c r="B58" s="54" t="n"/>
      <c r="C58" s="54" t="n"/>
      <c r="D58" s="55" t="n"/>
      <c r="E58" s="55" t="n"/>
      <c r="F58" s="56" t="n"/>
      <c r="G58" s="57" t="n"/>
      <c r="H58" s="57" t="n"/>
      <c r="I58" s="57" t="n"/>
      <c r="J58" s="57" t="n"/>
      <c r="K58" s="58">
        <f>IF(NOT((COUNTA($B58:$J58)+COUNTA($M58))&gt;0),"",IFERROR(LOOKUP(2,1/(G58:J58&lt;&gt;""),G58:J58),0))</f>
        <v/>
      </c>
      <c r="L58" s="53">
        <f>IF(K58="","",IF(K58&gt;=1,"Completado",IF(K58&gt;0,"En curso","Pendiente")))</f>
        <v/>
      </c>
      <c r="M58" s="54" t="n"/>
      <c r="N58" s="59">
        <f>IF(NOT((COUNTA($B58:$J58)+COUNTA($M58))&gt;0),"",IF((IF(B58="","Macroactividad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","")&amp;IF(ABS(SUM($F$5:$F$1000)-1)&gt;0.0001,"Pesos del puesto suman "&amp;TEXT(SUM($F$5:$F$1000),"0%")&amp;"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 OK","⚠ "&amp;LEFT(IF(B58="","Macroactividad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","")&amp;IF(ABS(SUM($F$5:$F$1000)-1)&gt;0.0001,"Pesos del puesto suman "&amp;TEXT(SUM($F$5:$F$1000),"0%")&amp;"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",""),LEN(IF(B58="","Macroactividad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","")&amp;IF(ABS(SUM($F$5:$F$1000)-1)&gt;0.0001,"Pesos del puesto suman "&amp;TEXT(SUM($F$5:$F$1000),"0%")&amp;"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",""))-3)))</f>
        <v/>
      </c>
    </row>
    <row r="59">
      <c r="A59" s="53">
        <f>IF(NOT((COUNTA($B59:$J59)+COUNTA($M59))&gt;0),"",COUNTIF($L$5:$L59,"?*"))</f>
        <v/>
      </c>
      <c r="B59" s="54" t="n"/>
      <c r="C59" s="54" t="n"/>
      <c r="D59" s="55" t="n"/>
      <c r="E59" s="55" t="n"/>
      <c r="F59" s="56" t="n"/>
      <c r="G59" s="57" t="n"/>
      <c r="H59" s="57" t="n"/>
      <c r="I59" s="57" t="n"/>
      <c r="J59" s="57" t="n"/>
      <c r="K59" s="58">
        <f>IF(NOT((COUNTA($B59:$J59)+COUNTA($M59))&gt;0),"",IFERROR(LOOKUP(2,1/(G59:J59&lt;&gt;""),G59:J59),0))</f>
        <v/>
      </c>
      <c r="L59" s="53">
        <f>IF(K59="","",IF(K59&gt;=1,"Completado",IF(K59&gt;0,"En curso","Pendiente")))</f>
        <v/>
      </c>
      <c r="M59" s="54" t="n"/>
      <c r="N59" s="59">
        <f>IF(NOT((COUNTA($B59:$J59)+COUNTA($M59))&gt;0),"",IF((IF(B59="","Macroactividad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","")&amp;IF(ABS(SUM($F$5:$F$1000)-1)&gt;0.0001,"Pesos del puesto suman "&amp;TEXT(SUM($F$5:$F$1000),"0%")&amp;"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 OK","⚠ "&amp;LEFT(IF(B59="","Macroactividad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","")&amp;IF(ABS(SUM($F$5:$F$1000)-1)&gt;0.0001,"Pesos del puesto suman "&amp;TEXT(SUM($F$5:$F$1000),"0%")&amp;"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",""),LEN(IF(B59="","Macroactividad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","")&amp;IF(ABS(SUM($F$5:$F$1000)-1)&gt;0.0001,"Pesos del puesto suman "&amp;TEXT(SUM($F$5:$F$1000),"0%")&amp;"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",""))-3)))</f>
        <v/>
      </c>
    </row>
    <row r="60">
      <c r="A60" s="53">
        <f>IF(NOT((COUNTA($B60:$J60)+COUNTA($M60))&gt;0),"",COUNTIF($L$5:$L60,"?*"))</f>
        <v/>
      </c>
      <c r="B60" s="54" t="n"/>
      <c r="C60" s="54" t="n"/>
      <c r="D60" s="55" t="n"/>
      <c r="E60" s="55" t="n"/>
      <c r="F60" s="56" t="n"/>
      <c r="G60" s="57" t="n"/>
      <c r="H60" s="57" t="n"/>
      <c r="I60" s="57" t="n"/>
      <c r="J60" s="57" t="n"/>
      <c r="K60" s="58">
        <f>IF(NOT((COUNTA($B60:$J60)+COUNTA($M60))&gt;0),"",IFERROR(LOOKUP(2,1/(G60:J60&lt;&gt;""),G60:J60),0))</f>
        <v/>
      </c>
      <c r="L60" s="53">
        <f>IF(K60="","",IF(K60&gt;=1,"Completado",IF(K60&gt;0,"En curso","Pendiente")))</f>
        <v/>
      </c>
      <c r="M60" s="54" t="n"/>
      <c r="N60" s="59">
        <f>IF(NOT((COUNTA($B60:$J60)+COUNTA($M60))&gt;0),"",IF((IF(B60="","Macroactividad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","")&amp;IF(ABS(SUM($F$5:$F$1000)-1)&gt;0.0001,"Pesos del puesto suman "&amp;TEXT(SUM($F$5:$F$1000),"0%")&amp;"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 OK","⚠ "&amp;LEFT(IF(B60="","Macroactividad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","")&amp;IF(ABS(SUM($F$5:$F$1000)-1)&gt;0.0001,"Pesos del puesto suman "&amp;TEXT(SUM($F$5:$F$1000),"0%")&amp;"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",""),LEN(IF(B60="","Macroactividad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","")&amp;IF(ABS(SUM($F$5:$F$1000)-1)&gt;0.0001,"Pesos del puesto suman "&amp;TEXT(SUM($F$5:$F$1000),"0%")&amp;"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",""))-3)))</f>
        <v/>
      </c>
    </row>
    <row r="61">
      <c r="A61" s="53">
        <f>IF(NOT((COUNTA($B61:$J61)+COUNTA($M61))&gt;0),"",COUNTIF($L$5:$L61,"?*"))</f>
        <v/>
      </c>
      <c r="B61" s="54" t="n"/>
      <c r="C61" s="54" t="n"/>
      <c r="D61" s="55" t="n"/>
      <c r="E61" s="55" t="n"/>
      <c r="F61" s="56" t="n"/>
      <c r="G61" s="57" t="n"/>
      <c r="H61" s="57" t="n"/>
      <c r="I61" s="57" t="n"/>
      <c r="J61" s="57" t="n"/>
      <c r="K61" s="58">
        <f>IF(NOT((COUNTA($B61:$J61)+COUNTA($M61))&gt;0),"",IFERROR(LOOKUP(2,1/(G61:J61&lt;&gt;""),G61:J61),0))</f>
        <v/>
      </c>
      <c r="L61" s="53">
        <f>IF(K61="","",IF(K61&gt;=1,"Completado",IF(K61&gt;0,"En curso","Pendiente")))</f>
        <v/>
      </c>
      <c r="M61" s="54" t="n"/>
      <c r="N61" s="59">
        <f>IF(NOT((COUNTA($B61:$J61)+COUNTA($M61))&gt;0),"",IF((IF(B61="","Macroactividad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","")&amp;IF(ABS(SUM($F$5:$F$1000)-1)&gt;0.0001,"Pesos del puesto suman "&amp;TEXT(SUM($F$5:$F$1000),"0%")&amp;"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 OK","⚠ "&amp;LEFT(IF(B61="","Macroactividad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","")&amp;IF(ABS(SUM($F$5:$F$1000)-1)&gt;0.0001,"Pesos del puesto suman "&amp;TEXT(SUM($F$5:$F$1000),"0%")&amp;"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",""),LEN(IF(B61="","Macroactividad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","")&amp;IF(ABS(SUM($F$5:$F$1000)-1)&gt;0.0001,"Pesos del puesto suman "&amp;TEXT(SUM($F$5:$F$1000),"0%")&amp;"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",""))-3)))</f>
        <v/>
      </c>
    </row>
    <row r="62">
      <c r="A62" s="53">
        <f>IF(NOT((COUNTA($B62:$J62)+COUNTA($M62))&gt;0),"",COUNTIF($L$5:$L62,"?*"))</f>
        <v/>
      </c>
      <c r="B62" s="54" t="n"/>
      <c r="C62" s="54" t="n"/>
      <c r="D62" s="55" t="n"/>
      <c r="E62" s="55" t="n"/>
      <c r="F62" s="56" t="n"/>
      <c r="G62" s="57" t="n"/>
      <c r="H62" s="57" t="n"/>
      <c r="I62" s="57" t="n"/>
      <c r="J62" s="57" t="n"/>
      <c r="K62" s="58">
        <f>IF(NOT((COUNTA($B62:$J62)+COUNTA($M62))&gt;0),"",IFERROR(LOOKUP(2,1/(G62:J62&lt;&gt;""),G62:J62),0))</f>
        <v/>
      </c>
      <c r="L62" s="53">
        <f>IF(K62="","",IF(K62&gt;=1,"Completado",IF(K62&gt;0,"En curso","Pendiente")))</f>
        <v/>
      </c>
      <c r="M62" s="54" t="n"/>
      <c r="N62" s="59">
        <f>IF(NOT((COUNTA($B62:$J62)+COUNTA($M62))&gt;0),"",IF((IF(B62="","Macroactividad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","")&amp;IF(ABS(SUM($F$5:$F$1000)-1)&gt;0.0001,"Pesos del puesto suman "&amp;TEXT(SUM($F$5:$F$1000),"0%")&amp;"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 OK","⚠ "&amp;LEFT(IF(B62="","Macroactividad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","")&amp;IF(ABS(SUM($F$5:$F$1000)-1)&gt;0.0001,"Pesos del puesto suman "&amp;TEXT(SUM($F$5:$F$1000),"0%")&amp;"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",""),LEN(IF(B62="","Macroactividad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","")&amp;IF(ABS(SUM($F$5:$F$1000)-1)&gt;0.0001,"Pesos del puesto suman "&amp;TEXT(SUM($F$5:$F$1000),"0%")&amp;"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",""))-3)))</f>
        <v/>
      </c>
    </row>
    <row r="63">
      <c r="A63" s="53">
        <f>IF(NOT((COUNTA($B63:$J63)+COUNTA($M63))&gt;0),"",COUNTIF($L$5:$L63,"?*"))</f>
        <v/>
      </c>
      <c r="B63" s="54" t="n"/>
      <c r="C63" s="54" t="n"/>
      <c r="D63" s="55" t="n"/>
      <c r="E63" s="55" t="n"/>
      <c r="F63" s="56" t="n"/>
      <c r="G63" s="57" t="n"/>
      <c r="H63" s="57" t="n"/>
      <c r="I63" s="57" t="n"/>
      <c r="J63" s="57" t="n"/>
      <c r="K63" s="58">
        <f>IF(NOT((COUNTA($B63:$J63)+COUNTA($M63))&gt;0),"",IFERROR(LOOKUP(2,1/(G63:J63&lt;&gt;""),G63:J63),0))</f>
        <v/>
      </c>
      <c r="L63" s="53">
        <f>IF(K63="","",IF(K63&gt;=1,"Completado",IF(K63&gt;0,"En curso","Pendiente")))</f>
        <v/>
      </c>
      <c r="M63" s="54" t="n"/>
      <c r="N63" s="59">
        <f>IF(NOT((COUNTA($B63:$J63)+COUNTA($M63))&gt;0),"",IF((IF(B63="","Macroactividad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","")&amp;IF(ABS(SUM($F$5:$F$1000)-1)&gt;0.0001,"Pesos del puesto suman "&amp;TEXT(SUM($F$5:$F$1000),"0%")&amp;"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 OK","⚠ "&amp;LEFT(IF(B63="","Macroactividad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","")&amp;IF(ABS(SUM($F$5:$F$1000)-1)&gt;0.0001,"Pesos del puesto suman "&amp;TEXT(SUM($F$5:$F$1000),"0%")&amp;"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",""),LEN(IF(B63="","Macroactividad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","")&amp;IF(ABS(SUM($F$5:$F$1000)-1)&gt;0.0001,"Pesos del puesto suman "&amp;TEXT(SUM($F$5:$F$1000),"0%")&amp;"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",""))-3)))</f>
        <v/>
      </c>
    </row>
    <row r="64">
      <c r="A64" s="53">
        <f>IF(NOT((COUNTA($B64:$J64)+COUNTA($M64))&gt;0),"",COUNTIF($L$5:$L64,"?*"))</f>
        <v/>
      </c>
      <c r="B64" s="54" t="n"/>
      <c r="C64" s="54" t="n"/>
      <c r="D64" s="55" t="n"/>
      <c r="E64" s="55" t="n"/>
      <c r="F64" s="56" t="n"/>
      <c r="G64" s="57" t="n"/>
      <c r="H64" s="57" t="n"/>
      <c r="I64" s="57" t="n"/>
      <c r="J64" s="57" t="n"/>
      <c r="K64" s="58">
        <f>IF(NOT((COUNTA($B64:$J64)+COUNTA($M64))&gt;0),"",IFERROR(LOOKUP(2,1/(G64:J64&lt;&gt;""),G64:J64),0))</f>
        <v/>
      </c>
      <c r="L64" s="53">
        <f>IF(K64="","",IF(K64&gt;=1,"Completado",IF(K64&gt;0,"En curso","Pendiente")))</f>
        <v/>
      </c>
      <c r="M64" s="54" t="n"/>
      <c r="N64" s="59">
        <f>IF(NOT((COUNTA($B64:$J64)+COUNTA($M64))&gt;0),"",IF((IF(B64="","Macroactividad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","")&amp;IF(ABS(SUM($F$5:$F$1000)-1)&gt;0.0001,"Pesos del puesto suman "&amp;TEXT(SUM($F$5:$F$1000),"0%")&amp;"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 OK","⚠ "&amp;LEFT(IF(B64="","Macroactividad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","")&amp;IF(ABS(SUM($F$5:$F$1000)-1)&gt;0.0001,"Pesos del puesto suman "&amp;TEXT(SUM($F$5:$F$1000),"0%")&amp;"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",""),LEN(IF(B64="","Macroactividad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","")&amp;IF(ABS(SUM($F$5:$F$1000)-1)&gt;0.0001,"Pesos del puesto suman "&amp;TEXT(SUM($F$5:$F$1000),"0%")&amp;"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",""))-3)))</f>
        <v/>
      </c>
    </row>
    <row r="65">
      <c r="A65" s="53">
        <f>IF(NOT((COUNTA($B65:$J65)+COUNTA($M65))&gt;0),"",COUNTIF($L$5:$L65,"?*"))</f>
        <v/>
      </c>
      <c r="B65" s="54" t="n"/>
      <c r="C65" s="54" t="n"/>
      <c r="D65" s="55" t="n"/>
      <c r="E65" s="55" t="n"/>
      <c r="F65" s="56" t="n"/>
      <c r="G65" s="57" t="n"/>
      <c r="H65" s="57" t="n"/>
      <c r="I65" s="57" t="n"/>
      <c r="J65" s="57" t="n"/>
      <c r="K65" s="58">
        <f>IF(NOT((COUNTA($B65:$J65)+COUNTA($M65))&gt;0),"",IFERROR(LOOKUP(2,1/(G65:J65&lt;&gt;""),G65:J65),0))</f>
        <v/>
      </c>
      <c r="L65" s="53">
        <f>IF(K65="","",IF(K65&gt;=1,"Completado",IF(K65&gt;0,"En curso","Pendiente")))</f>
        <v/>
      </c>
      <c r="M65" s="54" t="n"/>
      <c r="N65" s="59">
        <f>IF(NOT((COUNTA($B65:$J65)+COUNTA($M65))&gt;0),"",IF((IF(B65="","Macroactividad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","")&amp;IF(ABS(SUM($F$5:$F$1000)-1)&gt;0.0001,"Pesos del puesto suman "&amp;TEXT(SUM($F$5:$F$1000),"0%")&amp;"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 OK","⚠ "&amp;LEFT(IF(B65="","Macroactividad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","")&amp;IF(ABS(SUM($F$5:$F$1000)-1)&gt;0.0001,"Pesos del puesto suman "&amp;TEXT(SUM($F$5:$F$1000),"0%")&amp;"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",""),LEN(IF(B65="","Macroactividad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","")&amp;IF(ABS(SUM($F$5:$F$1000)-1)&gt;0.0001,"Pesos del puesto suman "&amp;TEXT(SUM($F$5:$F$1000),"0%")&amp;"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",""))-3)))</f>
        <v/>
      </c>
    </row>
    <row r="66">
      <c r="A66" s="53">
        <f>IF(NOT((COUNTA($B66:$J66)+COUNTA($M66))&gt;0),"",COUNTIF($L$5:$L66,"?*"))</f>
        <v/>
      </c>
      <c r="B66" s="54" t="n"/>
      <c r="C66" s="54" t="n"/>
      <c r="D66" s="55" t="n"/>
      <c r="E66" s="55" t="n"/>
      <c r="F66" s="56" t="n"/>
      <c r="G66" s="57" t="n"/>
      <c r="H66" s="57" t="n"/>
      <c r="I66" s="57" t="n"/>
      <c r="J66" s="57" t="n"/>
      <c r="K66" s="58">
        <f>IF(NOT((COUNTA($B66:$J66)+COUNTA($M66))&gt;0),"",IFERROR(LOOKUP(2,1/(G66:J66&lt;&gt;""),G66:J66),0))</f>
        <v/>
      </c>
      <c r="L66" s="53">
        <f>IF(K66="","",IF(K66&gt;=1,"Completado",IF(K66&gt;0,"En curso","Pendiente")))</f>
        <v/>
      </c>
      <c r="M66" s="54" t="n"/>
      <c r="N66" s="59">
        <f>IF(NOT((COUNTA($B66:$J66)+COUNTA($M66))&gt;0),"",IF((IF(B66="","Macroactividad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","")&amp;IF(ABS(SUM($F$5:$F$1000)-1)&gt;0.0001,"Pesos del puesto suman "&amp;TEXT(SUM($F$5:$F$1000),"0%")&amp;"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 OK","⚠ "&amp;LEFT(IF(B66="","Macroactividad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","")&amp;IF(ABS(SUM($F$5:$F$1000)-1)&gt;0.0001,"Pesos del puesto suman "&amp;TEXT(SUM($F$5:$F$1000),"0%")&amp;"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",""),LEN(IF(B66="","Macroactividad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","")&amp;IF(ABS(SUM($F$5:$F$1000)-1)&gt;0.0001,"Pesos del puesto suman "&amp;TEXT(SUM($F$5:$F$1000),"0%")&amp;"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",""))-3)))</f>
        <v/>
      </c>
    </row>
    <row r="67">
      <c r="A67" s="53">
        <f>IF(NOT((COUNTA($B67:$J67)+COUNTA($M67))&gt;0),"",COUNTIF($L$5:$L67,"?*"))</f>
        <v/>
      </c>
      <c r="B67" s="54" t="n"/>
      <c r="C67" s="54" t="n"/>
      <c r="D67" s="55" t="n"/>
      <c r="E67" s="55" t="n"/>
      <c r="F67" s="56" t="n"/>
      <c r="G67" s="57" t="n"/>
      <c r="H67" s="57" t="n"/>
      <c r="I67" s="57" t="n"/>
      <c r="J67" s="57" t="n"/>
      <c r="K67" s="58">
        <f>IF(NOT((COUNTA($B67:$J67)+COUNTA($M67))&gt;0),"",IFERROR(LOOKUP(2,1/(G67:J67&lt;&gt;""),G67:J67),0))</f>
        <v/>
      </c>
      <c r="L67" s="53">
        <f>IF(K67="","",IF(K67&gt;=1,"Completado",IF(K67&gt;0,"En curso","Pendiente")))</f>
        <v/>
      </c>
      <c r="M67" s="54" t="n"/>
      <c r="N67" s="59">
        <f>IF(NOT((COUNTA($B67:$J67)+COUNTA($M67))&gt;0),"",IF((IF(B67="","Macroactividad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","")&amp;IF(ABS(SUM($F$5:$F$1000)-1)&gt;0.0001,"Pesos del puesto suman "&amp;TEXT(SUM($F$5:$F$1000),"0%")&amp;"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 OK","⚠ "&amp;LEFT(IF(B67="","Macroactividad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","")&amp;IF(ABS(SUM($F$5:$F$1000)-1)&gt;0.0001,"Pesos del puesto suman "&amp;TEXT(SUM($F$5:$F$1000),"0%")&amp;"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",""),LEN(IF(B67="","Macroactividad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","")&amp;IF(ABS(SUM($F$5:$F$1000)-1)&gt;0.0001,"Pesos del puesto suman "&amp;TEXT(SUM($F$5:$F$1000),"0%")&amp;"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",""))-3)))</f>
        <v/>
      </c>
    </row>
    <row r="68">
      <c r="A68" s="53">
        <f>IF(NOT((COUNTA($B68:$J68)+COUNTA($M68))&gt;0),"",COUNTIF($L$5:$L68,"?*"))</f>
        <v/>
      </c>
      <c r="B68" s="54" t="n"/>
      <c r="C68" s="54" t="n"/>
      <c r="D68" s="55" t="n"/>
      <c r="E68" s="55" t="n"/>
      <c r="F68" s="56" t="n"/>
      <c r="G68" s="57" t="n"/>
      <c r="H68" s="57" t="n"/>
      <c r="I68" s="57" t="n"/>
      <c r="J68" s="57" t="n"/>
      <c r="K68" s="58">
        <f>IF(NOT((COUNTA($B68:$J68)+COUNTA($M68))&gt;0),"",IFERROR(LOOKUP(2,1/(G68:J68&lt;&gt;""),G68:J68),0))</f>
        <v/>
      </c>
      <c r="L68" s="53">
        <f>IF(K68="","",IF(K68&gt;=1,"Completado",IF(K68&gt;0,"En curso","Pendiente")))</f>
        <v/>
      </c>
      <c r="M68" s="54" t="n"/>
      <c r="N68" s="59">
        <f>IF(NOT((COUNTA($B68:$J68)+COUNTA($M68))&gt;0),"",IF((IF(B68="","Macroactividad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","")&amp;IF(ABS(SUM($F$5:$F$1000)-1)&gt;0.0001,"Pesos del puesto suman "&amp;TEXT(SUM($F$5:$F$1000),"0%")&amp;"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 OK","⚠ "&amp;LEFT(IF(B68="","Macroactividad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","")&amp;IF(ABS(SUM($F$5:$F$1000)-1)&gt;0.0001,"Pesos del puesto suman "&amp;TEXT(SUM($F$5:$F$1000),"0%")&amp;"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",""),LEN(IF(B68="","Macroactividad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","")&amp;IF(ABS(SUM($F$5:$F$1000)-1)&gt;0.0001,"Pesos del puesto suman "&amp;TEXT(SUM($F$5:$F$1000),"0%")&amp;"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",""))-3)))</f>
        <v/>
      </c>
    </row>
    <row r="69">
      <c r="A69" s="53">
        <f>IF(NOT((COUNTA($B69:$J69)+COUNTA($M69))&gt;0),"",COUNTIF($L$5:$L69,"?*"))</f>
        <v/>
      </c>
      <c r="B69" s="54" t="n"/>
      <c r="C69" s="54" t="n"/>
      <c r="D69" s="55" t="n"/>
      <c r="E69" s="55" t="n"/>
      <c r="F69" s="56" t="n"/>
      <c r="G69" s="57" t="n"/>
      <c r="H69" s="57" t="n"/>
      <c r="I69" s="57" t="n"/>
      <c r="J69" s="57" t="n"/>
      <c r="K69" s="58">
        <f>IF(NOT((COUNTA($B69:$J69)+COUNTA($M69))&gt;0),"",IFERROR(LOOKUP(2,1/(G69:J69&lt;&gt;""),G69:J69),0))</f>
        <v/>
      </c>
      <c r="L69" s="53">
        <f>IF(K69="","",IF(K69&gt;=1,"Completado",IF(K69&gt;0,"En curso","Pendiente")))</f>
        <v/>
      </c>
      <c r="M69" s="54" t="n"/>
      <c r="N69" s="59">
        <f>IF(NOT((COUNTA($B69:$J69)+COUNTA($M69))&gt;0),"",IF((IF(B69="","Macroactividad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","")&amp;IF(ABS(SUM($F$5:$F$1000)-1)&gt;0.0001,"Pesos del puesto suman "&amp;TEXT(SUM($F$5:$F$1000),"0%")&amp;"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 OK","⚠ "&amp;LEFT(IF(B69="","Macroactividad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","")&amp;IF(ABS(SUM($F$5:$F$1000)-1)&gt;0.0001,"Pesos del puesto suman "&amp;TEXT(SUM($F$5:$F$1000),"0%")&amp;"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",""),LEN(IF(B69="","Macroactividad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","")&amp;IF(ABS(SUM($F$5:$F$1000)-1)&gt;0.0001,"Pesos del puesto suman "&amp;TEXT(SUM($F$5:$F$1000),"0%")&amp;"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",""))-3)))</f>
        <v/>
      </c>
    </row>
    <row r="70">
      <c r="A70" s="53">
        <f>IF(NOT((COUNTA($B70:$J70)+COUNTA($M70))&gt;0),"",COUNTIF($L$5:$L70,"?*"))</f>
        <v/>
      </c>
      <c r="B70" s="54" t="n"/>
      <c r="C70" s="54" t="n"/>
      <c r="D70" s="55" t="n"/>
      <c r="E70" s="55" t="n"/>
      <c r="F70" s="56" t="n"/>
      <c r="G70" s="57" t="n"/>
      <c r="H70" s="57" t="n"/>
      <c r="I70" s="57" t="n"/>
      <c r="J70" s="57" t="n"/>
      <c r="K70" s="58">
        <f>IF(NOT((COUNTA($B70:$J70)+COUNTA($M70))&gt;0),"",IFERROR(LOOKUP(2,1/(G70:J70&lt;&gt;""),G70:J70),0))</f>
        <v/>
      </c>
      <c r="L70" s="53">
        <f>IF(K70="","",IF(K70&gt;=1,"Completado",IF(K70&gt;0,"En curso","Pendiente")))</f>
        <v/>
      </c>
      <c r="M70" s="54" t="n"/>
      <c r="N70" s="59">
        <f>IF(NOT((COUNTA($B70:$J70)+COUNTA($M70))&gt;0),"",IF((IF(B70="","Macroactividad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","")&amp;IF(ABS(SUM($F$5:$F$1000)-1)&gt;0.0001,"Pesos del puesto suman "&amp;TEXT(SUM($F$5:$F$1000),"0%")&amp;"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 OK","⚠ "&amp;LEFT(IF(B70="","Macroactividad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","")&amp;IF(ABS(SUM($F$5:$F$1000)-1)&gt;0.0001,"Pesos del puesto suman "&amp;TEXT(SUM($F$5:$F$1000),"0%")&amp;"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",""),LEN(IF(B70="","Macroactividad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","")&amp;IF(ABS(SUM($F$5:$F$1000)-1)&gt;0.0001,"Pesos del puesto suman "&amp;TEXT(SUM($F$5:$F$1000),"0%")&amp;"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",""))-3)))</f>
        <v/>
      </c>
    </row>
    <row r="71">
      <c r="A71" s="53">
        <f>IF(NOT((COUNTA($B71:$J71)+COUNTA($M71))&gt;0),"",COUNTIF($L$5:$L71,"?*"))</f>
        <v/>
      </c>
      <c r="B71" s="54" t="n"/>
      <c r="C71" s="54" t="n"/>
      <c r="D71" s="55" t="n"/>
      <c r="E71" s="55" t="n"/>
      <c r="F71" s="56" t="n"/>
      <c r="G71" s="57" t="n"/>
      <c r="H71" s="57" t="n"/>
      <c r="I71" s="57" t="n"/>
      <c r="J71" s="57" t="n"/>
      <c r="K71" s="58">
        <f>IF(NOT((COUNTA($B71:$J71)+COUNTA($M71))&gt;0),"",IFERROR(LOOKUP(2,1/(G71:J71&lt;&gt;""),G71:J71),0))</f>
        <v/>
      </c>
      <c r="L71" s="53">
        <f>IF(K71="","",IF(K71&gt;=1,"Completado",IF(K71&gt;0,"En curso","Pendiente")))</f>
        <v/>
      </c>
      <c r="M71" s="54" t="n"/>
      <c r="N71" s="59">
        <f>IF(NOT((COUNTA($B71:$J71)+COUNTA($M71))&gt;0),"",IF((IF(B71="","Macroactividad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","")&amp;IF(ABS(SUM($F$5:$F$1000)-1)&gt;0.0001,"Pesos del puesto suman "&amp;TEXT(SUM($F$5:$F$1000),"0%")&amp;"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 OK","⚠ "&amp;LEFT(IF(B71="","Macroactividad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","")&amp;IF(ABS(SUM($F$5:$F$1000)-1)&gt;0.0001,"Pesos del puesto suman "&amp;TEXT(SUM($F$5:$F$1000),"0%")&amp;"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",""),LEN(IF(B71="","Macroactividad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","")&amp;IF(ABS(SUM($F$5:$F$1000)-1)&gt;0.0001,"Pesos del puesto suman "&amp;TEXT(SUM($F$5:$F$1000),"0%")&amp;"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",""))-3)))</f>
        <v/>
      </c>
    </row>
    <row r="72">
      <c r="A72" s="53">
        <f>IF(NOT((COUNTA($B72:$J72)+COUNTA($M72))&gt;0),"",COUNTIF($L$5:$L72,"?*"))</f>
        <v/>
      </c>
      <c r="B72" s="54" t="n"/>
      <c r="C72" s="54" t="n"/>
      <c r="D72" s="55" t="n"/>
      <c r="E72" s="55" t="n"/>
      <c r="F72" s="56" t="n"/>
      <c r="G72" s="57" t="n"/>
      <c r="H72" s="57" t="n"/>
      <c r="I72" s="57" t="n"/>
      <c r="J72" s="57" t="n"/>
      <c r="K72" s="58">
        <f>IF(NOT((COUNTA($B72:$J72)+COUNTA($M72))&gt;0),"",IFERROR(LOOKUP(2,1/(G72:J72&lt;&gt;""),G72:J72),0))</f>
        <v/>
      </c>
      <c r="L72" s="53">
        <f>IF(K72="","",IF(K72&gt;=1,"Completado",IF(K72&gt;0,"En curso","Pendiente")))</f>
        <v/>
      </c>
      <c r="M72" s="54" t="n"/>
      <c r="N72" s="59">
        <f>IF(NOT((COUNTA($B72:$J72)+COUNTA($M72))&gt;0),"",IF((IF(B72="","Macroactividad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","")&amp;IF(ABS(SUM($F$5:$F$1000)-1)&gt;0.0001,"Pesos del puesto suman "&amp;TEXT(SUM($F$5:$F$1000),"0%")&amp;"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 OK","⚠ "&amp;LEFT(IF(B72="","Macroactividad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","")&amp;IF(ABS(SUM($F$5:$F$1000)-1)&gt;0.0001,"Pesos del puesto suman "&amp;TEXT(SUM($F$5:$F$1000),"0%")&amp;"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",""),LEN(IF(B72="","Macroactividad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","")&amp;IF(ABS(SUM($F$5:$F$1000)-1)&gt;0.0001,"Pesos del puesto suman "&amp;TEXT(SUM($F$5:$F$1000),"0%")&amp;"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",""))-3)))</f>
        <v/>
      </c>
    </row>
    <row r="73">
      <c r="A73" s="53">
        <f>IF(NOT((COUNTA($B73:$J73)+COUNTA($M73))&gt;0),"",COUNTIF($L$5:$L73,"?*"))</f>
        <v/>
      </c>
      <c r="B73" s="54" t="n"/>
      <c r="C73" s="54" t="n"/>
      <c r="D73" s="55" t="n"/>
      <c r="E73" s="55" t="n"/>
      <c r="F73" s="56" t="n"/>
      <c r="G73" s="57" t="n"/>
      <c r="H73" s="57" t="n"/>
      <c r="I73" s="57" t="n"/>
      <c r="J73" s="57" t="n"/>
      <c r="K73" s="58">
        <f>IF(NOT((COUNTA($B73:$J73)+COUNTA($M73))&gt;0),"",IFERROR(LOOKUP(2,1/(G73:J73&lt;&gt;""),G73:J73),0))</f>
        <v/>
      </c>
      <c r="L73" s="53">
        <f>IF(K73="","",IF(K73&gt;=1,"Completado",IF(K73&gt;0,"En curso","Pendiente")))</f>
        <v/>
      </c>
      <c r="M73" s="54" t="n"/>
      <c r="N73" s="59">
        <f>IF(NOT((COUNTA($B73:$J73)+COUNTA($M73))&gt;0),"",IF((IF(B73="","Macroactividad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","")&amp;IF(ABS(SUM($F$5:$F$1000)-1)&gt;0.0001,"Pesos del puesto suman "&amp;TEXT(SUM($F$5:$F$1000),"0%")&amp;"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 OK","⚠ "&amp;LEFT(IF(B73="","Macroactividad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","")&amp;IF(ABS(SUM($F$5:$F$1000)-1)&gt;0.0001,"Pesos del puesto suman "&amp;TEXT(SUM($F$5:$F$1000),"0%")&amp;"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",""),LEN(IF(B73="","Macroactividad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","")&amp;IF(ABS(SUM($F$5:$F$1000)-1)&gt;0.0001,"Pesos del puesto suman "&amp;TEXT(SUM($F$5:$F$1000),"0%")&amp;"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",""))-3)))</f>
        <v/>
      </c>
    </row>
    <row r="74">
      <c r="A74" s="53">
        <f>IF(NOT((COUNTA($B74:$J74)+COUNTA($M74))&gt;0),"",COUNTIF($L$5:$L74,"?*"))</f>
        <v/>
      </c>
      <c r="B74" s="54" t="n"/>
      <c r="C74" s="54" t="n"/>
      <c r="D74" s="55" t="n"/>
      <c r="E74" s="55" t="n"/>
      <c r="F74" s="56" t="n"/>
      <c r="G74" s="57" t="n"/>
      <c r="H74" s="57" t="n"/>
      <c r="I74" s="57" t="n"/>
      <c r="J74" s="57" t="n"/>
      <c r="K74" s="58">
        <f>IF(NOT((COUNTA($B74:$J74)+COUNTA($M74))&gt;0),"",IFERROR(LOOKUP(2,1/(G74:J74&lt;&gt;""),G74:J74),0))</f>
        <v/>
      </c>
      <c r="L74" s="53">
        <f>IF(K74="","",IF(K74&gt;=1,"Completado",IF(K74&gt;0,"En curso","Pendiente")))</f>
        <v/>
      </c>
      <c r="M74" s="54" t="n"/>
      <c r="N74" s="59">
        <f>IF(NOT((COUNTA($B74:$J74)+COUNTA($M74))&gt;0),"",IF((IF(B74="","Macroactividad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","")&amp;IF(ABS(SUM($F$5:$F$1000)-1)&gt;0.0001,"Pesos del puesto suman "&amp;TEXT(SUM($F$5:$F$1000),"0%")&amp;"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 OK","⚠ "&amp;LEFT(IF(B74="","Macroactividad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","")&amp;IF(ABS(SUM($F$5:$F$1000)-1)&gt;0.0001,"Pesos del puesto suman "&amp;TEXT(SUM($F$5:$F$1000),"0%")&amp;"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",""),LEN(IF(B74="","Macroactividad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","")&amp;IF(ABS(SUM($F$5:$F$1000)-1)&gt;0.0001,"Pesos del puesto suman "&amp;TEXT(SUM($F$5:$F$1000),"0%")&amp;"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",""))-3)))</f>
        <v/>
      </c>
    </row>
    <row r="75">
      <c r="A75" s="53">
        <f>IF(NOT((COUNTA($B75:$J75)+COUNTA($M75))&gt;0),"",COUNTIF($L$5:$L75,"?*"))</f>
        <v/>
      </c>
      <c r="B75" s="54" t="n"/>
      <c r="C75" s="54" t="n"/>
      <c r="D75" s="55" t="n"/>
      <c r="E75" s="55" t="n"/>
      <c r="F75" s="56" t="n"/>
      <c r="G75" s="57" t="n"/>
      <c r="H75" s="57" t="n"/>
      <c r="I75" s="57" t="n"/>
      <c r="J75" s="57" t="n"/>
      <c r="K75" s="58">
        <f>IF(NOT((COUNTA($B75:$J75)+COUNTA($M75))&gt;0),"",IFERROR(LOOKUP(2,1/(G75:J75&lt;&gt;""),G75:J75),0))</f>
        <v/>
      </c>
      <c r="L75" s="53">
        <f>IF(K75="","",IF(K75&gt;=1,"Completado",IF(K75&gt;0,"En curso","Pendiente")))</f>
        <v/>
      </c>
      <c r="M75" s="54" t="n"/>
      <c r="N75" s="59">
        <f>IF(NOT((COUNTA($B75:$J75)+COUNTA($M75))&gt;0),"",IF((IF(B75="","Macroactividad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","")&amp;IF(ABS(SUM($F$5:$F$1000)-1)&gt;0.0001,"Pesos del puesto suman "&amp;TEXT(SUM($F$5:$F$1000),"0%")&amp;"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 OK","⚠ "&amp;LEFT(IF(B75="","Macroactividad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","")&amp;IF(ABS(SUM($F$5:$F$1000)-1)&gt;0.0001,"Pesos del puesto suman "&amp;TEXT(SUM($F$5:$F$1000),"0%")&amp;"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",""),LEN(IF(B75="","Macroactividad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","")&amp;IF(ABS(SUM($F$5:$F$1000)-1)&gt;0.0001,"Pesos del puesto suman "&amp;TEXT(SUM($F$5:$F$1000),"0%")&amp;"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",""))-3)))</f>
        <v/>
      </c>
    </row>
    <row r="76">
      <c r="A76" s="53">
        <f>IF(NOT((COUNTA($B76:$J76)+COUNTA($M76))&gt;0),"",COUNTIF($L$5:$L76,"?*"))</f>
        <v/>
      </c>
      <c r="B76" s="54" t="n"/>
      <c r="C76" s="54" t="n"/>
      <c r="D76" s="55" t="n"/>
      <c r="E76" s="55" t="n"/>
      <c r="F76" s="56" t="n"/>
      <c r="G76" s="57" t="n"/>
      <c r="H76" s="57" t="n"/>
      <c r="I76" s="57" t="n"/>
      <c r="J76" s="57" t="n"/>
      <c r="K76" s="58">
        <f>IF(NOT((COUNTA($B76:$J76)+COUNTA($M76))&gt;0),"",IFERROR(LOOKUP(2,1/(G76:J76&lt;&gt;""),G76:J76),0))</f>
        <v/>
      </c>
      <c r="L76" s="53">
        <f>IF(K76="","",IF(K76&gt;=1,"Completado",IF(K76&gt;0,"En curso","Pendiente")))</f>
        <v/>
      </c>
      <c r="M76" s="54" t="n"/>
      <c r="N76" s="59">
        <f>IF(NOT((COUNTA($B76:$J76)+COUNTA($M76))&gt;0),"",IF((IF(B76="","Macroactividad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","")&amp;IF(ABS(SUM($F$5:$F$1000)-1)&gt;0.0001,"Pesos del puesto suman "&amp;TEXT(SUM($F$5:$F$1000),"0%")&amp;"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 OK","⚠ "&amp;LEFT(IF(B76="","Macroactividad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","")&amp;IF(ABS(SUM($F$5:$F$1000)-1)&gt;0.0001,"Pesos del puesto suman "&amp;TEXT(SUM($F$5:$F$1000),"0%")&amp;"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",""),LEN(IF(B76="","Macroactividad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","")&amp;IF(ABS(SUM($F$5:$F$1000)-1)&gt;0.0001,"Pesos del puesto suman "&amp;TEXT(SUM($F$5:$F$1000),"0%")&amp;"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",""))-3)))</f>
        <v/>
      </c>
    </row>
    <row r="77">
      <c r="A77" s="53">
        <f>IF(NOT((COUNTA($B77:$J77)+COUNTA($M77))&gt;0),"",COUNTIF($L$5:$L77,"?*"))</f>
        <v/>
      </c>
      <c r="B77" s="54" t="n"/>
      <c r="C77" s="54" t="n"/>
      <c r="D77" s="55" t="n"/>
      <c r="E77" s="55" t="n"/>
      <c r="F77" s="56" t="n"/>
      <c r="G77" s="57" t="n"/>
      <c r="H77" s="57" t="n"/>
      <c r="I77" s="57" t="n"/>
      <c r="J77" s="57" t="n"/>
      <c r="K77" s="58">
        <f>IF(NOT((COUNTA($B77:$J77)+COUNTA($M77))&gt;0),"",IFERROR(LOOKUP(2,1/(G77:J77&lt;&gt;""),G77:J77),0))</f>
        <v/>
      </c>
      <c r="L77" s="53">
        <f>IF(K77="","",IF(K77&gt;=1,"Completado",IF(K77&gt;0,"En curso","Pendiente")))</f>
        <v/>
      </c>
      <c r="M77" s="54" t="n"/>
      <c r="N77" s="59">
        <f>IF(NOT((COUNTA($B77:$J77)+COUNTA($M77))&gt;0),"",IF((IF(B77="","Macroactividad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","")&amp;IF(ABS(SUM($F$5:$F$1000)-1)&gt;0.0001,"Pesos del puesto suman "&amp;TEXT(SUM($F$5:$F$1000),"0%")&amp;"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 OK","⚠ "&amp;LEFT(IF(B77="","Macroactividad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","")&amp;IF(ABS(SUM($F$5:$F$1000)-1)&gt;0.0001,"Pesos del puesto suman "&amp;TEXT(SUM($F$5:$F$1000),"0%")&amp;"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",""),LEN(IF(B77="","Macroactividad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","")&amp;IF(ABS(SUM($F$5:$F$1000)-1)&gt;0.0001,"Pesos del puesto suman "&amp;TEXT(SUM($F$5:$F$1000),"0%")&amp;"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",""))-3)))</f>
        <v/>
      </c>
    </row>
    <row r="78">
      <c r="A78" s="53">
        <f>IF(NOT((COUNTA($B78:$J78)+COUNTA($M78))&gt;0),"",COUNTIF($L$5:$L78,"?*"))</f>
        <v/>
      </c>
      <c r="B78" s="54" t="n"/>
      <c r="C78" s="54" t="n"/>
      <c r="D78" s="55" t="n"/>
      <c r="E78" s="55" t="n"/>
      <c r="F78" s="56" t="n"/>
      <c r="G78" s="57" t="n"/>
      <c r="H78" s="57" t="n"/>
      <c r="I78" s="57" t="n"/>
      <c r="J78" s="57" t="n"/>
      <c r="K78" s="58">
        <f>IF(NOT((COUNTA($B78:$J78)+COUNTA($M78))&gt;0),"",IFERROR(LOOKUP(2,1/(G78:J78&lt;&gt;""),G78:J78),0))</f>
        <v/>
      </c>
      <c r="L78" s="53">
        <f>IF(K78="","",IF(K78&gt;=1,"Completado",IF(K78&gt;0,"En curso","Pendiente")))</f>
        <v/>
      </c>
      <c r="M78" s="54" t="n"/>
      <c r="N78" s="59">
        <f>IF(NOT((COUNTA($B78:$J78)+COUNTA($M78))&gt;0),"",IF((IF(B78="","Macroactividad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","")&amp;IF(ABS(SUM($F$5:$F$1000)-1)&gt;0.0001,"Pesos del puesto suman "&amp;TEXT(SUM($F$5:$F$1000),"0%")&amp;"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 OK","⚠ "&amp;LEFT(IF(B78="","Macroactividad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","")&amp;IF(ABS(SUM($F$5:$F$1000)-1)&gt;0.0001,"Pesos del puesto suman "&amp;TEXT(SUM($F$5:$F$1000),"0%")&amp;"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",""),LEN(IF(B78="","Macroactividad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","")&amp;IF(ABS(SUM($F$5:$F$1000)-1)&gt;0.0001,"Pesos del puesto suman "&amp;TEXT(SUM($F$5:$F$1000),"0%")&amp;"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",""))-3)))</f>
        <v/>
      </c>
    </row>
    <row r="79">
      <c r="A79" s="53">
        <f>IF(NOT((COUNTA($B79:$J79)+COUNTA($M79))&gt;0),"",COUNTIF($L$5:$L79,"?*"))</f>
        <v/>
      </c>
      <c r="B79" s="54" t="n"/>
      <c r="C79" s="54" t="n"/>
      <c r="D79" s="55" t="n"/>
      <c r="E79" s="55" t="n"/>
      <c r="F79" s="56" t="n"/>
      <c r="G79" s="57" t="n"/>
      <c r="H79" s="57" t="n"/>
      <c r="I79" s="57" t="n"/>
      <c r="J79" s="57" t="n"/>
      <c r="K79" s="58">
        <f>IF(NOT((COUNTA($B79:$J79)+COUNTA($M79))&gt;0),"",IFERROR(LOOKUP(2,1/(G79:J79&lt;&gt;""),G79:J79),0))</f>
        <v/>
      </c>
      <c r="L79" s="53">
        <f>IF(K79="","",IF(K79&gt;=1,"Completado",IF(K79&gt;0,"En curso","Pendiente")))</f>
        <v/>
      </c>
      <c r="M79" s="54" t="n"/>
      <c r="N79" s="59">
        <f>IF(NOT((COUNTA($B79:$J79)+COUNTA($M79))&gt;0),"",IF((IF(B79="","Macroactividad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","")&amp;IF(ABS(SUM($F$5:$F$1000)-1)&gt;0.0001,"Pesos del puesto suman "&amp;TEXT(SUM($F$5:$F$1000),"0%")&amp;"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 OK","⚠ "&amp;LEFT(IF(B79="","Macroactividad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","")&amp;IF(ABS(SUM($F$5:$F$1000)-1)&gt;0.0001,"Pesos del puesto suman "&amp;TEXT(SUM($F$5:$F$1000),"0%")&amp;"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",""),LEN(IF(B79="","Macroactividad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","")&amp;IF(ABS(SUM($F$5:$F$1000)-1)&gt;0.0001,"Pesos del puesto suman "&amp;TEXT(SUM($F$5:$F$1000),"0%")&amp;"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",""))-3)))</f>
        <v/>
      </c>
    </row>
    <row r="80">
      <c r="A80" s="53">
        <f>IF(NOT((COUNTA($B80:$J80)+COUNTA($M80))&gt;0),"",COUNTIF($L$5:$L80,"?*"))</f>
        <v/>
      </c>
      <c r="B80" s="54" t="n"/>
      <c r="C80" s="54" t="n"/>
      <c r="D80" s="55" t="n"/>
      <c r="E80" s="55" t="n"/>
      <c r="F80" s="56" t="n"/>
      <c r="G80" s="57" t="n"/>
      <c r="H80" s="57" t="n"/>
      <c r="I80" s="57" t="n"/>
      <c r="J80" s="57" t="n"/>
      <c r="K80" s="58">
        <f>IF(NOT((COUNTA($B80:$J80)+COUNTA($M80))&gt;0),"",IFERROR(LOOKUP(2,1/(G80:J80&lt;&gt;""),G80:J80),0))</f>
        <v/>
      </c>
      <c r="L80" s="53">
        <f>IF(K80="","",IF(K80&gt;=1,"Completado",IF(K80&gt;0,"En curso","Pendiente")))</f>
        <v/>
      </c>
      <c r="M80" s="54" t="n"/>
      <c r="N80" s="59">
        <f>IF(NOT((COUNTA($B80:$J80)+COUNTA($M80))&gt;0),"",IF((IF(B80="","Macroactividad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","")&amp;IF(ABS(SUM($F$5:$F$1000)-1)&gt;0.0001,"Pesos del puesto suman "&amp;TEXT(SUM($F$5:$F$1000),"0%")&amp;"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 OK","⚠ "&amp;LEFT(IF(B80="","Macroactividad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","")&amp;IF(ABS(SUM($F$5:$F$1000)-1)&gt;0.0001,"Pesos del puesto suman "&amp;TEXT(SUM($F$5:$F$1000),"0%")&amp;"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",""),LEN(IF(B80="","Macroactividad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","")&amp;IF(ABS(SUM($F$5:$F$1000)-1)&gt;0.0001,"Pesos del puesto suman "&amp;TEXT(SUM($F$5:$F$1000),"0%")&amp;"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",""))-3)))</f>
        <v/>
      </c>
    </row>
    <row r="81">
      <c r="A81" s="53">
        <f>IF(NOT((COUNTA($B81:$J81)+COUNTA($M81))&gt;0),"",COUNTIF($L$5:$L81,"?*"))</f>
        <v/>
      </c>
      <c r="B81" s="54" t="n"/>
      <c r="C81" s="54" t="n"/>
      <c r="D81" s="55" t="n"/>
      <c r="E81" s="55" t="n"/>
      <c r="F81" s="56" t="n"/>
      <c r="G81" s="57" t="n"/>
      <c r="H81" s="57" t="n"/>
      <c r="I81" s="57" t="n"/>
      <c r="J81" s="57" t="n"/>
      <c r="K81" s="58">
        <f>IF(NOT((COUNTA($B81:$J81)+COUNTA($M81))&gt;0),"",IFERROR(LOOKUP(2,1/(G81:J81&lt;&gt;""),G81:J81),0))</f>
        <v/>
      </c>
      <c r="L81" s="53">
        <f>IF(K81="","",IF(K81&gt;=1,"Completado",IF(K81&gt;0,"En curso","Pendiente")))</f>
        <v/>
      </c>
      <c r="M81" s="54" t="n"/>
      <c r="N81" s="59">
        <f>IF(NOT((COUNTA($B81:$J81)+COUNTA($M81))&gt;0),"",IF((IF(B81="","Macroactividad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","")&amp;IF(ABS(SUM($F$5:$F$1000)-1)&gt;0.0001,"Pesos del puesto suman "&amp;TEXT(SUM($F$5:$F$1000),"0%")&amp;"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 OK","⚠ "&amp;LEFT(IF(B81="","Macroactividad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","")&amp;IF(ABS(SUM($F$5:$F$1000)-1)&gt;0.0001,"Pesos del puesto suman "&amp;TEXT(SUM($F$5:$F$1000),"0%")&amp;"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",""),LEN(IF(B81="","Macroactividad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","")&amp;IF(ABS(SUM($F$5:$F$1000)-1)&gt;0.0001,"Pesos del puesto suman "&amp;TEXT(SUM($F$5:$F$1000),"0%")&amp;"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",""))-3)))</f>
        <v/>
      </c>
    </row>
    <row r="82">
      <c r="A82" s="53">
        <f>IF(NOT((COUNTA($B82:$J82)+COUNTA($M82))&gt;0),"",COUNTIF($L$5:$L82,"?*"))</f>
        <v/>
      </c>
      <c r="B82" s="54" t="n"/>
      <c r="C82" s="54" t="n"/>
      <c r="D82" s="55" t="n"/>
      <c r="E82" s="55" t="n"/>
      <c r="F82" s="56" t="n"/>
      <c r="G82" s="57" t="n"/>
      <c r="H82" s="57" t="n"/>
      <c r="I82" s="57" t="n"/>
      <c r="J82" s="57" t="n"/>
      <c r="K82" s="58">
        <f>IF(NOT((COUNTA($B82:$J82)+COUNTA($M82))&gt;0),"",IFERROR(LOOKUP(2,1/(G82:J82&lt;&gt;""),G82:J82),0))</f>
        <v/>
      </c>
      <c r="L82" s="53">
        <f>IF(K82="","",IF(K82&gt;=1,"Completado",IF(K82&gt;0,"En curso","Pendiente")))</f>
        <v/>
      </c>
      <c r="M82" s="54" t="n"/>
      <c r="N82" s="59">
        <f>IF(NOT((COUNTA($B82:$J82)+COUNTA($M82))&gt;0),"",IF((IF(B82="","Macroactividad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","")&amp;IF(ABS(SUM($F$5:$F$1000)-1)&gt;0.0001,"Pesos del puesto suman "&amp;TEXT(SUM($F$5:$F$1000),"0%")&amp;"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 OK","⚠ "&amp;LEFT(IF(B82="","Macroactividad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","")&amp;IF(ABS(SUM($F$5:$F$1000)-1)&gt;0.0001,"Pesos del puesto suman "&amp;TEXT(SUM($F$5:$F$1000),"0%")&amp;"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",""),LEN(IF(B82="","Macroactividad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","")&amp;IF(ABS(SUM($F$5:$F$1000)-1)&gt;0.0001,"Pesos del puesto suman "&amp;TEXT(SUM($F$5:$F$1000),"0%")&amp;"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",""))-3)))</f>
        <v/>
      </c>
    </row>
    <row r="83">
      <c r="A83" s="53">
        <f>IF(NOT((COUNTA($B83:$J83)+COUNTA($M83))&gt;0),"",COUNTIF($L$5:$L83,"?*"))</f>
        <v/>
      </c>
      <c r="B83" s="54" t="n"/>
      <c r="C83" s="54" t="n"/>
      <c r="D83" s="55" t="n"/>
      <c r="E83" s="55" t="n"/>
      <c r="F83" s="56" t="n"/>
      <c r="G83" s="57" t="n"/>
      <c r="H83" s="57" t="n"/>
      <c r="I83" s="57" t="n"/>
      <c r="J83" s="57" t="n"/>
      <c r="K83" s="58">
        <f>IF(NOT((COUNTA($B83:$J83)+COUNTA($M83))&gt;0),"",IFERROR(LOOKUP(2,1/(G83:J83&lt;&gt;""),G83:J83),0))</f>
        <v/>
      </c>
      <c r="L83" s="53">
        <f>IF(K83="","",IF(K83&gt;=1,"Completado",IF(K83&gt;0,"En curso","Pendiente")))</f>
        <v/>
      </c>
      <c r="M83" s="54" t="n"/>
      <c r="N83" s="59">
        <f>IF(NOT((COUNTA($B83:$J83)+COUNTA($M83))&gt;0),"",IF((IF(B83="","Macroactividad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","")&amp;IF(ABS(SUM($F$5:$F$1000)-1)&gt;0.0001,"Pesos del puesto suman "&amp;TEXT(SUM($F$5:$F$1000),"0%")&amp;"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 OK","⚠ "&amp;LEFT(IF(B83="","Macroactividad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","")&amp;IF(ABS(SUM($F$5:$F$1000)-1)&gt;0.0001,"Pesos del puesto suman "&amp;TEXT(SUM($F$5:$F$1000),"0%")&amp;"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",""),LEN(IF(B83="","Macroactividad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","")&amp;IF(ABS(SUM($F$5:$F$1000)-1)&gt;0.0001,"Pesos del puesto suman "&amp;TEXT(SUM($F$5:$F$1000),"0%")&amp;"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",""))-3)))</f>
        <v/>
      </c>
    </row>
    <row r="84">
      <c r="A84" s="53">
        <f>IF(NOT((COUNTA($B84:$J84)+COUNTA($M84))&gt;0),"",COUNTIF($L$5:$L84,"?*"))</f>
        <v/>
      </c>
      <c r="B84" s="54" t="n"/>
      <c r="C84" s="54" t="n"/>
      <c r="D84" s="55" t="n"/>
      <c r="E84" s="55" t="n"/>
      <c r="F84" s="56" t="n"/>
      <c r="G84" s="57" t="n"/>
      <c r="H84" s="57" t="n"/>
      <c r="I84" s="57" t="n"/>
      <c r="J84" s="57" t="n"/>
      <c r="K84" s="58">
        <f>IF(NOT((COUNTA($B84:$J84)+COUNTA($M84))&gt;0),"",IFERROR(LOOKUP(2,1/(G84:J84&lt;&gt;""),G84:J84),0))</f>
        <v/>
      </c>
      <c r="L84" s="53">
        <f>IF(K84="","",IF(K84&gt;=1,"Completado",IF(K84&gt;0,"En curso","Pendiente")))</f>
        <v/>
      </c>
      <c r="M84" s="54" t="n"/>
      <c r="N84" s="59">
        <f>IF(NOT((COUNTA($B84:$J84)+COUNTA($M84))&gt;0),"",IF((IF(B84="","Macroactividad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","")&amp;IF(ABS(SUM($F$5:$F$1000)-1)&gt;0.0001,"Pesos del puesto suman "&amp;TEXT(SUM($F$5:$F$1000),"0%")&amp;"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 OK","⚠ "&amp;LEFT(IF(B84="","Macroactividad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","")&amp;IF(ABS(SUM($F$5:$F$1000)-1)&gt;0.0001,"Pesos del puesto suman "&amp;TEXT(SUM($F$5:$F$1000),"0%")&amp;"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",""),LEN(IF(B84="","Macroactividad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","")&amp;IF(ABS(SUM($F$5:$F$1000)-1)&gt;0.0001,"Pesos del puesto suman "&amp;TEXT(SUM($F$5:$F$1000),"0%")&amp;"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",""))-3)))</f>
        <v/>
      </c>
    </row>
    <row r="85">
      <c r="A85" s="53">
        <f>IF(NOT((COUNTA($B85:$J85)+COUNTA($M85))&gt;0),"",COUNTIF($L$5:$L85,"?*"))</f>
        <v/>
      </c>
      <c r="B85" s="54" t="n"/>
      <c r="C85" s="54" t="n"/>
      <c r="D85" s="55" t="n"/>
      <c r="E85" s="55" t="n"/>
      <c r="F85" s="56" t="n"/>
      <c r="G85" s="57" t="n"/>
      <c r="H85" s="57" t="n"/>
      <c r="I85" s="57" t="n"/>
      <c r="J85" s="57" t="n"/>
      <c r="K85" s="58">
        <f>IF(NOT((COUNTA($B85:$J85)+COUNTA($M85))&gt;0),"",IFERROR(LOOKUP(2,1/(G85:J85&lt;&gt;""),G85:J85),0))</f>
        <v/>
      </c>
      <c r="L85" s="53">
        <f>IF(K85="","",IF(K85&gt;=1,"Completado",IF(K85&gt;0,"En curso","Pendiente")))</f>
        <v/>
      </c>
      <c r="M85" s="54" t="n"/>
      <c r="N85" s="59">
        <f>IF(NOT((COUNTA($B85:$J85)+COUNTA($M85))&gt;0),"",IF((IF(B85="","Macroactividad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","")&amp;IF(ABS(SUM($F$5:$F$1000)-1)&gt;0.0001,"Pesos del puesto suman "&amp;TEXT(SUM($F$5:$F$1000),"0%")&amp;"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 OK","⚠ "&amp;LEFT(IF(B85="","Macroactividad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","")&amp;IF(ABS(SUM($F$5:$F$1000)-1)&gt;0.0001,"Pesos del puesto suman "&amp;TEXT(SUM($F$5:$F$1000),"0%")&amp;"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",""),LEN(IF(B85="","Macroactividad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","")&amp;IF(ABS(SUM($F$5:$F$1000)-1)&gt;0.0001,"Pesos del puesto suman "&amp;TEXT(SUM($F$5:$F$1000),"0%")&amp;"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",""))-3)))</f>
        <v/>
      </c>
    </row>
    <row r="86">
      <c r="A86" s="53">
        <f>IF(NOT((COUNTA($B86:$J86)+COUNTA($M86))&gt;0),"",COUNTIF($L$5:$L86,"?*"))</f>
        <v/>
      </c>
      <c r="B86" s="54" t="n"/>
      <c r="C86" s="54" t="n"/>
      <c r="D86" s="55" t="n"/>
      <c r="E86" s="55" t="n"/>
      <c r="F86" s="56" t="n"/>
      <c r="G86" s="57" t="n"/>
      <c r="H86" s="57" t="n"/>
      <c r="I86" s="57" t="n"/>
      <c r="J86" s="57" t="n"/>
      <c r="K86" s="58">
        <f>IF(NOT((COUNTA($B86:$J86)+COUNTA($M86))&gt;0),"",IFERROR(LOOKUP(2,1/(G86:J86&lt;&gt;""),G86:J86),0))</f>
        <v/>
      </c>
      <c r="L86" s="53">
        <f>IF(K86="","",IF(K86&gt;=1,"Completado",IF(K86&gt;0,"En curso","Pendiente")))</f>
        <v/>
      </c>
      <c r="M86" s="54" t="n"/>
      <c r="N86" s="59">
        <f>IF(NOT((COUNTA($B86:$J86)+COUNTA($M86))&gt;0),"",IF((IF(B86="","Macroactividad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","")&amp;IF(ABS(SUM($F$5:$F$1000)-1)&gt;0.0001,"Pesos del puesto suman "&amp;TEXT(SUM($F$5:$F$1000),"0%")&amp;"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 OK","⚠ "&amp;LEFT(IF(B86="","Macroactividad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","")&amp;IF(ABS(SUM($F$5:$F$1000)-1)&gt;0.0001,"Pesos del puesto suman "&amp;TEXT(SUM($F$5:$F$1000),"0%")&amp;"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",""),LEN(IF(B86="","Macroactividad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","")&amp;IF(ABS(SUM($F$5:$F$1000)-1)&gt;0.0001,"Pesos del puesto suman "&amp;TEXT(SUM($F$5:$F$1000),"0%")&amp;"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",""))-3)))</f>
        <v/>
      </c>
    </row>
    <row r="87">
      <c r="A87" s="53">
        <f>IF(NOT((COUNTA($B87:$J87)+COUNTA($M87))&gt;0),"",COUNTIF($L$5:$L87,"?*"))</f>
        <v/>
      </c>
      <c r="B87" s="54" t="n"/>
      <c r="C87" s="54" t="n"/>
      <c r="D87" s="55" t="n"/>
      <c r="E87" s="55" t="n"/>
      <c r="F87" s="56" t="n"/>
      <c r="G87" s="57" t="n"/>
      <c r="H87" s="57" t="n"/>
      <c r="I87" s="57" t="n"/>
      <c r="J87" s="57" t="n"/>
      <c r="K87" s="58">
        <f>IF(NOT((COUNTA($B87:$J87)+COUNTA($M87))&gt;0),"",IFERROR(LOOKUP(2,1/(G87:J87&lt;&gt;""),G87:J87),0))</f>
        <v/>
      </c>
      <c r="L87" s="53">
        <f>IF(K87="","",IF(K87&gt;=1,"Completado",IF(K87&gt;0,"En curso","Pendiente")))</f>
        <v/>
      </c>
      <c r="M87" s="54" t="n"/>
      <c r="N87" s="59">
        <f>IF(NOT((COUNTA($B87:$J87)+COUNTA($M87))&gt;0),"",IF((IF(B87="","Macroactividad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","")&amp;IF(ABS(SUM($F$5:$F$1000)-1)&gt;0.0001,"Pesos del puesto suman "&amp;TEXT(SUM($F$5:$F$1000),"0%")&amp;"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 OK","⚠ "&amp;LEFT(IF(B87="","Macroactividad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","")&amp;IF(ABS(SUM($F$5:$F$1000)-1)&gt;0.0001,"Pesos del puesto suman "&amp;TEXT(SUM($F$5:$F$1000),"0%")&amp;"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",""),LEN(IF(B87="","Macroactividad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","")&amp;IF(ABS(SUM($F$5:$F$1000)-1)&gt;0.0001,"Pesos del puesto suman "&amp;TEXT(SUM($F$5:$F$1000),"0%")&amp;"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",""))-3)))</f>
        <v/>
      </c>
    </row>
    <row r="88">
      <c r="A88" s="53">
        <f>IF(NOT((COUNTA($B88:$J88)+COUNTA($M88))&gt;0),"",COUNTIF($L$5:$L88,"?*"))</f>
        <v/>
      </c>
      <c r="B88" s="54" t="n"/>
      <c r="C88" s="54" t="n"/>
      <c r="D88" s="55" t="n"/>
      <c r="E88" s="55" t="n"/>
      <c r="F88" s="56" t="n"/>
      <c r="G88" s="57" t="n"/>
      <c r="H88" s="57" t="n"/>
      <c r="I88" s="57" t="n"/>
      <c r="J88" s="57" t="n"/>
      <c r="K88" s="58">
        <f>IF(NOT((COUNTA($B88:$J88)+COUNTA($M88))&gt;0),"",IFERROR(LOOKUP(2,1/(G88:J88&lt;&gt;""),G88:J88),0))</f>
        <v/>
      </c>
      <c r="L88" s="53">
        <f>IF(K88="","",IF(K88&gt;=1,"Completado",IF(K88&gt;0,"En curso","Pendiente")))</f>
        <v/>
      </c>
      <c r="M88" s="54" t="n"/>
      <c r="N88" s="59">
        <f>IF(NOT((COUNTA($B88:$J88)+COUNTA($M88))&gt;0),"",IF((IF(B88="","Macroactividad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","")&amp;IF(ABS(SUM($F$5:$F$1000)-1)&gt;0.0001,"Pesos del puesto suman "&amp;TEXT(SUM($F$5:$F$1000),"0%")&amp;"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 OK","⚠ "&amp;LEFT(IF(B88="","Macroactividad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","")&amp;IF(ABS(SUM($F$5:$F$1000)-1)&gt;0.0001,"Pesos del puesto suman "&amp;TEXT(SUM($F$5:$F$1000),"0%")&amp;"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",""),LEN(IF(B88="","Macroactividad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","")&amp;IF(ABS(SUM($F$5:$F$1000)-1)&gt;0.0001,"Pesos del puesto suman "&amp;TEXT(SUM($F$5:$F$1000),"0%")&amp;"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",""))-3)))</f>
        <v/>
      </c>
    </row>
    <row r="89">
      <c r="A89" s="53">
        <f>IF(NOT((COUNTA($B89:$J89)+COUNTA($M89))&gt;0),"",COUNTIF($L$5:$L89,"?*"))</f>
        <v/>
      </c>
      <c r="B89" s="54" t="n"/>
      <c r="C89" s="54" t="n"/>
      <c r="D89" s="55" t="n"/>
      <c r="E89" s="55" t="n"/>
      <c r="F89" s="56" t="n"/>
      <c r="G89" s="57" t="n"/>
      <c r="H89" s="57" t="n"/>
      <c r="I89" s="57" t="n"/>
      <c r="J89" s="57" t="n"/>
      <c r="K89" s="58">
        <f>IF(NOT((COUNTA($B89:$J89)+COUNTA($M89))&gt;0),"",IFERROR(LOOKUP(2,1/(G89:J89&lt;&gt;""),G89:J89),0))</f>
        <v/>
      </c>
      <c r="L89" s="53">
        <f>IF(K89="","",IF(K89&gt;=1,"Completado",IF(K89&gt;0,"En curso","Pendiente")))</f>
        <v/>
      </c>
      <c r="M89" s="54" t="n"/>
      <c r="N89" s="59">
        <f>IF(NOT((COUNTA($B89:$J89)+COUNTA($M89))&gt;0),"",IF((IF(B89="","Macroactividad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","")&amp;IF(ABS(SUM($F$5:$F$1000)-1)&gt;0.0001,"Pesos del puesto suman "&amp;TEXT(SUM($F$5:$F$1000),"0%")&amp;"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 OK","⚠ "&amp;LEFT(IF(B89="","Macroactividad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","")&amp;IF(ABS(SUM($F$5:$F$1000)-1)&gt;0.0001,"Pesos del puesto suman "&amp;TEXT(SUM($F$5:$F$1000),"0%")&amp;"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",""),LEN(IF(B89="","Macroactividad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","")&amp;IF(ABS(SUM($F$5:$F$1000)-1)&gt;0.0001,"Pesos del puesto suman "&amp;TEXT(SUM($F$5:$F$1000),"0%")&amp;"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",""))-3)))</f>
        <v/>
      </c>
    </row>
    <row r="90">
      <c r="A90" s="53">
        <f>IF(NOT((COUNTA($B90:$J90)+COUNTA($M90))&gt;0),"",COUNTIF($L$5:$L90,"?*"))</f>
        <v/>
      </c>
      <c r="B90" s="54" t="n"/>
      <c r="C90" s="54" t="n"/>
      <c r="D90" s="55" t="n"/>
      <c r="E90" s="55" t="n"/>
      <c r="F90" s="56" t="n"/>
      <c r="G90" s="57" t="n"/>
      <c r="H90" s="57" t="n"/>
      <c r="I90" s="57" t="n"/>
      <c r="J90" s="57" t="n"/>
      <c r="K90" s="58">
        <f>IF(NOT((COUNTA($B90:$J90)+COUNTA($M90))&gt;0),"",IFERROR(LOOKUP(2,1/(G90:J90&lt;&gt;""),G90:J90),0))</f>
        <v/>
      </c>
      <c r="L90" s="53">
        <f>IF(K90="","",IF(K90&gt;=1,"Completado",IF(K90&gt;0,"En curso","Pendiente")))</f>
        <v/>
      </c>
      <c r="M90" s="54" t="n"/>
      <c r="N90" s="59">
        <f>IF(NOT((COUNTA($B90:$J90)+COUNTA($M90))&gt;0),"",IF((IF(B90="","Macroactividad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","")&amp;IF(ABS(SUM($F$5:$F$1000)-1)&gt;0.0001,"Pesos del puesto suman "&amp;TEXT(SUM($F$5:$F$1000),"0%")&amp;"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 OK","⚠ "&amp;LEFT(IF(B90="","Macroactividad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","")&amp;IF(ABS(SUM($F$5:$F$1000)-1)&gt;0.0001,"Pesos del puesto suman "&amp;TEXT(SUM($F$5:$F$1000),"0%")&amp;"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",""),LEN(IF(B90="","Macroactividad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","")&amp;IF(ABS(SUM($F$5:$F$1000)-1)&gt;0.0001,"Pesos del puesto suman "&amp;TEXT(SUM($F$5:$F$1000),"0%")&amp;"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",""))-3)))</f>
        <v/>
      </c>
    </row>
    <row r="91">
      <c r="A91" s="53">
        <f>IF(NOT((COUNTA($B91:$J91)+COUNTA($M91))&gt;0),"",COUNTIF($L$5:$L91,"?*"))</f>
        <v/>
      </c>
      <c r="B91" s="54" t="n"/>
      <c r="C91" s="54" t="n"/>
      <c r="D91" s="55" t="n"/>
      <c r="E91" s="55" t="n"/>
      <c r="F91" s="56" t="n"/>
      <c r="G91" s="57" t="n"/>
      <c r="H91" s="57" t="n"/>
      <c r="I91" s="57" t="n"/>
      <c r="J91" s="57" t="n"/>
      <c r="K91" s="58">
        <f>IF(NOT((COUNTA($B91:$J91)+COUNTA($M91))&gt;0),"",IFERROR(LOOKUP(2,1/(G91:J91&lt;&gt;""),G91:J91),0))</f>
        <v/>
      </c>
      <c r="L91" s="53">
        <f>IF(K91="","",IF(K91&gt;=1,"Completado",IF(K91&gt;0,"En curso","Pendiente")))</f>
        <v/>
      </c>
      <c r="M91" s="54" t="n"/>
      <c r="N91" s="59">
        <f>IF(NOT((COUNTA($B91:$J91)+COUNTA($M91))&gt;0),"",IF((IF(B91="","Macroactividad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","")&amp;IF(ABS(SUM($F$5:$F$1000)-1)&gt;0.0001,"Pesos del puesto suman "&amp;TEXT(SUM($F$5:$F$1000),"0%")&amp;"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 OK","⚠ "&amp;LEFT(IF(B91="","Macroactividad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","")&amp;IF(ABS(SUM($F$5:$F$1000)-1)&gt;0.0001,"Pesos del puesto suman "&amp;TEXT(SUM($F$5:$F$1000),"0%")&amp;"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",""),LEN(IF(B91="","Macroactividad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","")&amp;IF(ABS(SUM($F$5:$F$1000)-1)&gt;0.0001,"Pesos del puesto suman "&amp;TEXT(SUM($F$5:$F$1000),"0%")&amp;"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",""))-3)))</f>
        <v/>
      </c>
    </row>
    <row r="92">
      <c r="A92" s="53">
        <f>IF(NOT((COUNTA($B92:$J92)+COUNTA($M92))&gt;0),"",COUNTIF($L$5:$L92,"?*"))</f>
        <v/>
      </c>
      <c r="B92" s="54" t="n"/>
      <c r="C92" s="54" t="n"/>
      <c r="D92" s="55" t="n"/>
      <c r="E92" s="55" t="n"/>
      <c r="F92" s="56" t="n"/>
      <c r="G92" s="57" t="n"/>
      <c r="H92" s="57" t="n"/>
      <c r="I92" s="57" t="n"/>
      <c r="J92" s="57" t="n"/>
      <c r="K92" s="58">
        <f>IF(NOT((COUNTA($B92:$J92)+COUNTA($M92))&gt;0),"",IFERROR(LOOKUP(2,1/(G92:J92&lt;&gt;""),G92:J92),0))</f>
        <v/>
      </c>
      <c r="L92" s="53">
        <f>IF(K92="","",IF(K92&gt;=1,"Completado",IF(K92&gt;0,"En curso","Pendiente")))</f>
        <v/>
      </c>
      <c r="M92" s="54" t="n"/>
      <c r="N92" s="59">
        <f>IF(NOT((COUNTA($B92:$J92)+COUNTA($M92))&gt;0),"",IF((IF(B92="","Macroactividad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","")&amp;IF(ABS(SUM($F$5:$F$1000)-1)&gt;0.0001,"Pesos del puesto suman "&amp;TEXT(SUM($F$5:$F$1000),"0%")&amp;"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 OK","⚠ "&amp;LEFT(IF(B92="","Macroactividad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","")&amp;IF(ABS(SUM($F$5:$F$1000)-1)&gt;0.0001,"Pesos del puesto suman "&amp;TEXT(SUM($F$5:$F$1000),"0%")&amp;"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",""),LEN(IF(B92="","Macroactividad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","")&amp;IF(ABS(SUM($F$5:$F$1000)-1)&gt;0.0001,"Pesos del puesto suman "&amp;TEXT(SUM($F$5:$F$1000),"0%")&amp;"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",""))-3)))</f>
        <v/>
      </c>
    </row>
    <row r="93">
      <c r="A93" s="53">
        <f>IF(NOT((COUNTA($B93:$J93)+COUNTA($M93))&gt;0),"",COUNTIF($L$5:$L93,"?*"))</f>
        <v/>
      </c>
      <c r="B93" s="54" t="n"/>
      <c r="C93" s="54" t="n"/>
      <c r="D93" s="55" t="n"/>
      <c r="E93" s="55" t="n"/>
      <c r="F93" s="56" t="n"/>
      <c r="G93" s="57" t="n"/>
      <c r="H93" s="57" t="n"/>
      <c r="I93" s="57" t="n"/>
      <c r="J93" s="57" t="n"/>
      <c r="K93" s="58">
        <f>IF(NOT((COUNTA($B93:$J93)+COUNTA($M93))&gt;0),"",IFERROR(LOOKUP(2,1/(G93:J93&lt;&gt;""),G93:J93),0))</f>
        <v/>
      </c>
      <c r="L93" s="53">
        <f>IF(K93="","",IF(K93&gt;=1,"Completado",IF(K93&gt;0,"En curso","Pendiente")))</f>
        <v/>
      </c>
      <c r="M93" s="54" t="n"/>
      <c r="N93" s="59">
        <f>IF(NOT((COUNTA($B93:$J93)+COUNTA($M93))&gt;0),"",IF((IF(B93="","Macroactividad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","")&amp;IF(ABS(SUM($F$5:$F$1000)-1)&gt;0.0001,"Pesos del puesto suman "&amp;TEXT(SUM($F$5:$F$1000),"0%")&amp;"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 OK","⚠ "&amp;LEFT(IF(B93="","Macroactividad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","")&amp;IF(ABS(SUM($F$5:$F$1000)-1)&gt;0.0001,"Pesos del puesto suman "&amp;TEXT(SUM($F$5:$F$1000),"0%")&amp;"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",""),LEN(IF(B93="","Macroactividad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","")&amp;IF(ABS(SUM($F$5:$F$1000)-1)&gt;0.0001,"Pesos del puesto suman "&amp;TEXT(SUM($F$5:$F$1000),"0%")&amp;"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",""))-3)))</f>
        <v/>
      </c>
    </row>
    <row r="94">
      <c r="A94" s="53">
        <f>IF(NOT((COUNTA($B94:$J94)+COUNTA($M94))&gt;0),"",COUNTIF($L$5:$L94,"?*"))</f>
        <v/>
      </c>
      <c r="B94" s="54" t="n"/>
      <c r="C94" s="54" t="n"/>
      <c r="D94" s="55" t="n"/>
      <c r="E94" s="55" t="n"/>
      <c r="F94" s="56" t="n"/>
      <c r="G94" s="57" t="n"/>
      <c r="H94" s="57" t="n"/>
      <c r="I94" s="57" t="n"/>
      <c r="J94" s="57" t="n"/>
      <c r="K94" s="58">
        <f>IF(NOT((COUNTA($B94:$J94)+COUNTA($M94))&gt;0),"",IFERROR(LOOKUP(2,1/(G94:J94&lt;&gt;""),G94:J94),0))</f>
        <v/>
      </c>
      <c r="L94" s="53">
        <f>IF(K94="","",IF(K94&gt;=1,"Completado",IF(K94&gt;0,"En curso","Pendiente")))</f>
        <v/>
      </c>
      <c r="M94" s="54" t="n"/>
      <c r="N94" s="59">
        <f>IF(NOT((COUNTA($B94:$J94)+COUNTA($M94))&gt;0),"",IF((IF(B94="","Macroactividad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","")&amp;IF(ABS(SUM($F$5:$F$1000)-1)&gt;0.0001,"Pesos del puesto suman "&amp;TEXT(SUM($F$5:$F$1000),"0%")&amp;"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 OK","⚠ "&amp;LEFT(IF(B94="","Macroactividad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","")&amp;IF(ABS(SUM($F$5:$F$1000)-1)&gt;0.0001,"Pesos del puesto suman "&amp;TEXT(SUM($F$5:$F$1000),"0%")&amp;"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",""),LEN(IF(B94="","Macroactividad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","")&amp;IF(ABS(SUM($F$5:$F$1000)-1)&gt;0.0001,"Pesos del puesto suman "&amp;TEXT(SUM($F$5:$F$1000),"0%")&amp;"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",""))-3)))</f>
        <v/>
      </c>
    </row>
    <row r="95">
      <c r="A95" s="53">
        <f>IF(NOT((COUNTA($B95:$J95)+COUNTA($M95))&gt;0),"",COUNTIF($L$5:$L95,"?*"))</f>
        <v/>
      </c>
      <c r="B95" s="54" t="n"/>
      <c r="C95" s="54" t="n"/>
      <c r="D95" s="55" t="n"/>
      <c r="E95" s="55" t="n"/>
      <c r="F95" s="56" t="n"/>
      <c r="G95" s="57" t="n"/>
      <c r="H95" s="57" t="n"/>
      <c r="I95" s="57" t="n"/>
      <c r="J95" s="57" t="n"/>
      <c r="K95" s="58">
        <f>IF(NOT((COUNTA($B95:$J95)+COUNTA($M95))&gt;0),"",IFERROR(LOOKUP(2,1/(G95:J95&lt;&gt;""),G95:J95),0))</f>
        <v/>
      </c>
      <c r="L95" s="53">
        <f>IF(K95="","",IF(K95&gt;=1,"Completado",IF(K95&gt;0,"En curso","Pendiente")))</f>
        <v/>
      </c>
      <c r="M95" s="54" t="n"/>
      <c r="N95" s="59">
        <f>IF(NOT((COUNTA($B95:$J95)+COUNTA($M95))&gt;0),"",IF((IF(B95="","Macroactividad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","")&amp;IF(ABS(SUM($F$5:$F$1000)-1)&gt;0.0001,"Pesos del puesto suman "&amp;TEXT(SUM($F$5:$F$1000),"0%")&amp;"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 OK","⚠ "&amp;LEFT(IF(B95="","Macroactividad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","")&amp;IF(ABS(SUM($F$5:$F$1000)-1)&gt;0.0001,"Pesos del puesto suman "&amp;TEXT(SUM($F$5:$F$1000),"0%")&amp;"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",""),LEN(IF(B95="","Macroactividad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","")&amp;IF(ABS(SUM($F$5:$F$1000)-1)&gt;0.0001,"Pesos del puesto suman "&amp;TEXT(SUM($F$5:$F$1000),"0%")&amp;"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",""))-3)))</f>
        <v/>
      </c>
    </row>
    <row r="96">
      <c r="A96" s="53">
        <f>IF(NOT((COUNTA($B96:$J96)+COUNTA($M96))&gt;0),"",COUNTIF($L$5:$L96,"?*"))</f>
        <v/>
      </c>
      <c r="B96" s="54" t="n"/>
      <c r="C96" s="54" t="n"/>
      <c r="D96" s="55" t="n"/>
      <c r="E96" s="55" t="n"/>
      <c r="F96" s="56" t="n"/>
      <c r="G96" s="57" t="n"/>
      <c r="H96" s="57" t="n"/>
      <c r="I96" s="57" t="n"/>
      <c r="J96" s="57" t="n"/>
      <c r="K96" s="58">
        <f>IF(NOT((COUNTA($B96:$J96)+COUNTA($M96))&gt;0),"",IFERROR(LOOKUP(2,1/(G96:J96&lt;&gt;""),G96:J96),0))</f>
        <v/>
      </c>
      <c r="L96" s="53">
        <f>IF(K96="","",IF(K96&gt;=1,"Completado",IF(K96&gt;0,"En curso","Pendiente")))</f>
        <v/>
      </c>
      <c r="M96" s="54" t="n"/>
      <c r="N96" s="59">
        <f>IF(NOT((COUNTA($B96:$J96)+COUNTA($M96))&gt;0),"",IF((IF(B96="","Macroactividad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","")&amp;IF(ABS(SUM($F$5:$F$1000)-1)&gt;0.0001,"Pesos del puesto suman "&amp;TEXT(SUM($F$5:$F$1000),"0%")&amp;"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 OK","⚠ "&amp;LEFT(IF(B96="","Macroactividad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","")&amp;IF(ABS(SUM($F$5:$F$1000)-1)&gt;0.0001,"Pesos del puesto suman "&amp;TEXT(SUM($F$5:$F$1000),"0%")&amp;"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",""),LEN(IF(B96="","Macroactividad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","")&amp;IF(ABS(SUM($F$5:$F$1000)-1)&gt;0.0001,"Pesos del puesto suman "&amp;TEXT(SUM($F$5:$F$1000),"0%")&amp;"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",""))-3)))</f>
        <v/>
      </c>
    </row>
    <row r="97">
      <c r="A97" s="53">
        <f>IF(NOT((COUNTA($B97:$J97)+COUNTA($M97))&gt;0),"",COUNTIF($L$5:$L97,"?*"))</f>
        <v/>
      </c>
      <c r="B97" s="54" t="n"/>
      <c r="C97" s="54" t="n"/>
      <c r="D97" s="55" t="n"/>
      <c r="E97" s="55" t="n"/>
      <c r="F97" s="56" t="n"/>
      <c r="G97" s="57" t="n"/>
      <c r="H97" s="57" t="n"/>
      <c r="I97" s="57" t="n"/>
      <c r="J97" s="57" t="n"/>
      <c r="K97" s="58">
        <f>IF(NOT((COUNTA($B97:$J97)+COUNTA($M97))&gt;0),"",IFERROR(LOOKUP(2,1/(G97:J97&lt;&gt;""),G97:J97),0))</f>
        <v/>
      </c>
      <c r="L97" s="53">
        <f>IF(K97="","",IF(K97&gt;=1,"Completado",IF(K97&gt;0,"En curso","Pendiente")))</f>
        <v/>
      </c>
      <c r="M97" s="54" t="n"/>
      <c r="N97" s="59">
        <f>IF(NOT((COUNTA($B97:$J97)+COUNTA($M97))&gt;0),"",IF((IF(B97="","Macroactividad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","")&amp;IF(ABS(SUM($F$5:$F$1000)-1)&gt;0.0001,"Pesos del puesto suman "&amp;TEXT(SUM($F$5:$F$1000),"0%")&amp;"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 OK","⚠ "&amp;LEFT(IF(B97="","Macroactividad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","")&amp;IF(ABS(SUM($F$5:$F$1000)-1)&gt;0.0001,"Pesos del puesto suman "&amp;TEXT(SUM($F$5:$F$1000),"0%")&amp;"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",""),LEN(IF(B97="","Macroactividad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","")&amp;IF(ABS(SUM($F$5:$F$1000)-1)&gt;0.0001,"Pesos del puesto suman "&amp;TEXT(SUM($F$5:$F$1000),"0%")&amp;"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",""))-3)))</f>
        <v/>
      </c>
    </row>
    <row r="98">
      <c r="A98" s="53">
        <f>IF(NOT((COUNTA($B98:$J98)+COUNTA($M98))&gt;0),"",COUNTIF($L$5:$L98,"?*"))</f>
        <v/>
      </c>
      <c r="B98" s="54" t="n"/>
      <c r="C98" s="54" t="n"/>
      <c r="D98" s="55" t="n"/>
      <c r="E98" s="55" t="n"/>
      <c r="F98" s="56" t="n"/>
      <c r="G98" s="57" t="n"/>
      <c r="H98" s="57" t="n"/>
      <c r="I98" s="57" t="n"/>
      <c r="J98" s="57" t="n"/>
      <c r="K98" s="58">
        <f>IF(NOT((COUNTA($B98:$J98)+COUNTA($M98))&gt;0),"",IFERROR(LOOKUP(2,1/(G98:J98&lt;&gt;""),G98:J98),0))</f>
        <v/>
      </c>
      <c r="L98" s="53">
        <f>IF(K98="","",IF(K98&gt;=1,"Completado",IF(K98&gt;0,"En curso","Pendiente")))</f>
        <v/>
      </c>
      <c r="M98" s="54" t="n"/>
      <c r="N98" s="59">
        <f>IF(NOT((COUNTA($B98:$J98)+COUNTA($M98))&gt;0),"",IF((IF(B98="","Macroactividad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","")&amp;IF(ABS(SUM($F$5:$F$1000)-1)&gt;0.0001,"Pesos del puesto suman "&amp;TEXT(SUM($F$5:$F$1000),"0%")&amp;"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 OK","⚠ "&amp;LEFT(IF(B98="","Macroactividad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","")&amp;IF(ABS(SUM($F$5:$F$1000)-1)&gt;0.0001,"Pesos del puesto suman "&amp;TEXT(SUM($F$5:$F$1000),"0%")&amp;"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",""),LEN(IF(B98="","Macroactividad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","")&amp;IF(ABS(SUM($F$5:$F$1000)-1)&gt;0.0001,"Pesos del puesto suman "&amp;TEXT(SUM($F$5:$F$1000),"0%")&amp;"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",""))-3)))</f>
        <v/>
      </c>
    </row>
    <row r="99">
      <c r="A99" s="53">
        <f>IF(NOT((COUNTA($B99:$J99)+COUNTA($M99))&gt;0),"",COUNTIF($L$5:$L99,"?*"))</f>
        <v/>
      </c>
      <c r="B99" s="54" t="n"/>
      <c r="C99" s="54" t="n"/>
      <c r="D99" s="55" t="n"/>
      <c r="E99" s="55" t="n"/>
      <c r="F99" s="56" t="n"/>
      <c r="G99" s="57" t="n"/>
      <c r="H99" s="57" t="n"/>
      <c r="I99" s="57" t="n"/>
      <c r="J99" s="57" t="n"/>
      <c r="K99" s="58">
        <f>IF(NOT((COUNTA($B99:$J99)+COUNTA($M99))&gt;0),"",IFERROR(LOOKUP(2,1/(G99:J99&lt;&gt;""),G99:J99),0))</f>
        <v/>
      </c>
      <c r="L99" s="53">
        <f>IF(K99="","",IF(K99&gt;=1,"Completado",IF(K99&gt;0,"En curso","Pendiente")))</f>
        <v/>
      </c>
      <c r="M99" s="54" t="n"/>
      <c r="N99" s="59">
        <f>IF(NOT((COUNTA($B99:$J99)+COUNTA($M99))&gt;0),"",IF((IF(B99="","Macroactividad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","")&amp;IF(ABS(SUM($F$5:$F$1000)-1)&gt;0.0001,"Pesos del puesto suman "&amp;TEXT(SUM($F$5:$F$1000),"0%")&amp;"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 OK","⚠ "&amp;LEFT(IF(B99="","Macroactividad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","")&amp;IF(ABS(SUM($F$5:$F$1000)-1)&gt;0.0001,"Pesos del puesto suman "&amp;TEXT(SUM($F$5:$F$1000),"0%")&amp;"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",""),LEN(IF(B99="","Macroactividad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","")&amp;IF(ABS(SUM($F$5:$F$1000)-1)&gt;0.0001,"Pesos del puesto suman "&amp;TEXT(SUM($F$5:$F$1000),"0%")&amp;"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",""))-3)))</f>
        <v/>
      </c>
    </row>
    <row r="100">
      <c r="A100" s="53">
        <f>IF(NOT((COUNTA($B100:$J100)+COUNTA($M100))&gt;0),"",COUNTIF($L$5:$L100,"?*"))</f>
        <v/>
      </c>
      <c r="B100" s="54" t="n"/>
      <c r="C100" s="54" t="n"/>
      <c r="D100" s="55" t="n"/>
      <c r="E100" s="55" t="n"/>
      <c r="F100" s="56" t="n"/>
      <c r="G100" s="57" t="n"/>
      <c r="H100" s="57" t="n"/>
      <c r="I100" s="57" t="n"/>
      <c r="J100" s="57" t="n"/>
      <c r="K100" s="58">
        <f>IF(NOT((COUNTA($B100:$J100)+COUNTA($M100))&gt;0),"",IFERROR(LOOKUP(2,1/(G100:J100&lt;&gt;""),G100:J100),0))</f>
        <v/>
      </c>
      <c r="L100" s="53">
        <f>IF(K100="","",IF(K100&gt;=1,"Completado",IF(K100&gt;0,"En curso","Pendiente")))</f>
        <v/>
      </c>
      <c r="M100" s="54" t="n"/>
      <c r="N100" s="59">
        <f>IF(NOT((COUNTA($B100:$J100)+COUNTA($M100))&gt;0),"",IF((IF(B100="","Macroactividad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","")&amp;IF(ABS(SUM($F$5:$F$1000)-1)&gt;0.0001,"Pesos del puesto suman "&amp;TEXT(SUM($F$5:$F$1000),"0%")&amp;"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 OK","⚠ "&amp;LEFT(IF(B100="","Macroactividad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","")&amp;IF(ABS(SUM($F$5:$F$1000)-1)&gt;0.0001,"Pesos del puesto suman "&amp;TEXT(SUM($F$5:$F$1000),"0%")&amp;"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",""),LEN(IF(B100="","Macroactividad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","")&amp;IF(ABS(SUM($F$5:$F$1000)-1)&gt;0.0001,"Pesos del puesto suman "&amp;TEXT(SUM($F$5:$F$1000),"0%")&amp;"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",""))-3)))</f>
        <v/>
      </c>
    </row>
    <row r="101">
      <c r="A101" s="53">
        <f>IF(NOT((COUNTA($B101:$J101)+COUNTA($M101))&gt;0),"",COUNTIF($L$5:$L101,"?*"))</f>
        <v/>
      </c>
      <c r="B101" s="54" t="n"/>
      <c r="C101" s="54" t="n"/>
      <c r="D101" s="55" t="n"/>
      <c r="E101" s="55" t="n"/>
      <c r="F101" s="56" t="n"/>
      <c r="G101" s="57" t="n"/>
      <c r="H101" s="57" t="n"/>
      <c r="I101" s="57" t="n"/>
      <c r="J101" s="57" t="n"/>
      <c r="K101" s="58">
        <f>IF(NOT((COUNTA($B101:$J101)+COUNTA($M101))&gt;0),"",IFERROR(LOOKUP(2,1/(G101:J101&lt;&gt;""),G101:J101),0))</f>
        <v/>
      </c>
      <c r="L101" s="53">
        <f>IF(K101="","",IF(K101&gt;=1,"Completado",IF(K101&gt;0,"En curso","Pendiente")))</f>
        <v/>
      </c>
      <c r="M101" s="54" t="n"/>
      <c r="N101" s="59">
        <f>IF(NOT((COUNTA($B101:$J101)+COUNTA($M101))&gt;0),"",IF((IF(B101="","Macroactividad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","")&amp;IF(ABS(SUM($F$5:$F$1000)-1)&gt;0.0001,"Pesos del puesto suman "&amp;TEXT(SUM($F$5:$F$1000),"0%")&amp;"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 OK","⚠ "&amp;LEFT(IF(B101="","Macroactividad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","")&amp;IF(ABS(SUM($F$5:$F$1000)-1)&gt;0.0001,"Pesos del puesto suman "&amp;TEXT(SUM($F$5:$F$1000),"0%")&amp;"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",""),LEN(IF(B101="","Macroactividad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","")&amp;IF(ABS(SUM($F$5:$F$1000)-1)&gt;0.0001,"Pesos del puesto suman "&amp;TEXT(SUM($F$5:$F$1000),"0%")&amp;"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",""))-3)))</f>
        <v/>
      </c>
    </row>
    <row r="102">
      <c r="A102" s="53">
        <f>IF(NOT((COUNTA($B102:$J102)+COUNTA($M102))&gt;0),"",COUNTIF($L$5:$L102,"?*"))</f>
        <v/>
      </c>
      <c r="B102" s="54" t="n"/>
      <c r="C102" s="54" t="n"/>
      <c r="D102" s="55" t="n"/>
      <c r="E102" s="55" t="n"/>
      <c r="F102" s="56" t="n"/>
      <c r="G102" s="57" t="n"/>
      <c r="H102" s="57" t="n"/>
      <c r="I102" s="57" t="n"/>
      <c r="J102" s="57" t="n"/>
      <c r="K102" s="58">
        <f>IF(NOT((COUNTA($B102:$J102)+COUNTA($M102))&gt;0),"",IFERROR(LOOKUP(2,1/(G102:J102&lt;&gt;""),G102:J102),0))</f>
        <v/>
      </c>
      <c r="L102" s="53">
        <f>IF(K102="","",IF(K102&gt;=1,"Completado",IF(K102&gt;0,"En curso","Pendiente")))</f>
        <v/>
      </c>
      <c r="M102" s="54" t="n"/>
      <c r="N102" s="59">
        <f>IF(NOT((COUNTA($B102:$J102)+COUNTA($M102))&gt;0),"",IF((IF(B102="","Macroactividad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","")&amp;IF(ABS(SUM($F$5:$F$1000)-1)&gt;0.0001,"Pesos del puesto suman "&amp;TEXT(SUM($F$5:$F$1000),"0%")&amp;"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 OK","⚠ "&amp;LEFT(IF(B102="","Macroactividad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","")&amp;IF(ABS(SUM($F$5:$F$1000)-1)&gt;0.0001,"Pesos del puesto suman "&amp;TEXT(SUM($F$5:$F$1000),"0%")&amp;"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",""),LEN(IF(B102="","Macroactividad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","")&amp;IF(ABS(SUM($F$5:$F$1000)-1)&gt;0.0001,"Pesos del puesto suman "&amp;TEXT(SUM($F$5:$F$1000),"0%")&amp;"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",""))-3)))</f>
        <v/>
      </c>
    </row>
    <row r="103">
      <c r="A103" s="53">
        <f>IF(NOT((COUNTA($B103:$J103)+COUNTA($M103))&gt;0),"",COUNTIF($L$5:$L103,"?*"))</f>
        <v/>
      </c>
      <c r="B103" s="54" t="n"/>
      <c r="C103" s="54" t="n"/>
      <c r="D103" s="55" t="n"/>
      <c r="E103" s="55" t="n"/>
      <c r="F103" s="56" t="n"/>
      <c r="G103" s="57" t="n"/>
      <c r="H103" s="57" t="n"/>
      <c r="I103" s="57" t="n"/>
      <c r="J103" s="57" t="n"/>
      <c r="K103" s="58">
        <f>IF(NOT((COUNTA($B103:$J103)+COUNTA($M103))&gt;0),"",IFERROR(LOOKUP(2,1/(G103:J103&lt;&gt;""),G103:J103),0))</f>
        <v/>
      </c>
      <c r="L103" s="53">
        <f>IF(K103="","",IF(K103&gt;=1,"Completado",IF(K103&gt;0,"En curso","Pendiente")))</f>
        <v/>
      </c>
      <c r="M103" s="54" t="n"/>
      <c r="N103" s="59">
        <f>IF(NOT((COUNTA($B103:$J103)+COUNTA($M103))&gt;0),"",IF((IF(B103="","Macroactividad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","")&amp;IF(ABS(SUM($F$5:$F$1000)-1)&gt;0.0001,"Pesos del puesto suman "&amp;TEXT(SUM($F$5:$F$1000),"0%")&amp;"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 OK","⚠ "&amp;LEFT(IF(B103="","Macroactividad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","")&amp;IF(ABS(SUM($F$5:$F$1000)-1)&gt;0.0001,"Pesos del puesto suman "&amp;TEXT(SUM($F$5:$F$1000),"0%")&amp;"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",""),LEN(IF(B103="","Macroactividad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","")&amp;IF(ABS(SUM($F$5:$F$1000)-1)&gt;0.0001,"Pesos del puesto suman "&amp;TEXT(SUM($F$5:$F$1000),"0%")&amp;"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",""))-3)))</f>
        <v/>
      </c>
    </row>
    <row r="104">
      <c r="A104" s="53">
        <f>IF(NOT((COUNTA($B104:$J104)+COUNTA($M104))&gt;0),"",COUNTIF($L$5:$L104,"?*"))</f>
        <v/>
      </c>
      <c r="B104" s="54" t="n"/>
      <c r="C104" s="54" t="n"/>
      <c r="D104" s="55" t="n"/>
      <c r="E104" s="55" t="n"/>
      <c r="F104" s="56" t="n"/>
      <c r="G104" s="57" t="n"/>
      <c r="H104" s="57" t="n"/>
      <c r="I104" s="57" t="n"/>
      <c r="J104" s="57" t="n"/>
      <c r="K104" s="58">
        <f>IF(NOT((COUNTA($B104:$J104)+COUNTA($M104))&gt;0),"",IFERROR(LOOKUP(2,1/(G104:J104&lt;&gt;""),G104:J104),0))</f>
        <v/>
      </c>
      <c r="L104" s="53">
        <f>IF(K104="","",IF(K104&gt;=1,"Completado",IF(K104&gt;0,"En curso","Pendiente")))</f>
        <v/>
      </c>
      <c r="M104" s="54" t="n"/>
      <c r="N104" s="59">
        <f>IF(NOT((COUNTA($B104:$J104)+COUNTA($M104))&gt;0),"",IF((IF(B104="","Macroactividad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","")&amp;IF(ABS(SUM($F$5:$F$1000)-1)&gt;0.0001,"Pesos del puesto suman "&amp;TEXT(SUM($F$5:$F$1000),"0%")&amp;"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 OK","⚠ "&amp;LEFT(IF(B104="","Macroactividad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","")&amp;IF(ABS(SUM($F$5:$F$1000)-1)&gt;0.0001,"Pesos del puesto suman "&amp;TEXT(SUM($F$5:$F$1000),"0%")&amp;"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",""),LEN(IF(B104="","Macroactividad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","")&amp;IF(ABS(SUM($F$5:$F$1000)-1)&gt;0.0001,"Pesos del puesto suman "&amp;TEXT(SUM($F$5:$F$1000),"0%")&amp;"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",""))-3)))</f>
        <v/>
      </c>
    </row>
  </sheetData>
  <sheetProtection selectLockedCells="0" selectUnlockedCells="0" sheet="1" objects="0" insertRows="1" insertHyperlinks="1" autoFilter="0" scenarios="0" formatColumns="0" deleteColumns="1" insertColumns="1" pivotTables="1" deleteRows="1" formatCells="1" formatRows="0" sort="0"/>
  <mergeCells count="3">
    <mergeCell ref="E3:F3"/>
    <mergeCell ref="A2:N2"/>
    <mergeCell ref="A1:N1"/>
  </mergeCells>
  <conditionalFormatting sqref="E3:F3">
    <cfRule type="expression" priority="1" dxfId="1">
      <formula>LEFT($E$3,1)="⚠"</formula>
    </cfRule>
    <cfRule type="expression" priority="2" dxfId="0">
      <formula>LEFT($E$3,1)="✔"</formula>
    </cfRule>
  </conditionalFormatting>
  <conditionalFormatting sqref="L5:L1000">
    <cfRule type="expression" priority="3" dxfId="0">
      <formula>$L5="Completado"</formula>
    </cfRule>
    <cfRule type="expression" priority="4" dxfId="4">
      <formula>$L5="En curso"</formula>
    </cfRule>
    <cfRule type="expression" priority="5" dxfId="5">
      <formula>$L5="Pendiente"</formula>
    </cfRule>
  </conditionalFormatting>
  <conditionalFormatting sqref="K5:K1000">
    <cfRule type="expression" priority="6" dxfId="0">
      <formula>AND(ISNUMBER($K5),$K5&gt;=1)</formula>
    </cfRule>
    <cfRule type="dataBar" priority="7">
      <dataBar showValue="1">
        <cfvo type="num" val="0"/>
        <cfvo type="num" val="1"/>
        <color rgb="005B9BD5"/>
      </dataBar>
    </cfRule>
  </conditionalFormatting>
  <conditionalFormatting sqref="E5:E1000">
    <cfRule type="expression" priority="8" dxfId="6" stopIfTrue="1">
      <formula>AND(ISNUMBER($E5),$E5&lt;FechaRef,N($K5)&lt;1)</formula>
    </cfRule>
    <cfRule type="expression" priority="9" dxfId="7">
      <formula>AND(ISNUMBER($E5),$E5&gt;=FechaRef,$E5-FechaRef&lt;=DiasAlerta,N($K5)&lt;1)</formula>
    </cfRule>
  </conditionalFormatting>
  <conditionalFormatting sqref="B5:F1000">
    <cfRule type="expression" priority="10" dxfId="5">
      <formula>AND((COUNTA($B5:$J5)+COUNTA($M5))&gt;0,B5="")</formula>
    </cfRule>
  </conditionalFormatting>
  <conditionalFormatting sqref="D5:E1000">
    <cfRule type="expression" priority="11" dxfId="6">
      <formula>AND(ISNUMBER($D5),ISNUMBER($E5),$D5&gt;$E5)</formula>
    </cfRule>
  </conditionalFormatting>
  <conditionalFormatting sqref="F5:F1000">
    <cfRule type="expression" priority="12" dxfId="7">
      <formula>AND((COUNTA($B5:$J5)+COUNTA($M5))&gt;0,ABS(SUM($F$5:$F$1000)-1)&gt;0.0001)</formula>
    </cfRule>
  </conditionalFormatting>
  <conditionalFormatting sqref="G5:J1000">
    <cfRule type="expression" priority="13" dxfId="5" stopIfTrue="1">
      <formula>AND(G5&lt;&gt;"",OR(NOT(ISNUMBER(G5)),G5&gt;1,G5&lt;0))</formula>
    </cfRule>
  </conditionalFormatting>
  <conditionalFormatting sqref="H5:J1000">
    <cfRule type="expression" priority="14" dxfId="6">
      <formula>AND(H5&lt;&gt;"",H5&lt;MAX($G5:G5))</formula>
    </cfRule>
  </conditionalFormatting>
  <conditionalFormatting sqref="M5:M1000">
    <cfRule type="expression" priority="15" dxfId="5">
      <formula>AND(ObsObligatoria="Sí",ISNUMBER($E5),$E5&lt;FechaRef,N($K5)&lt;1,$M5="")</formula>
    </cfRule>
  </conditionalFormatting>
  <conditionalFormatting sqref="N5:N1000">
    <cfRule type="expression" priority="16" dxfId="5">
      <formula>LEFT($N5,1)="⚠"</formula>
    </cfRule>
    <cfRule type="expression" priority="17" dxfId="8">
      <formula>LEFT($N5,1)="✔"</formula>
    </cfRule>
  </conditionalFormatting>
  <dataValidations count="3">
    <dataValidation sqref="D5:D1000 E5:E1000" showDropDown="0" showInputMessage="0" showErrorMessage="1" allowBlank="1" errorTitle="Fecha no válida" error="Ingrese una fecha válida (dd/mm/aaaa)." type="date" operator="greaterThan">
      <formula1>36526</formula1>
    </dataValidation>
    <dataValidation sqref="F5:F1000" showDropDown="0" showInputMessage="1" showErrorMessage="1" allowBlank="1" errorTitle="Peso no válido" error="Ingrese un porcentaje entre 0% y 100% (por ejemplo 25%)." promptTitle="Peso de actividad" prompt="Qué tanto vale esta actividad. La suma de esta hoja debe ser 100%." type="decimal" operator="between">
      <formula1>0</formula1>
      <formula2>1</formula2>
    </dataValidation>
    <dataValidation sqref="G5:J1000" showDropDown="0" showInputMessage="1" showErrorMessage="1" allowBlank="1" errorTitle="Avance no válido" error="Ingrese un porcentaje entre 0% y 100%. Deje la celda vacía si la semana no ha llegado." promptTitle="Avance acumulado" prompt="% TOTAL logrado hasta esta semana (no solo lo de la semana)." type="decimal" operator="between">
      <formula1>0</formula1>
      <formula2>1</formula2>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tabColor rgb="00C55A11"/>
    <outlinePr summaryBelow="1" summaryRight="1"/>
    <pageSetUpPr fitToPage="1"/>
  </sheetPr>
  <dimension ref="A1:M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22" customWidth="1" min="3" max="3"/>
    <col width="12" customWidth="1" min="4" max="4"/>
    <col width="12" customWidth="1" min="5" max="5"/>
    <col width="16" customWidth="1" min="6" max="6"/>
    <col width="11" customWidth="1" min="7" max="7"/>
    <col width="11" customWidth="1" min="8" max="8"/>
    <col width="11" customWidth="1" min="9" max="9"/>
    <col width="11" customWidth="1" min="10" max="10"/>
    <col width="12" customWidth="1" min="11" max="11"/>
    <col width="13" customWidth="1" min="12" max="12"/>
    <col width="46" customWidth="1" min="13" max="13"/>
  </cols>
  <sheetData>
    <row r="1" ht="28" customHeight="1">
      <c r="A1" s="68" t="inlineStr">
        <is>
          <t>Actividades por semana – Asistente Técnico de Riesgo</t>
        </is>
      </c>
      <c r="B1" s="68" t="n"/>
      <c r="C1" s="68" t="n"/>
      <c r="D1" s="68" t="n"/>
      <c r="E1" s="68" t="n"/>
      <c r="F1" s="68" t="n"/>
      <c r="G1" s="68" t="n"/>
      <c r="H1" s="68" t="n"/>
      <c r="I1" s="68" t="n"/>
      <c r="J1" s="68" t="n"/>
      <c r="K1" s="68" t="n"/>
      <c r="L1" s="68" t="n"/>
      <c r="M1" s="68" t="n"/>
    </row>
    <row r="2" ht="32" customHeight="1">
      <c r="A2" s="60" t="inlineStr">
        <is>
          <t>HOJA AUTOMÁTICA: se actualiza sola con lo que se escribe en «Cronograma Asistente Técnico». No hay que escribir nada aquí. La barra de color marca las semanas en que cada actividad está programada (de la fecha de inicio a la fecha límite) y dentro aparece el avance registrado en esa semana.</t>
        </is>
      </c>
      <c r="B2" s="60" t="n"/>
      <c r="C2" s="60" t="n"/>
      <c r="D2" s="60" t="n"/>
      <c r="E2" s="60" t="n"/>
      <c r="F2" s="60" t="n"/>
      <c r="G2" s="60" t="n"/>
      <c r="H2" s="60" t="n"/>
      <c r="I2" s="60" t="n"/>
      <c r="J2" s="60" t="n"/>
      <c r="K2" s="60" t="n"/>
      <c r="L2" s="60" t="n"/>
      <c r="M2" s="60" t="n"/>
    </row>
    <row r="3">
      <c r="F3" s="61" t="inlineStr">
        <is>
          <t>Semana del:</t>
        </is>
      </c>
      <c r="G3" s="62">
        <f>(InicioCiclo+0)</f>
        <v/>
      </c>
      <c r="H3" s="62">
        <f>(InicioCiclo+7)</f>
        <v/>
      </c>
      <c r="I3" s="62">
        <f>(InicioCiclo+14)</f>
        <v/>
      </c>
      <c r="J3" s="62">
        <f>(InicioCiclo+21)</f>
        <v/>
      </c>
    </row>
    <row r="4" ht="34" customHeight="1">
      <c r="A4" s="52" t="inlineStr">
        <is>
          <t>N°</t>
        </is>
      </c>
      <c r="B4" s="52" t="inlineStr">
        <is>
          <t>Macro Actividad</t>
        </is>
      </c>
      <c r="C4" s="52" t="inlineStr">
        <is>
          <t>Responsable</t>
        </is>
      </c>
      <c r="D4" s="52" t="inlineStr">
        <is>
          <t>Fecha de inicio</t>
        </is>
      </c>
      <c r="E4" s="52" t="inlineStr">
        <is>
          <t>Fecha límite</t>
        </is>
      </c>
      <c r="F4" s="52" t="inlineStr">
        <is>
          <t>Semana de entrega</t>
        </is>
      </c>
      <c r="G4" s="69" t="inlineStr">
        <is>
          <t>Semana 1</t>
        </is>
      </c>
      <c r="H4" s="69" t="inlineStr">
        <is>
          <t>Semana 2</t>
        </is>
      </c>
      <c r="I4" s="69" t="inlineStr">
        <is>
          <t>Semana 3</t>
        </is>
      </c>
      <c r="J4" s="69" t="inlineStr">
        <is>
          <t>Semana 4</t>
        </is>
      </c>
      <c r="K4" s="52" t="inlineStr">
        <is>
          <t>% Avance actual</t>
        </is>
      </c>
      <c r="L4" s="52" t="inlineStr">
        <is>
          <t>Estado</t>
        </is>
      </c>
      <c r="M4" s="52" t="inlineStr">
        <is>
          <t>Observaciones</t>
        </is>
      </c>
    </row>
    <row r="5">
      <c r="A5" s="22">
        <f>IF('Cronograma Asistente Técnico'!$A5="","",'Cronograma Asistente Técnico'!$A5)</f>
        <v/>
      </c>
      <c r="B5" s="41">
        <f>IF('Cronograma Asistente Técnico'!$A5="","",'Cronograma Asistente Técnico'!$B5&amp;"")</f>
        <v/>
      </c>
      <c r="C5" s="41">
        <f>IF('Cronograma Asistente Técnico'!$A5="","",'Cronograma Asistente Técnico'!$C5&amp;"")</f>
        <v/>
      </c>
      <c r="D5" s="63">
        <f>IF(OR('Cronograma Asistente Técnico'!$A5="",'Cronograma Asistente Técnico'!$D5=""),"",'Cronograma Asistente Técnico'!$D5)</f>
        <v/>
      </c>
      <c r="E5" s="63">
        <f>IF(OR('Cronograma Asistente Técnico'!$A5="",'Cronograma Asistente Técnico'!$E5=""),"",'Cronograma Asistente Técnico'!$E5)</f>
        <v/>
      </c>
      <c r="F5" s="22">
        <f>IF(OR('Cronograma Asistente Técnico'!$A5="",NOT(ISNUMBER('Cronograma Asistente Técnico'!$E5))),"",IF('Cronograma Asistente Técnico'!$E5&lt;InicioCiclo,"Antes del ciclo",IF('Cronograma Asistente Técnico'!$E5&gt;=InicioCiclo+28,"Después del ciclo","Semana "&amp;(INT(('Cronograma Asistente Técnico'!$E5-InicioCiclo)/7)+1))))</f>
        <v/>
      </c>
      <c r="G5" s="20">
        <f>IF(OR('Cronograma Asistente Técnico'!$A5="",'Cronograma Asistente Técnico'!$G5=""),"",'Cronograma Asistente Técnico'!$G5)</f>
        <v/>
      </c>
      <c r="H5" s="20">
        <f>IF(OR('Cronograma Asistente Técnico'!$A5="",'Cronograma Asistente Técnico'!$H5=""),"",'Cronograma Asistente Técnico'!$H5)</f>
        <v/>
      </c>
      <c r="I5" s="20">
        <f>IF(OR('Cronograma Asistente Técnico'!$A5="",'Cronograma Asistente Técnico'!$I5=""),"",'Cronograma Asistente Técnico'!$I5)</f>
        <v/>
      </c>
      <c r="J5" s="20">
        <f>IF(OR('Cronograma Asistente Técnico'!$A5="",'Cronograma Asistente Técnico'!$J5=""),"",'Cronograma Asistente Técnico'!$J5)</f>
        <v/>
      </c>
      <c r="K5" s="20">
        <f>IF('Cronograma Asistente Técnico'!$A5="","",'Cronograma Asistente Técnico'!$K5)</f>
        <v/>
      </c>
      <c r="L5" s="22">
        <f>IF('Cronograma Asistente Técnico'!$A5="","",IF(N('Cronograma Asistente Técnico'!$K5)&gt;=1,"Completado",IF(AND(ISNUMBER('Cronograma Asistente Técnico'!$E5),'Cronograma Asistente Técnico'!$E5&lt;FechaRef),"Vencida",IF(N('Cronograma Asistente Técnico'!$K5)&gt;0,"En curso","Pendiente"))))</f>
        <v/>
      </c>
      <c r="M5" s="41">
        <f>IF('Cronograma Asistente Técnico'!$A5="","",'Cronograma Asistente Técnico'!$M5&amp;"")</f>
        <v/>
      </c>
    </row>
    <row r="6">
      <c r="A6" s="22">
        <f>IF('Cronograma Asistente Técnico'!$A6="","",'Cronograma Asistente Técnico'!$A6)</f>
        <v/>
      </c>
      <c r="B6" s="41">
        <f>IF('Cronograma Asistente Técnico'!$A6="","",'Cronograma Asistente Técnico'!$B6&amp;"")</f>
        <v/>
      </c>
      <c r="C6" s="41">
        <f>IF('Cronograma Asistente Técnico'!$A6="","",'Cronograma Asistente Técnico'!$C6&amp;"")</f>
        <v/>
      </c>
      <c r="D6" s="63">
        <f>IF(OR('Cronograma Asistente Técnico'!$A6="",'Cronograma Asistente Técnico'!$D6=""),"",'Cronograma Asistente Técnico'!$D6)</f>
        <v/>
      </c>
      <c r="E6" s="63">
        <f>IF(OR('Cronograma Asistente Técnico'!$A6="",'Cronograma Asistente Técnico'!$E6=""),"",'Cronograma Asistente Técnico'!$E6)</f>
        <v/>
      </c>
      <c r="F6" s="22">
        <f>IF(OR('Cronograma Asistente Técnico'!$A6="",NOT(ISNUMBER('Cronograma Asistente Técnico'!$E6))),"",IF('Cronograma Asistente Técnico'!$E6&lt;InicioCiclo,"Antes del ciclo",IF('Cronograma Asistente Técnico'!$E6&gt;=InicioCiclo+28,"Después del ciclo","Semana "&amp;(INT(('Cronograma Asistente Técnico'!$E6-InicioCiclo)/7)+1))))</f>
        <v/>
      </c>
      <c r="G6" s="20">
        <f>IF(OR('Cronograma Asistente Técnico'!$A6="",'Cronograma Asistente Técnico'!$G6=""),"",'Cronograma Asistente Técnico'!$G6)</f>
        <v/>
      </c>
      <c r="H6" s="20">
        <f>IF(OR('Cronograma Asistente Técnico'!$A6="",'Cronograma Asistente Técnico'!$H6=""),"",'Cronograma Asistente Técnico'!$H6)</f>
        <v/>
      </c>
      <c r="I6" s="20">
        <f>IF(OR('Cronograma Asistente Técnico'!$A6="",'Cronograma Asistente Técnico'!$I6=""),"",'Cronograma Asistente Técnico'!$I6)</f>
        <v/>
      </c>
      <c r="J6" s="20">
        <f>IF(OR('Cronograma Asistente Técnico'!$A6="",'Cronograma Asistente Técnico'!$J6=""),"",'Cronograma Asistente Técnico'!$J6)</f>
        <v/>
      </c>
      <c r="K6" s="20">
        <f>IF('Cronograma Asistente Técnico'!$A6="","",'Cronograma Asistente Técnico'!$K6)</f>
        <v/>
      </c>
      <c r="L6" s="22">
        <f>IF('Cronograma Asistente Técnico'!$A6="","",IF(N('Cronograma Asistente Técnico'!$K6)&gt;=1,"Completado",IF(AND(ISNUMBER('Cronograma Asistente Técnico'!$E6),'Cronograma Asistente Técnico'!$E6&lt;FechaRef),"Vencida",IF(N('Cronograma Asistente Técnico'!$K6)&gt;0,"En curso","Pendiente"))))</f>
        <v/>
      </c>
      <c r="M6" s="41">
        <f>IF('Cronograma Asistente Técnico'!$A6="","",'Cronograma Asistente Técnico'!$M6&amp;"")</f>
        <v/>
      </c>
    </row>
    <row r="7">
      <c r="A7" s="22">
        <f>IF('Cronograma Asistente Técnico'!$A7="","",'Cronograma Asistente Técnico'!$A7)</f>
        <v/>
      </c>
      <c r="B7" s="41">
        <f>IF('Cronograma Asistente Técnico'!$A7="","",'Cronograma Asistente Técnico'!$B7&amp;"")</f>
        <v/>
      </c>
      <c r="C7" s="41">
        <f>IF('Cronograma Asistente Técnico'!$A7="","",'Cronograma Asistente Técnico'!$C7&amp;"")</f>
        <v/>
      </c>
      <c r="D7" s="63">
        <f>IF(OR('Cronograma Asistente Técnico'!$A7="",'Cronograma Asistente Técnico'!$D7=""),"",'Cronograma Asistente Técnico'!$D7)</f>
        <v/>
      </c>
      <c r="E7" s="63">
        <f>IF(OR('Cronograma Asistente Técnico'!$A7="",'Cronograma Asistente Técnico'!$E7=""),"",'Cronograma Asistente Técnico'!$E7)</f>
        <v/>
      </c>
      <c r="F7" s="22">
        <f>IF(OR('Cronograma Asistente Técnico'!$A7="",NOT(ISNUMBER('Cronograma Asistente Técnico'!$E7))),"",IF('Cronograma Asistente Técnico'!$E7&lt;InicioCiclo,"Antes del ciclo",IF('Cronograma Asistente Técnico'!$E7&gt;=InicioCiclo+28,"Después del ciclo","Semana "&amp;(INT(('Cronograma Asistente Técnico'!$E7-InicioCiclo)/7)+1))))</f>
        <v/>
      </c>
      <c r="G7" s="20">
        <f>IF(OR('Cronograma Asistente Técnico'!$A7="",'Cronograma Asistente Técnico'!$G7=""),"",'Cronograma Asistente Técnico'!$G7)</f>
        <v/>
      </c>
      <c r="H7" s="20">
        <f>IF(OR('Cronograma Asistente Técnico'!$A7="",'Cronograma Asistente Técnico'!$H7=""),"",'Cronograma Asistente Técnico'!$H7)</f>
        <v/>
      </c>
      <c r="I7" s="20">
        <f>IF(OR('Cronograma Asistente Técnico'!$A7="",'Cronograma Asistente Técnico'!$I7=""),"",'Cronograma Asistente Técnico'!$I7)</f>
        <v/>
      </c>
      <c r="J7" s="20">
        <f>IF(OR('Cronograma Asistente Técnico'!$A7="",'Cronograma Asistente Técnico'!$J7=""),"",'Cronograma Asistente Técnico'!$J7)</f>
        <v/>
      </c>
      <c r="K7" s="20">
        <f>IF('Cronograma Asistente Técnico'!$A7="","",'Cronograma Asistente Técnico'!$K7)</f>
        <v/>
      </c>
      <c r="L7" s="22">
        <f>IF('Cronograma Asistente Técnico'!$A7="","",IF(N('Cronograma Asistente Técnico'!$K7)&gt;=1,"Completado",IF(AND(ISNUMBER('Cronograma Asistente Técnico'!$E7),'Cronograma Asistente Técnico'!$E7&lt;FechaRef),"Vencida",IF(N('Cronograma Asistente Técnico'!$K7)&gt;0,"En curso","Pendiente"))))</f>
        <v/>
      </c>
      <c r="M7" s="41">
        <f>IF('Cronograma Asistente Técnico'!$A7="","",'Cronograma Asistente Técnico'!$M7&amp;"")</f>
        <v/>
      </c>
    </row>
    <row r="8">
      <c r="A8" s="22">
        <f>IF('Cronograma Asistente Técnico'!$A8="","",'Cronograma Asistente Técnico'!$A8)</f>
        <v/>
      </c>
      <c r="B8" s="41">
        <f>IF('Cronograma Asistente Técnico'!$A8="","",'Cronograma Asistente Técnico'!$B8&amp;"")</f>
        <v/>
      </c>
      <c r="C8" s="41">
        <f>IF('Cronograma Asistente Técnico'!$A8="","",'Cronograma Asistente Técnico'!$C8&amp;"")</f>
        <v/>
      </c>
      <c r="D8" s="63">
        <f>IF(OR('Cronograma Asistente Técnico'!$A8="",'Cronograma Asistente Técnico'!$D8=""),"",'Cronograma Asistente Técnico'!$D8)</f>
        <v/>
      </c>
      <c r="E8" s="63">
        <f>IF(OR('Cronograma Asistente Técnico'!$A8="",'Cronograma Asistente Técnico'!$E8=""),"",'Cronograma Asistente Técnico'!$E8)</f>
        <v/>
      </c>
      <c r="F8" s="22">
        <f>IF(OR('Cronograma Asistente Técnico'!$A8="",NOT(ISNUMBER('Cronograma Asistente Técnico'!$E8))),"",IF('Cronograma Asistente Técnico'!$E8&lt;InicioCiclo,"Antes del ciclo",IF('Cronograma Asistente Técnico'!$E8&gt;=InicioCiclo+28,"Después del ciclo","Semana "&amp;(INT(('Cronograma Asistente Técnico'!$E8-InicioCiclo)/7)+1))))</f>
        <v/>
      </c>
      <c r="G8" s="20">
        <f>IF(OR('Cronograma Asistente Técnico'!$A8="",'Cronograma Asistente Técnico'!$G8=""),"",'Cronograma Asistente Técnico'!$G8)</f>
        <v/>
      </c>
      <c r="H8" s="20">
        <f>IF(OR('Cronograma Asistente Técnico'!$A8="",'Cronograma Asistente Técnico'!$H8=""),"",'Cronograma Asistente Técnico'!$H8)</f>
        <v/>
      </c>
      <c r="I8" s="20">
        <f>IF(OR('Cronograma Asistente Técnico'!$A8="",'Cronograma Asistente Técnico'!$I8=""),"",'Cronograma Asistente Técnico'!$I8)</f>
        <v/>
      </c>
      <c r="J8" s="20">
        <f>IF(OR('Cronograma Asistente Técnico'!$A8="",'Cronograma Asistente Técnico'!$J8=""),"",'Cronograma Asistente Técnico'!$J8)</f>
        <v/>
      </c>
      <c r="K8" s="20">
        <f>IF('Cronograma Asistente Técnico'!$A8="","",'Cronograma Asistente Técnico'!$K8)</f>
        <v/>
      </c>
      <c r="L8" s="22">
        <f>IF('Cronograma Asistente Técnico'!$A8="","",IF(N('Cronograma Asistente Técnico'!$K8)&gt;=1,"Completado",IF(AND(ISNUMBER('Cronograma Asistente Técnico'!$E8),'Cronograma Asistente Técnico'!$E8&lt;FechaRef),"Vencida",IF(N('Cronograma Asistente Técnico'!$K8)&gt;0,"En curso","Pendiente"))))</f>
        <v/>
      </c>
      <c r="M8" s="41">
        <f>IF('Cronograma Asistente Técnico'!$A8="","",'Cronograma Asistente Técnico'!$M8&amp;"")</f>
        <v/>
      </c>
    </row>
    <row r="9">
      <c r="A9" s="22">
        <f>IF('Cronograma Asistente Técnico'!$A9="","",'Cronograma Asistente Técnico'!$A9)</f>
        <v/>
      </c>
      <c r="B9" s="41">
        <f>IF('Cronograma Asistente Técnico'!$A9="","",'Cronograma Asistente Técnico'!$B9&amp;"")</f>
        <v/>
      </c>
      <c r="C9" s="41">
        <f>IF('Cronograma Asistente Técnico'!$A9="","",'Cronograma Asistente Técnico'!$C9&amp;"")</f>
        <v/>
      </c>
      <c r="D9" s="63">
        <f>IF(OR('Cronograma Asistente Técnico'!$A9="",'Cronograma Asistente Técnico'!$D9=""),"",'Cronograma Asistente Técnico'!$D9)</f>
        <v/>
      </c>
      <c r="E9" s="63">
        <f>IF(OR('Cronograma Asistente Técnico'!$A9="",'Cronograma Asistente Técnico'!$E9=""),"",'Cronograma Asistente Técnico'!$E9)</f>
        <v/>
      </c>
      <c r="F9" s="22">
        <f>IF(OR('Cronograma Asistente Técnico'!$A9="",NOT(ISNUMBER('Cronograma Asistente Técnico'!$E9))),"",IF('Cronograma Asistente Técnico'!$E9&lt;InicioCiclo,"Antes del ciclo",IF('Cronograma Asistente Técnico'!$E9&gt;=InicioCiclo+28,"Después del ciclo","Semana "&amp;(INT(('Cronograma Asistente Técnico'!$E9-InicioCiclo)/7)+1))))</f>
        <v/>
      </c>
      <c r="G9" s="20">
        <f>IF(OR('Cronograma Asistente Técnico'!$A9="",'Cronograma Asistente Técnico'!$G9=""),"",'Cronograma Asistente Técnico'!$G9)</f>
        <v/>
      </c>
      <c r="H9" s="20">
        <f>IF(OR('Cronograma Asistente Técnico'!$A9="",'Cronograma Asistente Técnico'!$H9=""),"",'Cronograma Asistente Técnico'!$H9)</f>
        <v/>
      </c>
      <c r="I9" s="20">
        <f>IF(OR('Cronograma Asistente Técnico'!$A9="",'Cronograma Asistente Técnico'!$I9=""),"",'Cronograma Asistente Técnico'!$I9)</f>
        <v/>
      </c>
      <c r="J9" s="20">
        <f>IF(OR('Cronograma Asistente Técnico'!$A9="",'Cronograma Asistente Técnico'!$J9=""),"",'Cronograma Asistente Técnico'!$J9)</f>
        <v/>
      </c>
      <c r="K9" s="20">
        <f>IF('Cronograma Asistente Técnico'!$A9="","",'Cronograma Asistente Técnico'!$K9)</f>
        <v/>
      </c>
      <c r="L9" s="22">
        <f>IF('Cronograma Asistente Técnico'!$A9="","",IF(N('Cronograma Asistente Técnico'!$K9)&gt;=1,"Completado",IF(AND(ISNUMBER('Cronograma Asistente Técnico'!$E9),'Cronograma Asistente Técnico'!$E9&lt;FechaRef),"Vencida",IF(N('Cronograma Asistente Técnico'!$K9)&gt;0,"En curso","Pendiente"))))</f>
        <v/>
      </c>
      <c r="M9" s="41">
        <f>IF('Cronograma Asistente Técnico'!$A9="","",'Cronograma Asistente Técnico'!$M9&amp;"")</f>
        <v/>
      </c>
    </row>
    <row r="10">
      <c r="A10" s="22">
        <f>IF('Cronograma Asistente Técnico'!$A10="","",'Cronograma Asistente Técnico'!$A10)</f>
        <v/>
      </c>
      <c r="B10" s="41">
        <f>IF('Cronograma Asistente Técnico'!$A10="","",'Cronograma Asistente Técnico'!$B10&amp;"")</f>
        <v/>
      </c>
      <c r="C10" s="41">
        <f>IF('Cronograma Asistente Técnico'!$A10="","",'Cronograma Asistente Técnico'!$C10&amp;"")</f>
        <v/>
      </c>
      <c r="D10" s="63">
        <f>IF(OR('Cronograma Asistente Técnico'!$A10="",'Cronograma Asistente Técnico'!$D10=""),"",'Cronograma Asistente Técnico'!$D10)</f>
        <v/>
      </c>
      <c r="E10" s="63">
        <f>IF(OR('Cronograma Asistente Técnico'!$A10="",'Cronograma Asistente Técnico'!$E10=""),"",'Cronograma Asistente Técnico'!$E10)</f>
        <v/>
      </c>
      <c r="F10" s="22">
        <f>IF(OR('Cronograma Asistente Técnico'!$A10="",NOT(ISNUMBER('Cronograma Asistente Técnico'!$E10))),"",IF('Cronograma Asistente Técnico'!$E10&lt;InicioCiclo,"Antes del ciclo",IF('Cronograma Asistente Técnico'!$E10&gt;=InicioCiclo+28,"Después del ciclo","Semana "&amp;(INT(('Cronograma Asistente Técnico'!$E10-InicioCiclo)/7)+1))))</f>
        <v/>
      </c>
      <c r="G10" s="20">
        <f>IF(OR('Cronograma Asistente Técnico'!$A10="",'Cronograma Asistente Técnico'!$G10=""),"",'Cronograma Asistente Técnico'!$G10)</f>
        <v/>
      </c>
      <c r="H10" s="20">
        <f>IF(OR('Cronograma Asistente Técnico'!$A10="",'Cronograma Asistente Técnico'!$H10=""),"",'Cronograma Asistente Técnico'!$H10)</f>
        <v/>
      </c>
      <c r="I10" s="20">
        <f>IF(OR('Cronograma Asistente Técnico'!$A10="",'Cronograma Asistente Técnico'!$I10=""),"",'Cronograma Asistente Técnico'!$I10)</f>
        <v/>
      </c>
      <c r="J10" s="20">
        <f>IF(OR('Cronograma Asistente Técnico'!$A10="",'Cronograma Asistente Técnico'!$J10=""),"",'Cronograma Asistente Técnico'!$J10)</f>
        <v/>
      </c>
      <c r="K10" s="20">
        <f>IF('Cronograma Asistente Técnico'!$A10="","",'Cronograma Asistente Técnico'!$K10)</f>
        <v/>
      </c>
      <c r="L10" s="22">
        <f>IF('Cronograma Asistente Técnico'!$A10="","",IF(N('Cronograma Asistente Técnico'!$K10)&gt;=1,"Completado",IF(AND(ISNUMBER('Cronograma Asistente Técnico'!$E10),'Cronograma Asistente Técnico'!$E10&lt;FechaRef),"Vencida",IF(N('Cronograma Asistente Técnico'!$K10)&gt;0,"En curso","Pendiente"))))</f>
        <v/>
      </c>
      <c r="M10" s="41">
        <f>IF('Cronograma Asistente Técnico'!$A10="","",'Cronograma Asistente Técnico'!$M10&amp;"")</f>
        <v/>
      </c>
    </row>
    <row r="11">
      <c r="A11" s="22">
        <f>IF('Cronograma Asistente Técnico'!$A11="","",'Cronograma Asistente Técnico'!$A11)</f>
        <v/>
      </c>
      <c r="B11" s="41">
        <f>IF('Cronograma Asistente Técnico'!$A11="","",'Cronograma Asistente Técnico'!$B11&amp;"")</f>
        <v/>
      </c>
      <c r="C11" s="41">
        <f>IF('Cronograma Asistente Técnico'!$A11="","",'Cronograma Asistente Técnico'!$C11&amp;"")</f>
        <v/>
      </c>
      <c r="D11" s="63">
        <f>IF(OR('Cronograma Asistente Técnico'!$A11="",'Cronograma Asistente Técnico'!$D11=""),"",'Cronograma Asistente Técnico'!$D11)</f>
        <v/>
      </c>
      <c r="E11" s="63">
        <f>IF(OR('Cronograma Asistente Técnico'!$A11="",'Cronograma Asistente Técnico'!$E11=""),"",'Cronograma Asistente Técnico'!$E11)</f>
        <v/>
      </c>
      <c r="F11" s="22">
        <f>IF(OR('Cronograma Asistente Técnico'!$A11="",NOT(ISNUMBER('Cronograma Asistente Técnico'!$E11))),"",IF('Cronograma Asistente Técnico'!$E11&lt;InicioCiclo,"Antes del ciclo",IF('Cronograma Asistente Técnico'!$E11&gt;=InicioCiclo+28,"Después del ciclo","Semana "&amp;(INT(('Cronograma Asistente Técnico'!$E11-InicioCiclo)/7)+1))))</f>
        <v/>
      </c>
      <c r="G11" s="20">
        <f>IF(OR('Cronograma Asistente Técnico'!$A11="",'Cronograma Asistente Técnico'!$G11=""),"",'Cronograma Asistente Técnico'!$G11)</f>
        <v/>
      </c>
      <c r="H11" s="20">
        <f>IF(OR('Cronograma Asistente Técnico'!$A11="",'Cronograma Asistente Técnico'!$H11=""),"",'Cronograma Asistente Técnico'!$H11)</f>
        <v/>
      </c>
      <c r="I11" s="20">
        <f>IF(OR('Cronograma Asistente Técnico'!$A11="",'Cronograma Asistente Técnico'!$I11=""),"",'Cronograma Asistente Técnico'!$I11)</f>
        <v/>
      </c>
      <c r="J11" s="20">
        <f>IF(OR('Cronograma Asistente Técnico'!$A11="",'Cronograma Asistente Técnico'!$J11=""),"",'Cronograma Asistente Técnico'!$J11)</f>
        <v/>
      </c>
      <c r="K11" s="20">
        <f>IF('Cronograma Asistente Técnico'!$A11="","",'Cronograma Asistente Técnico'!$K11)</f>
        <v/>
      </c>
      <c r="L11" s="22">
        <f>IF('Cronograma Asistente Técnico'!$A11="","",IF(N('Cronograma Asistente Técnico'!$K11)&gt;=1,"Completado",IF(AND(ISNUMBER('Cronograma Asistente Técnico'!$E11),'Cronograma Asistente Técnico'!$E11&lt;FechaRef),"Vencida",IF(N('Cronograma Asistente Técnico'!$K11)&gt;0,"En curso","Pendiente"))))</f>
        <v/>
      </c>
      <c r="M11" s="41">
        <f>IF('Cronograma Asistente Técnico'!$A11="","",'Cronograma Asistente Técnico'!$M11&amp;"")</f>
        <v/>
      </c>
    </row>
    <row r="12">
      <c r="A12" s="22">
        <f>IF('Cronograma Asistente Técnico'!$A12="","",'Cronograma Asistente Técnico'!$A12)</f>
        <v/>
      </c>
      <c r="B12" s="41">
        <f>IF('Cronograma Asistente Técnico'!$A12="","",'Cronograma Asistente Técnico'!$B12&amp;"")</f>
        <v/>
      </c>
      <c r="C12" s="41">
        <f>IF('Cronograma Asistente Técnico'!$A12="","",'Cronograma Asistente Técnico'!$C12&amp;"")</f>
        <v/>
      </c>
      <c r="D12" s="63">
        <f>IF(OR('Cronograma Asistente Técnico'!$A12="",'Cronograma Asistente Técnico'!$D12=""),"",'Cronograma Asistente Técnico'!$D12)</f>
        <v/>
      </c>
      <c r="E12" s="63">
        <f>IF(OR('Cronograma Asistente Técnico'!$A12="",'Cronograma Asistente Técnico'!$E12=""),"",'Cronograma Asistente Técnico'!$E12)</f>
        <v/>
      </c>
      <c r="F12" s="22">
        <f>IF(OR('Cronograma Asistente Técnico'!$A12="",NOT(ISNUMBER('Cronograma Asistente Técnico'!$E12))),"",IF('Cronograma Asistente Técnico'!$E12&lt;InicioCiclo,"Antes del ciclo",IF('Cronograma Asistente Técnico'!$E12&gt;=InicioCiclo+28,"Después del ciclo","Semana "&amp;(INT(('Cronograma Asistente Técnico'!$E12-InicioCiclo)/7)+1))))</f>
        <v/>
      </c>
      <c r="G12" s="20">
        <f>IF(OR('Cronograma Asistente Técnico'!$A12="",'Cronograma Asistente Técnico'!$G12=""),"",'Cronograma Asistente Técnico'!$G12)</f>
        <v/>
      </c>
      <c r="H12" s="20">
        <f>IF(OR('Cronograma Asistente Técnico'!$A12="",'Cronograma Asistente Técnico'!$H12=""),"",'Cronograma Asistente Técnico'!$H12)</f>
        <v/>
      </c>
      <c r="I12" s="20">
        <f>IF(OR('Cronograma Asistente Técnico'!$A12="",'Cronograma Asistente Técnico'!$I12=""),"",'Cronograma Asistente Técnico'!$I12)</f>
        <v/>
      </c>
      <c r="J12" s="20">
        <f>IF(OR('Cronograma Asistente Técnico'!$A12="",'Cronograma Asistente Técnico'!$J12=""),"",'Cronograma Asistente Técnico'!$J12)</f>
        <v/>
      </c>
      <c r="K12" s="20">
        <f>IF('Cronograma Asistente Técnico'!$A12="","",'Cronograma Asistente Técnico'!$K12)</f>
        <v/>
      </c>
      <c r="L12" s="22">
        <f>IF('Cronograma Asistente Técnico'!$A12="","",IF(N('Cronograma Asistente Técnico'!$K12)&gt;=1,"Completado",IF(AND(ISNUMBER('Cronograma Asistente Técnico'!$E12),'Cronograma Asistente Técnico'!$E12&lt;FechaRef),"Vencida",IF(N('Cronograma Asistente Técnico'!$K12)&gt;0,"En curso","Pendiente"))))</f>
        <v/>
      </c>
      <c r="M12" s="41">
        <f>IF('Cronograma Asistente Técnico'!$A12="","",'Cronograma Asistente Técnico'!$M12&amp;"")</f>
        <v/>
      </c>
    </row>
    <row r="13">
      <c r="A13" s="22">
        <f>IF('Cronograma Asistente Técnico'!$A13="","",'Cronograma Asistente Técnico'!$A13)</f>
        <v/>
      </c>
      <c r="B13" s="41">
        <f>IF('Cronograma Asistente Técnico'!$A13="","",'Cronograma Asistente Técnico'!$B13&amp;"")</f>
        <v/>
      </c>
      <c r="C13" s="41">
        <f>IF('Cronograma Asistente Técnico'!$A13="","",'Cronograma Asistente Técnico'!$C13&amp;"")</f>
        <v/>
      </c>
      <c r="D13" s="63">
        <f>IF(OR('Cronograma Asistente Técnico'!$A13="",'Cronograma Asistente Técnico'!$D13=""),"",'Cronograma Asistente Técnico'!$D13)</f>
        <v/>
      </c>
      <c r="E13" s="63">
        <f>IF(OR('Cronograma Asistente Técnico'!$A13="",'Cronograma Asistente Técnico'!$E13=""),"",'Cronograma Asistente Técnico'!$E13)</f>
        <v/>
      </c>
      <c r="F13" s="22">
        <f>IF(OR('Cronograma Asistente Técnico'!$A13="",NOT(ISNUMBER('Cronograma Asistente Técnico'!$E13))),"",IF('Cronograma Asistente Técnico'!$E13&lt;InicioCiclo,"Antes del ciclo",IF('Cronograma Asistente Técnico'!$E13&gt;=InicioCiclo+28,"Después del ciclo","Semana "&amp;(INT(('Cronograma Asistente Técnico'!$E13-InicioCiclo)/7)+1))))</f>
        <v/>
      </c>
      <c r="G13" s="20">
        <f>IF(OR('Cronograma Asistente Técnico'!$A13="",'Cronograma Asistente Técnico'!$G13=""),"",'Cronograma Asistente Técnico'!$G13)</f>
        <v/>
      </c>
      <c r="H13" s="20">
        <f>IF(OR('Cronograma Asistente Técnico'!$A13="",'Cronograma Asistente Técnico'!$H13=""),"",'Cronograma Asistente Técnico'!$H13)</f>
        <v/>
      </c>
      <c r="I13" s="20">
        <f>IF(OR('Cronograma Asistente Técnico'!$A13="",'Cronograma Asistente Técnico'!$I13=""),"",'Cronograma Asistente Técnico'!$I13)</f>
        <v/>
      </c>
      <c r="J13" s="20">
        <f>IF(OR('Cronograma Asistente Técnico'!$A13="",'Cronograma Asistente Técnico'!$J13=""),"",'Cronograma Asistente Técnico'!$J13)</f>
        <v/>
      </c>
      <c r="K13" s="20">
        <f>IF('Cronograma Asistente Técnico'!$A13="","",'Cronograma Asistente Técnico'!$K13)</f>
        <v/>
      </c>
      <c r="L13" s="22">
        <f>IF('Cronograma Asistente Técnico'!$A13="","",IF(N('Cronograma Asistente Técnico'!$K13)&gt;=1,"Completado",IF(AND(ISNUMBER('Cronograma Asistente Técnico'!$E13),'Cronograma Asistente Técnico'!$E13&lt;FechaRef),"Vencida",IF(N('Cronograma Asistente Técnico'!$K13)&gt;0,"En curso","Pendiente"))))</f>
        <v/>
      </c>
      <c r="M13" s="41">
        <f>IF('Cronograma Asistente Técnico'!$A13="","",'Cronograma Asistente Técnico'!$M13&amp;"")</f>
        <v/>
      </c>
    </row>
    <row r="14">
      <c r="A14" s="22">
        <f>IF('Cronograma Asistente Técnico'!$A14="","",'Cronograma Asistente Técnico'!$A14)</f>
        <v/>
      </c>
      <c r="B14" s="41">
        <f>IF('Cronograma Asistente Técnico'!$A14="","",'Cronograma Asistente Técnico'!$B14&amp;"")</f>
        <v/>
      </c>
      <c r="C14" s="41">
        <f>IF('Cronograma Asistente Técnico'!$A14="","",'Cronograma Asistente Técnico'!$C14&amp;"")</f>
        <v/>
      </c>
      <c r="D14" s="63">
        <f>IF(OR('Cronograma Asistente Técnico'!$A14="",'Cronograma Asistente Técnico'!$D14=""),"",'Cronograma Asistente Técnico'!$D14)</f>
        <v/>
      </c>
      <c r="E14" s="63">
        <f>IF(OR('Cronograma Asistente Técnico'!$A14="",'Cronograma Asistente Técnico'!$E14=""),"",'Cronograma Asistente Técnico'!$E14)</f>
        <v/>
      </c>
      <c r="F14" s="22">
        <f>IF(OR('Cronograma Asistente Técnico'!$A14="",NOT(ISNUMBER('Cronograma Asistente Técnico'!$E14))),"",IF('Cronograma Asistente Técnico'!$E14&lt;InicioCiclo,"Antes del ciclo",IF('Cronograma Asistente Técnico'!$E14&gt;=InicioCiclo+28,"Después del ciclo","Semana "&amp;(INT(('Cronograma Asistente Técnico'!$E14-InicioCiclo)/7)+1))))</f>
        <v/>
      </c>
      <c r="G14" s="20">
        <f>IF(OR('Cronograma Asistente Técnico'!$A14="",'Cronograma Asistente Técnico'!$G14=""),"",'Cronograma Asistente Técnico'!$G14)</f>
        <v/>
      </c>
      <c r="H14" s="20">
        <f>IF(OR('Cronograma Asistente Técnico'!$A14="",'Cronograma Asistente Técnico'!$H14=""),"",'Cronograma Asistente Técnico'!$H14)</f>
        <v/>
      </c>
      <c r="I14" s="20">
        <f>IF(OR('Cronograma Asistente Técnico'!$A14="",'Cronograma Asistente Técnico'!$I14=""),"",'Cronograma Asistente Técnico'!$I14)</f>
        <v/>
      </c>
      <c r="J14" s="20">
        <f>IF(OR('Cronograma Asistente Técnico'!$A14="",'Cronograma Asistente Técnico'!$J14=""),"",'Cronograma Asistente Técnico'!$J14)</f>
        <v/>
      </c>
      <c r="K14" s="20">
        <f>IF('Cronograma Asistente Técnico'!$A14="","",'Cronograma Asistente Técnico'!$K14)</f>
        <v/>
      </c>
      <c r="L14" s="22">
        <f>IF('Cronograma Asistente Técnico'!$A14="","",IF(N('Cronograma Asistente Técnico'!$K14)&gt;=1,"Completado",IF(AND(ISNUMBER('Cronograma Asistente Técnico'!$E14),'Cronograma Asistente Técnico'!$E14&lt;FechaRef),"Vencida",IF(N('Cronograma Asistente Técnico'!$K14)&gt;0,"En curso","Pendiente"))))</f>
        <v/>
      </c>
      <c r="M14" s="41">
        <f>IF('Cronograma Asistente Técnico'!$A14="","",'Cronograma Asistente Técnico'!$M14&amp;"")</f>
        <v/>
      </c>
    </row>
    <row r="15">
      <c r="A15" s="22">
        <f>IF('Cronograma Asistente Técnico'!$A15="","",'Cronograma Asistente Técnico'!$A15)</f>
        <v/>
      </c>
      <c r="B15" s="41">
        <f>IF('Cronograma Asistente Técnico'!$A15="","",'Cronograma Asistente Técnico'!$B15&amp;"")</f>
        <v/>
      </c>
      <c r="C15" s="41">
        <f>IF('Cronograma Asistente Técnico'!$A15="","",'Cronograma Asistente Técnico'!$C15&amp;"")</f>
        <v/>
      </c>
      <c r="D15" s="63">
        <f>IF(OR('Cronograma Asistente Técnico'!$A15="",'Cronograma Asistente Técnico'!$D15=""),"",'Cronograma Asistente Técnico'!$D15)</f>
        <v/>
      </c>
      <c r="E15" s="63">
        <f>IF(OR('Cronograma Asistente Técnico'!$A15="",'Cronograma Asistente Técnico'!$E15=""),"",'Cronograma Asistente Técnico'!$E15)</f>
        <v/>
      </c>
      <c r="F15" s="22">
        <f>IF(OR('Cronograma Asistente Técnico'!$A15="",NOT(ISNUMBER('Cronograma Asistente Técnico'!$E15))),"",IF('Cronograma Asistente Técnico'!$E15&lt;InicioCiclo,"Antes del ciclo",IF('Cronograma Asistente Técnico'!$E15&gt;=InicioCiclo+28,"Después del ciclo","Semana "&amp;(INT(('Cronograma Asistente Técnico'!$E15-InicioCiclo)/7)+1))))</f>
        <v/>
      </c>
      <c r="G15" s="20">
        <f>IF(OR('Cronograma Asistente Técnico'!$A15="",'Cronograma Asistente Técnico'!$G15=""),"",'Cronograma Asistente Técnico'!$G15)</f>
        <v/>
      </c>
      <c r="H15" s="20">
        <f>IF(OR('Cronograma Asistente Técnico'!$A15="",'Cronograma Asistente Técnico'!$H15=""),"",'Cronograma Asistente Técnico'!$H15)</f>
        <v/>
      </c>
      <c r="I15" s="20">
        <f>IF(OR('Cronograma Asistente Técnico'!$A15="",'Cronograma Asistente Técnico'!$I15=""),"",'Cronograma Asistente Técnico'!$I15)</f>
        <v/>
      </c>
      <c r="J15" s="20">
        <f>IF(OR('Cronograma Asistente Técnico'!$A15="",'Cronograma Asistente Técnico'!$J15=""),"",'Cronograma Asistente Técnico'!$J15)</f>
        <v/>
      </c>
      <c r="K15" s="20">
        <f>IF('Cronograma Asistente Técnico'!$A15="","",'Cronograma Asistente Técnico'!$K15)</f>
        <v/>
      </c>
      <c r="L15" s="22">
        <f>IF('Cronograma Asistente Técnico'!$A15="","",IF(N('Cronograma Asistente Técnico'!$K15)&gt;=1,"Completado",IF(AND(ISNUMBER('Cronograma Asistente Técnico'!$E15),'Cronograma Asistente Técnico'!$E15&lt;FechaRef),"Vencida",IF(N('Cronograma Asistente Técnico'!$K15)&gt;0,"En curso","Pendiente"))))</f>
        <v/>
      </c>
      <c r="M15" s="41">
        <f>IF('Cronograma Asistente Técnico'!$A15="","",'Cronograma Asistente Técnico'!$M15&amp;"")</f>
        <v/>
      </c>
    </row>
    <row r="16">
      <c r="A16" s="22">
        <f>IF('Cronograma Asistente Técnico'!$A16="","",'Cronograma Asistente Técnico'!$A16)</f>
        <v/>
      </c>
      <c r="B16" s="41">
        <f>IF('Cronograma Asistente Técnico'!$A16="","",'Cronograma Asistente Técnico'!$B16&amp;"")</f>
        <v/>
      </c>
      <c r="C16" s="41">
        <f>IF('Cronograma Asistente Técnico'!$A16="","",'Cronograma Asistente Técnico'!$C16&amp;"")</f>
        <v/>
      </c>
      <c r="D16" s="63">
        <f>IF(OR('Cronograma Asistente Técnico'!$A16="",'Cronograma Asistente Técnico'!$D16=""),"",'Cronograma Asistente Técnico'!$D16)</f>
        <v/>
      </c>
      <c r="E16" s="63">
        <f>IF(OR('Cronograma Asistente Técnico'!$A16="",'Cronograma Asistente Técnico'!$E16=""),"",'Cronograma Asistente Técnico'!$E16)</f>
        <v/>
      </c>
      <c r="F16" s="22">
        <f>IF(OR('Cronograma Asistente Técnico'!$A16="",NOT(ISNUMBER('Cronograma Asistente Técnico'!$E16))),"",IF('Cronograma Asistente Técnico'!$E16&lt;InicioCiclo,"Antes del ciclo",IF('Cronograma Asistente Técnico'!$E16&gt;=InicioCiclo+28,"Después del ciclo","Semana "&amp;(INT(('Cronograma Asistente Técnico'!$E16-InicioCiclo)/7)+1))))</f>
        <v/>
      </c>
      <c r="G16" s="20">
        <f>IF(OR('Cronograma Asistente Técnico'!$A16="",'Cronograma Asistente Técnico'!$G16=""),"",'Cronograma Asistente Técnico'!$G16)</f>
        <v/>
      </c>
      <c r="H16" s="20">
        <f>IF(OR('Cronograma Asistente Técnico'!$A16="",'Cronograma Asistente Técnico'!$H16=""),"",'Cronograma Asistente Técnico'!$H16)</f>
        <v/>
      </c>
      <c r="I16" s="20">
        <f>IF(OR('Cronograma Asistente Técnico'!$A16="",'Cronograma Asistente Técnico'!$I16=""),"",'Cronograma Asistente Técnico'!$I16)</f>
        <v/>
      </c>
      <c r="J16" s="20">
        <f>IF(OR('Cronograma Asistente Técnico'!$A16="",'Cronograma Asistente Técnico'!$J16=""),"",'Cronograma Asistente Técnico'!$J16)</f>
        <v/>
      </c>
      <c r="K16" s="20">
        <f>IF('Cronograma Asistente Técnico'!$A16="","",'Cronograma Asistente Técnico'!$K16)</f>
        <v/>
      </c>
      <c r="L16" s="22">
        <f>IF('Cronograma Asistente Técnico'!$A16="","",IF(N('Cronograma Asistente Técnico'!$K16)&gt;=1,"Completado",IF(AND(ISNUMBER('Cronograma Asistente Técnico'!$E16),'Cronograma Asistente Técnico'!$E16&lt;FechaRef),"Vencida",IF(N('Cronograma Asistente Técnico'!$K16)&gt;0,"En curso","Pendiente"))))</f>
        <v/>
      </c>
      <c r="M16" s="41">
        <f>IF('Cronograma Asistente Técnico'!$A16="","",'Cronograma Asistente Técnico'!$M16&amp;"")</f>
        <v/>
      </c>
    </row>
    <row r="17">
      <c r="A17" s="22">
        <f>IF('Cronograma Asistente Técnico'!$A17="","",'Cronograma Asistente Técnico'!$A17)</f>
        <v/>
      </c>
      <c r="B17" s="41">
        <f>IF('Cronograma Asistente Técnico'!$A17="","",'Cronograma Asistente Técnico'!$B17&amp;"")</f>
        <v/>
      </c>
      <c r="C17" s="41">
        <f>IF('Cronograma Asistente Técnico'!$A17="","",'Cronograma Asistente Técnico'!$C17&amp;"")</f>
        <v/>
      </c>
      <c r="D17" s="63">
        <f>IF(OR('Cronograma Asistente Técnico'!$A17="",'Cronograma Asistente Técnico'!$D17=""),"",'Cronograma Asistente Técnico'!$D17)</f>
        <v/>
      </c>
      <c r="E17" s="63">
        <f>IF(OR('Cronograma Asistente Técnico'!$A17="",'Cronograma Asistente Técnico'!$E17=""),"",'Cronograma Asistente Técnico'!$E17)</f>
        <v/>
      </c>
      <c r="F17" s="22">
        <f>IF(OR('Cronograma Asistente Técnico'!$A17="",NOT(ISNUMBER('Cronograma Asistente Técnico'!$E17))),"",IF('Cronograma Asistente Técnico'!$E17&lt;InicioCiclo,"Antes del ciclo",IF('Cronograma Asistente Técnico'!$E17&gt;=InicioCiclo+28,"Después del ciclo","Semana "&amp;(INT(('Cronograma Asistente Técnico'!$E17-InicioCiclo)/7)+1))))</f>
        <v/>
      </c>
      <c r="G17" s="20">
        <f>IF(OR('Cronograma Asistente Técnico'!$A17="",'Cronograma Asistente Técnico'!$G17=""),"",'Cronograma Asistente Técnico'!$G17)</f>
        <v/>
      </c>
      <c r="H17" s="20">
        <f>IF(OR('Cronograma Asistente Técnico'!$A17="",'Cronograma Asistente Técnico'!$H17=""),"",'Cronograma Asistente Técnico'!$H17)</f>
        <v/>
      </c>
      <c r="I17" s="20">
        <f>IF(OR('Cronograma Asistente Técnico'!$A17="",'Cronograma Asistente Técnico'!$I17=""),"",'Cronograma Asistente Técnico'!$I17)</f>
        <v/>
      </c>
      <c r="J17" s="20">
        <f>IF(OR('Cronograma Asistente Técnico'!$A17="",'Cronograma Asistente Técnico'!$J17=""),"",'Cronograma Asistente Técnico'!$J17)</f>
        <v/>
      </c>
      <c r="K17" s="20">
        <f>IF('Cronograma Asistente Técnico'!$A17="","",'Cronograma Asistente Técnico'!$K17)</f>
        <v/>
      </c>
      <c r="L17" s="22">
        <f>IF('Cronograma Asistente Técnico'!$A17="","",IF(N('Cronograma Asistente Técnico'!$K17)&gt;=1,"Completado",IF(AND(ISNUMBER('Cronograma Asistente Técnico'!$E17),'Cronograma Asistente Técnico'!$E17&lt;FechaRef),"Vencida",IF(N('Cronograma Asistente Técnico'!$K17)&gt;0,"En curso","Pendiente"))))</f>
        <v/>
      </c>
      <c r="M17" s="41">
        <f>IF('Cronograma Asistente Técnico'!$A17="","",'Cronograma Asistente Técnico'!$M17&amp;"")</f>
        <v/>
      </c>
    </row>
    <row r="18">
      <c r="A18" s="22">
        <f>IF('Cronograma Asistente Técnico'!$A18="","",'Cronograma Asistente Técnico'!$A18)</f>
        <v/>
      </c>
      <c r="B18" s="41">
        <f>IF('Cronograma Asistente Técnico'!$A18="","",'Cronograma Asistente Técnico'!$B18&amp;"")</f>
        <v/>
      </c>
      <c r="C18" s="41">
        <f>IF('Cronograma Asistente Técnico'!$A18="","",'Cronograma Asistente Técnico'!$C18&amp;"")</f>
        <v/>
      </c>
      <c r="D18" s="63">
        <f>IF(OR('Cronograma Asistente Técnico'!$A18="",'Cronograma Asistente Técnico'!$D18=""),"",'Cronograma Asistente Técnico'!$D18)</f>
        <v/>
      </c>
      <c r="E18" s="63">
        <f>IF(OR('Cronograma Asistente Técnico'!$A18="",'Cronograma Asistente Técnico'!$E18=""),"",'Cronograma Asistente Técnico'!$E18)</f>
        <v/>
      </c>
      <c r="F18" s="22">
        <f>IF(OR('Cronograma Asistente Técnico'!$A18="",NOT(ISNUMBER('Cronograma Asistente Técnico'!$E18))),"",IF('Cronograma Asistente Técnico'!$E18&lt;InicioCiclo,"Antes del ciclo",IF('Cronograma Asistente Técnico'!$E18&gt;=InicioCiclo+28,"Después del ciclo","Semana "&amp;(INT(('Cronograma Asistente Técnico'!$E18-InicioCiclo)/7)+1))))</f>
        <v/>
      </c>
      <c r="G18" s="20">
        <f>IF(OR('Cronograma Asistente Técnico'!$A18="",'Cronograma Asistente Técnico'!$G18=""),"",'Cronograma Asistente Técnico'!$G18)</f>
        <v/>
      </c>
      <c r="H18" s="20">
        <f>IF(OR('Cronograma Asistente Técnico'!$A18="",'Cronograma Asistente Técnico'!$H18=""),"",'Cronograma Asistente Técnico'!$H18)</f>
        <v/>
      </c>
      <c r="I18" s="20">
        <f>IF(OR('Cronograma Asistente Técnico'!$A18="",'Cronograma Asistente Técnico'!$I18=""),"",'Cronograma Asistente Técnico'!$I18)</f>
        <v/>
      </c>
      <c r="J18" s="20">
        <f>IF(OR('Cronograma Asistente Técnico'!$A18="",'Cronograma Asistente Técnico'!$J18=""),"",'Cronograma Asistente Técnico'!$J18)</f>
        <v/>
      </c>
      <c r="K18" s="20">
        <f>IF('Cronograma Asistente Técnico'!$A18="","",'Cronograma Asistente Técnico'!$K18)</f>
        <v/>
      </c>
      <c r="L18" s="22">
        <f>IF('Cronograma Asistente Técnico'!$A18="","",IF(N('Cronograma Asistente Técnico'!$K18)&gt;=1,"Completado",IF(AND(ISNUMBER('Cronograma Asistente Técnico'!$E18),'Cronograma Asistente Técnico'!$E18&lt;FechaRef),"Vencida",IF(N('Cronograma Asistente Técnico'!$K18)&gt;0,"En curso","Pendiente"))))</f>
        <v/>
      </c>
      <c r="M18" s="41">
        <f>IF('Cronograma Asistente Técnico'!$A18="","",'Cronograma Asistente Técnico'!$M18&amp;"")</f>
        <v/>
      </c>
    </row>
    <row r="19">
      <c r="A19" s="22">
        <f>IF('Cronograma Asistente Técnico'!$A19="","",'Cronograma Asistente Técnico'!$A19)</f>
        <v/>
      </c>
      <c r="B19" s="41">
        <f>IF('Cronograma Asistente Técnico'!$A19="","",'Cronograma Asistente Técnico'!$B19&amp;"")</f>
        <v/>
      </c>
      <c r="C19" s="41">
        <f>IF('Cronograma Asistente Técnico'!$A19="","",'Cronograma Asistente Técnico'!$C19&amp;"")</f>
        <v/>
      </c>
      <c r="D19" s="63">
        <f>IF(OR('Cronograma Asistente Técnico'!$A19="",'Cronograma Asistente Técnico'!$D19=""),"",'Cronograma Asistente Técnico'!$D19)</f>
        <v/>
      </c>
      <c r="E19" s="63">
        <f>IF(OR('Cronograma Asistente Técnico'!$A19="",'Cronograma Asistente Técnico'!$E19=""),"",'Cronograma Asistente Técnico'!$E19)</f>
        <v/>
      </c>
      <c r="F19" s="22">
        <f>IF(OR('Cronograma Asistente Técnico'!$A19="",NOT(ISNUMBER('Cronograma Asistente Técnico'!$E19))),"",IF('Cronograma Asistente Técnico'!$E19&lt;InicioCiclo,"Antes del ciclo",IF('Cronograma Asistente Técnico'!$E19&gt;=InicioCiclo+28,"Después del ciclo","Semana "&amp;(INT(('Cronograma Asistente Técnico'!$E19-InicioCiclo)/7)+1))))</f>
        <v/>
      </c>
      <c r="G19" s="20">
        <f>IF(OR('Cronograma Asistente Técnico'!$A19="",'Cronograma Asistente Técnico'!$G19=""),"",'Cronograma Asistente Técnico'!$G19)</f>
        <v/>
      </c>
      <c r="H19" s="20">
        <f>IF(OR('Cronograma Asistente Técnico'!$A19="",'Cronograma Asistente Técnico'!$H19=""),"",'Cronograma Asistente Técnico'!$H19)</f>
        <v/>
      </c>
      <c r="I19" s="20">
        <f>IF(OR('Cronograma Asistente Técnico'!$A19="",'Cronograma Asistente Técnico'!$I19=""),"",'Cronograma Asistente Técnico'!$I19)</f>
        <v/>
      </c>
      <c r="J19" s="20">
        <f>IF(OR('Cronograma Asistente Técnico'!$A19="",'Cronograma Asistente Técnico'!$J19=""),"",'Cronograma Asistente Técnico'!$J19)</f>
        <v/>
      </c>
      <c r="K19" s="20">
        <f>IF('Cronograma Asistente Técnico'!$A19="","",'Cronograma Asistente Técnico'!$K19)</f>
        <v/>
      </c>
      <c r="L19" s="22">
        <f>IF('Cronograma Asistente Técnico'!$A19="","",IF(N('Cronograma Asistente Técnico'!$K19)&gt;=1,"Completado",IF(AND(ISNUMBER('Cronograma Asistente Técnico'!$E19),'Cronograma Asistente Técnico'!$E19&lt;FechaRef),"Vencida",IF(N('Cronograma Asistente Técnico'!$K19)&gt;0,"En curso","Pendiente"))))</f>
        <v/>
      </c>
      <c r="M19" s="41">
        <f>IF('Cronograma Asistente Técnico'!$A19="","",'Cronograma Asistente Técnico'!$M19&amp;"")</f>
        <v/>
      </c>
    </row>
    <row r="20">
      <c r="A20" s="22">
        <f>IF('Cronograma Asistente Técnico'!$A20="","",'Cronograma Asistente Técnico'!$A20)</f>
        <v/>
      </c>
      <c r="B20" s="41">
        <f>IF('Cronograma Asistente Técnico'!$A20="","",'Cronograma Asistente Técnico'!$B20&amp;"")</f>
        <v/>
      </c>
      <c r="C20" s="41">
        <f>IF('Cronograma Asistente Técnico'!$A20="","",'Cronograma Asistente Técnico'!$C20&amp;"")</f>
        <v/>
      </c>
      <c r="D20" s="63">
        <f>IF(OR('Cronograma Asistente Técnico'!$A20="",'Cronograma Asistente Técnico'!$D20=""),"",'Cronograma Asistente Técnico'!$D20)</f>
        <v/>
      </c>
      <c r="E20" s="63">
        <f>IF(OR('Cronograma Asistente Técnico'!$A20="",'Cronograma Asistente Técnico'!$E20=""),"",'Cronograma Asistente Técnico'!$E20)</f>
        <v/>
      </c>
      <c r="F20" s="22">
        <f>IF(OR('Cronograma Asistente Técnico'!$A20="",NOT(ISNUMBER('Cronograma Asistente Técnico'!$E20))),"",IF('Cronograma Asistente Técnico'!$E20&lt;InicioCiclo,"Antes del ciclo",IF('Cronograma Asistente Técnico'!$E20&gt;=InicioCiclo+28,"Después del ciclo","Semana "&amp;(INT(('Cronograma Asistente Técnico'!$E20-InicioCiclo)/7)+1))))</f>
        <v/>
      </c>
      <c r="G20" s="20">
        <f>IF(OR('Cronograma Asistente Técnico'!$A20="",'Cronograma Asistente Técnico'!$G20=""),"",'Cronograma Asistente Técnico'!$G20)</f>
        <v/>
      </c>
      <c r="H20" s="20">
        <f>IF(OR('Cronograma Asistente Técnico'!$A20="",'Cronograma Asistente Técnico'!$H20=""),"",'Cronograma Asistente Técnico'!$H20)</f>
        <v/>
      </c>
      <c r="I20" s="20">
        <f>IF(OR('Cronograma Asistente Técnico'!$A20="",'Cronograma Asistente Técnico'!$I20=""),"",'Cronograma Asistente Técnico'!$I20)</f>
        <v/>
      </c>
      <c r="J20" s="20">
        <f>IF(OR('Cronograma Asistente Técnico'!$A20="",'Cronograma Asistente Técnico'!$J20=""),"",'Cronograma Asistente Técnico'!$J20)</f>
        <v/>
      </c>
      <c r="K20" s="20">
        <f>IF('Cronograma Asistente Técnico'!$A20="","",'Cronograma Asistente Técnico'!$K20)</f>
        <v/>
      </c>
      <c r="L20" s="22">
        <f>IF('Cronograma Asistente Técnico'!$A20="","",IF(N('Cronograma Asistente Técnico'!$K20)&gt;=1,"Completado",IF(AND(ISNUMBER('Cronograma Asistente Técnico'!$E20),'Cronograma Asistente Técnico'!$E20&lt;FechaRef),"Vencida",IF(N('Cronograma Asistente Técnico'!$K20)&gt;0,"En curso","Pendiente"))))</f>
        <v/>
      </c>
      <c r="M20" s="41">
        <f>IF('Cronograma Asistente Técnico'!$A20="","",'Cronograma Asistente Técnico'!$M20&amp;"")</f>
        <v/>
      </c>
    </row>
    <row r="21">
      <c r="A21" s="22">
        <f>IF('Cronograma Asistente Técnico'!$A21="","",'Cronograma Asistente Técnico'!$A21)</f>
        <v/>
      </c>
      <c r="B21" s="41">
        <f>IF('Cronograma Asistente Técnico'!$A21="","",'Cronograma Asistente Técnico'!$B21&amp;"")</f>
        <v/>
      </c>
      <c r="C21" s="41">
        <f>IF('Cronograma Asistente Técnico'!$A21="","",'Cronograma Asistente Técnico'!$C21&amp;"")</f>
        <v/>
      </c>
      <c r="D21" s="63">
        <f>IF(OR('Cronograma Asistente Técnico'!$A21="",'Cronograma Asistente Técnico'!$D21=""),"",'Cronograma Asistente Técnico'!$D21)</f>
        <v/>
      </c>
      <c r="E21" s="63">
        <f>IF(OR('Cronograma Asistente Técnico'!$A21="",'Cronograma Asistente Técnico'!$E21=""),"",'Cronograma Asistente Técnico'!$E21)</f>
        <v/>
      </c>
      <c r="F21" s="22">
        <f>IF(OR('Cronograma Asistente Técnico'!$A21="",NOT(ISNUMBER('Cronograma Asistente Técnico'!$E21))),"",IF('Cronograma Asistente Técnico'!$E21&lt;InicioCiclo,"Antes del ciclo",IF('Cronograma Asistente Técnico'!$E21&gt;=InicioCiclo+28,"Después del ciclo","Semana "&amp;(INT(('Cronograma Asistente Técnico'!$E21-InicioCiclo)/7)+1))))</f>
        <v/>
      </c>
      <c r="G21" s="20">
        <f>IF(OR('Cronograma Asistente Técnico'!$A21="",'Cronograma Asistente Técnico'!$G21=""),"",'Cronograma Asistente Técnico'!$G21)</f>
        <v/>
      </c>
      <c r="H21" s="20">
        <f>IF(OR('Cronograma Asistente Técnico'!$A21="",'Cronograma Asistente Técnico'!$H21=""),"",'Cronograma Asistente Técnico'!$H21)</f>
        <v/>
      </c>
      <c r="I21" s="20">
        <f>IF(OR('Cronograma Asistente Técnico'!$A21="",'Cronograma Asistente Técnico'!$I21=""),"",'Cronograma Asistente Técnico'!$I21)</f>
        <v/>
      </c>
      <c r="J21" s="20">
        <f>IF(OR('Cronograma Asistente Técnico'!$A21="",'Cronograma Asistente Técnico'!$J21=""),"",'Cronograma Asistente Técnico'!$J21)</f>
        <v/>
      </c>
      <c r="K21" s="20">
        <f>IF('Cronograma Asistente Técnico'!$A21="","",'Cronograma Asistente Técnico'!$K21)</f>
        <v/>
      </c>
      <c r="L21" s="22">
        <f>IF('Cronograma Asistente Técnico'!$A21="","",IF(N('Cronograma Asistente Técnico'!$K21)&gt;=1,"Completado",IF(AND(ISNUMBER('Cronograma Asistente Técnico'!$E21),'Cronograma Asistente Técnico'!$E21&lt;FechaRef),"Vencida",IF(N('Cronograma Asistente Técnico'!$K21)&gt;0,"En curso","Pendiente"))))</f>
        <v/>
      </c>
      <c r="M21" s="41">
        <f>IF('Cronograma Asistente Técnico'!$A21="","",'Cronograma Asistente Técnico'!$M21&amp;"")</f>
        <v/>
      </c>
    </row>
    <row r="22">
      <c r="A22" s="22">
        <f>IF('Cronograma Asistente Técnico'!$A22="","",'Cronograma Asistente Técnico'!$A22)</f>
        <v/>
      </c>
      <c r="B22" s="41">
        <f>IF('Cronograma Asistente Técnico'!$A22="","",'Cronograma Asistente Técnico'!$B22&amp;"")</f>
        <v/>
      </c>
      <c r="C22" s="41">
        <f>IF('Cronograma Asistente Técnico'!$A22="","",'Cronograma Asistente Técnico'!$C22&amp;"")</f>
        <v/>
      </c>
      <c r="D22" s="63">
        <f>IF(OR('Cronograma Asistente Técnico'!$A22="",'Cronograma Asistente Técnico'!$D22=""),"",'Cronograma Asistente Técnico'!$D22)</f>
        <v/>
      </c>
      <c r="E22" s="63">
        <f>IF(OR('Cronograma Asistente Técnico'!$A22="",'Cronograma Asistente Técnico'!$E22=""),"",'Cronograma Asistente Técnico'!$E22)</f>
        <v/>
      </c>
      <c r="F22" s="22">
        <f>IF(OR('Cronograma Asistente Técnico'!$A22="",NOT(ISNUMBER('Cronograma Asistente Técnico'!$E22))),"",IF('Cronograma Asistente Técnico'!$E22&lt;InicioCiclo,"Antes del ciclo",IF('Cronograma Asistente Técnico'!$E22&gt;=InicioCiclo+28,"Después del ciclo","Semana "&amp;(INT(('Cronograma Asistente Técnico'!$E22-InicioCiclo)/7)+1))))</f>
        <v/>
      </c>
      <c r="G22" s="20">
        <f>IF(OR('Cronograma Asistente Técnico'!$A22="",'Cronograma Asistente Técnico'!$G22=""),"",'Cronograma Asistente Técnico'!$G22)</f>
        <v/>
      </c>
      <c r="H22" s="20">
        <f>IF(OR('Cronograma Asistente Técnico'!$A22="",'Cronograma Asistente Técnico'!$H22=""),"",'Cronograma Asistente Técnico'!$H22)</f>
        <v/>
      </c>
      <c r="I22" s="20">
        <f>IF(OR('Cronograma Asistente Técnico'!$A22="",'Cronograma Asistente Técnico'!$I22=""),"",'Cronograma Asistente Técnico'!$I22)</f>
        <v/>
      </c>
      <c r="J22" s="20">
        <f>IF(OR('Cronograma Asistente Técnico'!$A22="",'Cronograma Asistente Técnico'!$J22=""),"",'Cronograma Asistente Técnico'!$J22)</f>
        <v/>
      </c>
      <c r="K22" s="20">
        <f>IF('Cronograma Asistente Técnico'!$A22="","",'Cronograma Asistente Técnico'!$K22)</f>
        <v/>
      </c>
      <c r="L22" s="22">
        <f>IF('Cronograma Asistente Técnico'!$A22="","",IF(N('Cronograma Asistente Técnico'!$K22)&gt;=1,"Completado",IF(AND(ISNUMBER('Cronograma Asistente Técnico'!$E22),'Cronograma Asistente Técnico'!$E22&lt;FechaRef),"Vencida",IF(N('Cronograma Asistente Técnico'!$K22)&gt;0,"En curso","Pendiente"))))</f>
        <v/>
      </c>
      <c r="M22" s="41">
        <f>IF('Cronograma Asistente Técnico'!$A22="","",'Cronograma Asistente Técnico'!$M22&amp;"")</f>
        <v/>
      </c>
    </row>
    <row r="23">
      <c r="A23" s="22">
        <f>IF('Cronograma Asistente Técnico'!$A23="","",'Cronograma Asistente Técnico'!$A23)</f>
        <v/>
      </c>
      <c r="B23" s="41">
        <f>IF('Cronograma Asistente Técnico'!$A23="","",'Cronograma Asistente Técnico'!$B23&amp;"")</f>
        <v/>
      </c>
      <c r="C23" s="41">
        <f>IF('Cronograma Asistente Técnico'!$A23="","",'Cronograma Asistente Técnico'!$C23&amp;"")</f>
        <v/>
      </c>
      <c r="D23" s="63">
        <f>IF(OR('Cronograma Asistente Técnico'!$A23="",'Cronograma Asistente Técnico'!$D23=""),"",'Cronograma Asistente Técnico'!$D23)</f>
        <v/>
      </c>
      <c r="E23" s="63">
        <f>IF(OR('Cronograma Asistente Técnico'!$A23="",'Cronograma Asistente Técnico'!$E23=""),"",'Cronograma Asistente Técnico'!$E23)</f>
        <v/>
      </c>
      <c r="F23" s="22">
        <f>IF(OR('Cronograma Asistente Técnico'!$A23="",NOT(ISNUMBER('Cronograma Asistente Técnico'!$E23))),"",IF('Cronograma Asistente Técnico'!$E23&lt;InicioCiclo,"Antes del ciclo",IF('Cronograma Asistente Técnico'!$E23&gt;=InicioCiclo+28,"Después del ciclo","Semana "&amp;(INT(('Cronograma Asistente Técnico'!$E23-InicioCiclo)/7)+1))))</f>
        <v/>
      </c>
      <c r="G23" s="20">
        <f>IF(OR('Cronograma Asistente Técnico'!$A23="",'Cronograma Asistente Técnico'!$G23=""),"",'Cronograma Asistente Técnico'!$G23)</f>
        <v/>
      </c>
      <c r="H23" s="20">
        <f>IF(OR('Cronograma Asistente Técnico'!$A23="",'Cronograma Asistente Técnico'!$H23=""),"",'Cronograma Asistente Técnico'!$H23)</f>
        <v/>
      </c>
      <c r="I23" s="20">
        <f>IF(OR('Cronograma Asistente Técnico'!$A23="",'Cronograma Asistente Técnico'!$I23=""),"",'Cronograma Asistente Técnico'!$I23)</f>
        <v/>
      </c>
      <c r="J23" s="20">
        <f>IF(OR('Cronograma Asistente Técnico'!$A23="",'Cronograma Asistente Técnico'!$J23=""),"",'Cronograma Asistente Técnico'!$J23)</f>
        <v/>
      </c>
      <c r="K23" s="20">
        <f>IF('Cronograma Asistente Técnico'!$A23="","",'Cronograma Asistente Técnico'!$K23)</f>
        <v/>
      </c>
      <c r="L23" s="22">
        <f>IF('Cronograma Asistente Técnico'!$A23="","",IF(N('Cronograma Asistente Técnico'!$K23)&gt;=1,"Completado",IF(AND(ISNUMBER('Cronograma Asistente Técnico'!$E23),'Cronograma Asistente Técnico'!$E23&lt;FechaRef),"Vencida",IF(N('Cronograma Asistente Técnico'!$K23)&gt;0,"En curso","Pendiente"))))</f>
        <v/>
      </c>
      <c r="M23" s="41">
        <f>IF('Cronograma Asistente Técnico'!$A23="","",'Cronograma Asistente Técnico'!$M23&amp;"")</f>
        <v/>
      </c>
    </row>
    <row r="24">
      <c r="A24" s="22">
        <f>IF('Cronograma Asistente Técnico'!$A24="","",'Cronograma Asistente Técnico'!$A24)</f>
        <v/>
      </c>
      <c r="B24" s="41">
        <f>IF('Cronograma Asistente Técnico'!$A24="","",'Cronograma Asistente Técnico'!$B24&amp;"")</f>
        <v/>
      </c>
      <c r="C24" s="41">
        <f>IF('Cronograma Asistente Técnico'!$A24="","",'Cronograma Asistente Técnico'!$C24&amp;"")</f>
        <v/>
      </c>
      <c r="D24" s="63">
        <f>IF(OR('Cronograma Asistente Técnico'!$A24="",'Cronograma Asistente Técnico'!$D24=""),"",'Cronograma Asistente Técnico'!$D24)</f>
        <v/>
      </c>
      <c r="E24" s="63">
        <f>IF(OR('Cronograma Asistente Técnico'!$A24="",'Cronograma Asistente Técnico'!$E24=""),"",'Cronograma Asistente Técnico'!$E24)</f>
        <v/>
      </c>
      <c r="F24" s="22">
        <f>IF(OR('Cronograma Asistente Técnico'!$A24="",NOT(ISNUMBER('Cronograma Asistente Técnico'!$E24))),"",IF('Cronograma Asistente Técnico'!$E24&lt;InicioCiclo,"Antes del ciclo",IF('Cronograma Asistente Técnico'!$E24&gt;=InicioCiclo+28,"Después del ciclo","Semana "&amp;(INT(('Cronograma Asistente Técnico'!$E24-InicioCiclo)/7)+1))))</f>
        <v/>
      </c>
      <c r="G24" s="20">
        <f>IF(OR('Cronograma Asistente Técnico'!$A24="",'Cronograma Asistente Técnico'!$G24=""),"",'Cronograma Asistente Técnico'!$G24)</f>
        <v/>
      </c>
      <c r="H24" s="20">
        <f>IF(OR('Cronograma Asistente Técnico'!$A24="",'Cronograma Asistente Técnico'!$H24=""),"",'Cronograma Asistente Técnico'!$H24)</f>
        <v/>
      </c>
      <c r="I24" s="20">
        <f>IF(OR('Cronograma Asistente Técnico'!$A24="",'Cronograma Asistente Técnico'!$I24=""),"",'Cronograma Asistente Técnico'!$I24)</f>
        <v/>
      </c>
      <c r="J24" s="20">
        <f>IF(OR('Cronograma Asistente Técnico'!$A24="",'Cronograma Asistente Técnico'!$J24=""),"",'Cronograma Asistente Técnico'!$J24)</f>
        <v/>
      </c>
      <c r="K24" s="20">
        <f>IF('Cronograma Asistente Técnico'!$A24="","",'Cronograma Asistente Técnico'!$K24)</f>
        <v/>
      </c>
      <c r="L24" s="22">
        <f>IF('Cronograma Asistente Técnico'!$A24="","",IF(N('Cronograma Asistente Técnico'!$K24)&gt;=1,"Completado",IF(AND(ISNUMBER('Cronograma Asistente Técnico'!$E24),'Cronograma Asistente Técnico'!$E24&lt;FechaRef),"Vencida",IF(N('Cronograma Asistente Técnico'!$K24)&gt;0,"En curso","Pendiente"))))</f>
        <v/>
      </c>
      <c r="M24" s="41">
        <f>IF('Cronograma Asistente Técnico'!$A24="","",'Cronograma Asistente Técnico'!$M24&amp;"")</f>
        <v/>
      </c>
    </row>
    <row r="25">
      <c r="A25" s="22">
        <f>IF('Cronograma Asistente Técnico'!$A25="","",'Cronograma Asistente Técnico'!$A25)</f>
        <v/>
      </c>
      <c r="B25" s="41">
        <f>IF('Cronograma Asistente Técnico'!$A25="","",'Cronograma Asistente Técnico'!$B25&amp;"")</f>
        <v/>
      </c>
      <c r="C25" s="41">
        <f>IF('Cronograma Asistente Técnico'!$A25="","",'Cronograma Asistente Técnico'!$C25&amp;"")</f>
        <v/>
      </c>
      <c r="D25" s="63">
        <f>IF(OR('Cronograma Asistente Técnico'!$A25="",'Cronograma Asistente Técnico'!$D25=""),"",'Cronograma Asistente Técnico'!$D25)</f>
        <v/>
      </c>
      <c r="E25" s="63">
        <f>IF(OR('Cronograma Asistente Técnico'!$A25="",'Cronograma Asistente Técnico'!$E25=""),"",'Cronograma Asistente Técnico'!$E25)</f>
        <v/>
      </c>
      <c r="F25" s="22">
        <f>IF(OR('Cronograma Asistente Técnico'!$A25="",NOT(ISNUMBER('Cronograma Asistente Técnico'!$E25))),"",IF('Cronograma Asistente Técnico'!$E25&lt;InicioCiclo,"Antes del ciclo",IF('Cronograma Asistente Técnico'!$E25&gt;=InicioCiclo+28,"Después del ciclo","Semana "&amp;(INT(('Cronograma Asistente Técnico'!$E25-InicioCiclo)/7)+1))))</f>
        <v/>
      </c>
      <c r="G25" s="20">
        <f>IF(OR('Cronograma Asistente Técnico'!$A25="",'Cronograma Asistente Técnico'!$G25=""),"",'Cronograma Asistente Técnico'!$G25)</f>
        <v/>
      </c>
      <c r="H25" s="20">
        <f>IF(OR('Cronograma Asistente Técnico'!$A25="",'Cronograma Asistente Técnico'!$H25=""),"",'Cronograma Asistente Técnico'!$H25)</f>
        <v/>
      </c>
      <c r="I25" s="20">
        <f>IF(OR('Cronograma Asistente Técnico'!$A25="",'Cronograma Asistente Técnico'!$I25=""),"",'Cronograma Asistente Técnico'!$I25)</f>
        <v/>
      </c>
      <c r="J25" s="20">
        <f>IF(OR('Cronograma Asistente Técnico'!$A25="",'Cronograma Asistente Técnico'!$J25=""),"",'Cronograma Asistente Técnico'!$J25)</f>
        <v/>
      </c>
      <c r="K25" s="20">
        <f>IF('Cronograma Asistente Técnico'!$A25="","",'Cronograma Asistente Técnico'!$K25)</f>
        <v/>
      </c>
      <c r="L25" s="22">
        <f>IF('Cronograma Asistente Técnico'!$A25="","",IF(N('Cronograma Asistente Técnico'!$K25)&gt;=1,"Completado",IF(AND(ISNUMBER('Cronograma Asistente Técnico'!$E25),'Cronograma Asistente Técnico'!$E25&lt;FechaRef),"Vencida",IF(N('Cronograma Asistente Técnico'!$K25)&gt;0,"En curso","Pendiente"))))</f>
        <v/>
      </c>
      <c r="M25" s="41">
        <f>IF('Cronograma Asistente Técnico'!$A25="","",'Cronograma Asistente Técnico'!$M25&amp;"")</f>
        <v/>
      </c>
    </row>
    <row r="26">
      <c r="A26" s="22">
        <f>IF('Cronograma Asistente Técnico'!$A26="","",'Cronograma Asistente Técnico'!$A26)</f>
        <v/>
      </c>
      <c r="B26" s="41">
        <f>IF('Cronograma Asistente Técnico'!$A26="","",'Cronograma Asistente Técnico'!$B26&amp;"")</f>
        <v/>
      </c>
      <c r="C26" s="41">
        <f>IF('Cronograma Asistente Técnico'!$A26="","",'Cronograma Asistente Técnico'!$C26&amp;"")</f>
        <v/>
      </c>
      <c r="D26" s="63">
        <f>IF(OR('Cronograma Asistente Técnico'!$A26="",'Cronograma Asistente Técnico'!$D26=""),"",'Cronograma Asistente Técnico'!$D26)</f>
        <v/>
      </c>
      <c r="E26" s="63">
        <f>IF(OR('Cronograma Asistente Técnico'!$A26="",'Cronograma Asistente Técnico'!$E26=""),"",'Cronograma Asistente Técnico'!$E26)</f>
        <v/>
      </c>
      <c r="F26" s="22">
        <f>IF(OR('Cronograma Asistente Técnico'!$A26="",NOT(ISNUMBER('Cronograma Asistente Técnico'!$E26))),"",IF('Cronograma Asistente Técnico'!$E26&lt;InicioCiclo,"Antes del ciclo",IF('Cronograma Asistente Técnico'!$E26&gt;=InicioCiclo+28,"Después del ciclo","Semana "&amp;(INT(('Cronograma Asistente Técnico'!$E26-InicioCiclo)/7)+1))))</f>
        <v/>
      </c>
      <c r="G26" s="20">
        <f>IF(OR('Cronograma Asistente Técnico'!$A26="",'Cronograma Asistente Técnico'!$G26=""),"",'Cronograma Asistente Técnico'!$G26)</f>
        <v/>
      </c>
      <c r="H26" s="20">
        <f>IF(OR('Cronograma Asistente Técnico'!$A26="",'Cronograma Asistente Técnico'!$H26=""),"",'Cronograma Asistente Técnico'!$H26)</f>
        <v/>
      </c>
      <c r="I26" s="20">
        <f>IF(OR('Cronograma Asistente Técnico'!$A26="",'Cronograma Asistente Técnico'!$I26=""),"",'Cronograma Asistente Técnico'!$I26)</f>
        <v/>
      </c>
      <c r="J26" s="20">
        <f>IF(OR('Cronograma Asistente Técnico'!$A26="",'Cronograma Asistente Técnico'!$J26=""),"",'Cronograma Asistente Técnico'!$J26)</f>
        <v/>
      </c>
      <c r="K26" s="20">
        <f>IF('Cronograma Asistente Técnico'!$A26="","",'Cronograma Asistente Técnico'!$K26)</f>
        <v/>
      </c>
      <c r="L26" s="22">
        <f>IF('Cronograma Asistente Técnico'!$A26="","",IF(N('Cronograma Asistente Técnico'!$K26)&gt;=1,"Completado",IF(AND(ISNUMBER('Cronograma Asistente Técnico'!$E26),'Cronograma Asistente Técnico'!$E26&lt;FechaRef),"Vencida",IF(N('Cronograma Asistente Técnico'!$K26)&gt;0,"En curso","Pendiente"))))</f>
        <v/>
      </c>
      <c r="M26" s="41">
        <f>IF('Cronograma Asistente Técnico'!$A26="","",'Cronograma Asistente Técnico'!$M26&amp;"")</f>
        <v/>
      </c>
    </row>
    <row r="27">
      <c r="A27" s="22">
        <f>IF('Cronograma Asistente Técnico'!$A27="","",'Cronograma Asistente Técnico'!$A27)</f>
        <v/>
      </c>
      <c r="B27" s="41">
        <f>IF('Cronograma Asistente Técnico'!$A27="","",'Cronograma Asistente Técnico'!$B27&amp;"")</f>
        <v/>
      </c>
      <c r="C27" s="41">
        <f>IF('Cronograma Asistente Técnico'!$A27="","",'Cronograma Asistente Técnico'!$C27&amp;"")</f>
        <v/>
      </c>
      <c r="D27" s="63">
        <f>IF(OR('Cronograma Asistente Técnico'!$A27="",'Cronograma Asistente Técnico'!$D27=""),"",'Cronograma Asistente Técnico'!$D27)</f>
        <v/>
      </c>
      <c r="E27" s="63">
        <f>IF(OR('Cronograma Asistente Técnico'!$A27="",'Cronograma Asistente Técnico'!$E27=""),"",'Cronograma Asistente Técnico'!$E27)</f>
        <v/>
      </c>
      <c r="F27" s="22">
        <f>IF(OR('Cronograma Asistente Técnico'!$A27="",NOT(ISNUMBER('Cronograma Asistente Técnico'!$E27))),"",IF('Cronograma Asistente Técnico'!$E27&lt;InicioCiclo,"Antes del ciclo",IF('Cronograma Asistente Técnico'!$E27&gt;=InicioCiclo+28,"Después del ciclo","Semana "&amp;(INT(('Cronograma Asistente Técnico'!$E27-InicioCiclo)/7)+1))))</f>
        <v/>
      </c>
      <c r="G27" s="20">
        <f>IF(OR('Cronograma Asistente Técnico'!$A27="",'Cronograma Asistente Técnico'!$G27=""),"",'Cronograma Asistente Técnico'!$G27)</f>
        <v/>
      </c>
      <c r="H27" s="20">
        <f>IF(OR('Cronograma Asistente Técnico'!$A27="",'Cronograma Asistente Técnico'!$H27=""),"",'Cronograma Asistente Técnico'!$H27)</f>
        <v/>
      </c>
      <c r="I27" s="20">
        <f>IF(OR('Cronograma Asistente Técnico'!$A27="",'Cronograma Asistente Técnico'!$I27=""),"",'Cronograma Asistente Técnico'!$I27)</f>
        <v/>
      </c>
      <c r="J27" s="20">
        <f>IF(OR('Cronograma Asistente Técnico'!$A27="",'Cronograma Asistente Técnico'!$J27=""),"",'Cronograma Asistente Técnico'!$J27)</f>
        <v/>
      </c>
      <c r="K27" s="20">
        <f>IF('Cronograma Asistente Técnico'!$A27="","",'Cronograma Asistente Técnico'!$K27)</f>
        <v/>
      </c>
      <c r="L27" s="22">
        <f>IF('Cronograma Asistente Técnico'!$A27="","",IF(N('Cronograma Asistente Técnico'!$K27)&gt;=1,"Completado",IF(AND(ISNUMBER('Cronograma Asistente Técnico'!$E27),'Cronograma Asistente Técnico'!$E27&lt;FechaRef),"Vencida",IF(N('Cronograma Asistente Técnico'!$K27)&gt;0,"En curso","Pendiente"))))</f>
        <v/>
      </c>
      <c r="M27" s="41">
        <f>IF('Cronograma Asistente Técnico'!$A27="","",'Cronograma Asistente Técnico'!$M27&amp;"")</f>
        <v/>
      </c>
    </row>
    <row r="28">
      <c r="A28" s="22">
        <f>IF('Cronograma Asistente Técnico'!$A28="","",'Cronograma Asistente Técnico'!$A28)</f>
        <v/>
      </c>
      <c r="B28" s="41">
        <f>IF('Cronograma Asistente Técnico'!$A28="","",'Cronograma Asistente Técnico'!$B28&amp;"")</f>
        <v/>
      </c>
      <c r="C28" s="41">
        <f>IF('Cronograma Asistente Técnico'!$A28="","",'Cronograma Asistente Técnico'!$C28&amp;"")</f>
        <v/>
      </c>
      <c r="D28" s="63">
        <f>IF(OR('Cronograma Asistente Técnico'!$A28="",'Cronograma Asistente Técnico'!$D28=""),"",'Cronograma Asistente Técnico'!$D28)</f>
        <v/>
      </c>
      <c r="E28" s="63">
        <f>IF(OR('Cronograma Asistente Técnico'!$A28="",'Cronograma Asistente Técnico'!$E28=""),"",'Cronograma Asistente Técnico'!$E28)</f>
        <v/>
      </c>
      <c r="F28" s="22">
        <f>IF(OR('Cronograma Asistente Técnico'!$A28="",NOT(ISNUMBER('Cronograma Asistente Técnico'!$E28))),"",IF('Cronograma Asistente Técnico'!$E28&lt;InicioCiclo,"Antes del ciclo",IF('Cronograma Asistente Técnico'!$E28&gt;=InicioCiclo+28,"Después del ciclo","Semana "&amp;(INT(('Cronograma Asistente Técnico'!$E28-InicioCiclo)/7)+1))))</f>
        <v/>
      </c>
      <c r="G28" s="20">
        <f>IF(OR('Cronograma Asistente Técnico'!$A28="",'Cronograma Asistente Técnico'!$G28=""),"",'Cronograma Asistente Técnico'!$G28)</f>
        <v/>
      </c>
      <c r="H28" s="20">
        <f>IF(OR('Cronograma Asistente Técnico'!$A28="",'Cronograma Asistente Técnico'!$H28=""),"",'Cronograma Asistente Técnico'!$H28)</f>
        <v/>
      </c>
      <c r="I28" s="20">
        <f>IF(OR('Cronograma Asistente Técnico'!$A28="",'Cronograma Asistente Técnico'!$I28=""),"",'Cronograma Asistente Técnico'!$I28)</f>
        <v/>
      </c>
      <c r="J28" s="20">
        <f>IF(OR('Cronograma Asistente Técnico'!$A28="",'Cronograma Asistente Técnico'!$J28=""),"",'Cronograma Asistente Técnico'!$J28)</f>
        <v/>
      </c>
      <c r="K28" s="20">
        <f>IF('Cronograma Asistente Técnico'!$A28="","",'Cronograma Asistente Técnico'!$K28)</f>
        <v/>
      </c>
      <c r="L28" s="22">
        <f>IF('Cronograma Asistente Técnico'!$A28="","",IF(N('Cronograma Asistente Técnico'!$K28)&gt;=1,"Completado",IF(AND(ISNUMBER('Cronograma Asistente Técnico'!$E28),'Cronograma Asistente Técnico'!$E28&lt;FechaRef),"Vencida",IF(N('Cronograma Asistente Técnico'!$K28)&gt;0,"En curso","Pendiente"))))</f>
        <v/>
      </c>
      <c r="M28" s="41">
        <f>IF('Cronograma Asistente Técnico'!$A28="","",'Cronograma Asistente Técnico'!$M28&amp;"")</f>
        <v/>
      </c>
    </row>
    <row r="29">
      <c r="A29" s="22">
        <f>IF('Cronograma Asistente Técnico'!$A29="","",'Cronograma Asistente Técnico'!$A29)</f>
        <v/>
      </c>
      <c r="B29" s="41">
        <f>IF('Cronograma Asistente Técnico'!$A29="","",'Cronograma Asistente Técnico'!$B29&amp;"")</f>
        <v/>
      </c>
      <c r="C29" s="41">
        <f>IF('Cronograma Asistente Técnico'!$A29="","",'Cronograma Asistente Técnico'!$C29&amp;"")</f>
        <v/>
      </c>
      <c r="D29" s="63">
        <f>IF(OR('Cronograma Asistente Técnico'!$A29="",'Cronograma Asistente Técnico'!$D29=""),"",'Cronograma Asistente Técnico'!$D29)</f>
        <v/>
      </c>
      <c r="E29" s="63">
        <f>IF(OR('Cronograma Asistente Técnico'!$A29="",'Cronograma Asistente Técnico'!$E29=""),"",'Cronograma Asistente Técnico'!$E29)</f>
        <v/>
      </c>
      <c r="F29" s="22">
        <f>IF(OR('Cronograma Asistente Técnico'!$A29="",NOT(ISNUMBER('Cronograma Asistente Técnico'!$E29))),"",IF('Cronograma Asistente Técnico'!$E29&lt;InicioCiclo,"Antes del ciclo",IF('Cronograma Asistente Técnico'!$E29&gt;=InicioCiclo+28,"Después del ciclo","Semana "&amp;(INT(('Cronograma Asistente Técnico'!$E29-InicioCiclo)/7)+1))))</f>
        <v/>
      </c>
      <c r="G29" s="20">
        <f>IF(OR('Cronograma Asistente Técnico'!$A29="",'Cronograma Asistente Técnico'!$G29=""),"",'Cronograma Asistente Técnico'!$G29)</f>
        <v/>
      </c>
      <c r="H29" s="20">
        <f>IF(OR('Cronograma Asistente Técnico'!$A29="",'Cronograma Asistente Técnico'!$H29=""),"",'Cronograma Asistente Técnico'!$H29)</f>
        <v/>
      </c>
      <c r="I29" s="20">
        <f>IF(OR('Cronograma Asistente Técnico'!$A29="",'Cronograma Asistente Técnico'!$I29=""),"",'Cronograma Asistente Técnico'!$I29)</f>
        <v/>
      </c>
      <c r="J29" s="20">
        <f>IF(OR('Cronograma Asistente Técnico'!$A29="",'Cronograma Asistente Técnico'!$J29=""),"",'Cronograma Asistente Técnico'!$J29)</f>
        <v/>
      </c>
      <c r="K29" s="20">
        <f>IF('Cronograma Asistente Técnico'!$A29="","",'Cronograma Asistente Técnico'!$K29)</f>
        <v/>
      </c>
      <c r="L29" s="22">
        <f>IF('Cronograma Asistente Técnico'!$A29="","",IF(N('Cronograma Asistente Técnico'!$K29)&gt;=1,"Completado",IF(AND(ISNUMBER('Cronograma Asistente Técnico'!$E29),'Cronograma Asistente Técnico'!$E29&lt;FechaRef),"Vencida",IF(N('Cronograma Asistente Técnico'!$K29)&gt;0,"En curso","Pendiente"))))</f>
        <v/>
      </c>
      <c r="M29" s="41">
        <f>IF('Cronograma Asistente Técnico'!$A29="","",'Cronograma Asistente Técnico'!$M29&amp;"")</f>
        <v/>
      </c>
    </row>
    <row r="30">
      <c r="A30" s="22">
        <f>IF('Cronograma Asistente Técnico'!$A30="","",'Cronograma Asistente Técnico'!$A30)</f>
        <v/>
      </c>
      <c r="B30" s="41">
        <f>IF('Cronograma Asistente Técnico'!$A30="","",'Cronograma Asistente Técnico'!$B30&amp;"")</f>
        <v/>
      </c>
      <c r="C30" s="41">
        <f>IF('Cronograma Asistente Técnico'!$A30="","",'Cronograma Asistente Técnico'!$C30&amp;"")</f>
        <v/>
      </c>
      <c r="D30" s="63">
        <f>IF(OR('Cronograma Asistente Técnico'!$A30="",'Cronograma Asistente Técnico'!$D30=""),"",'Cronograma Asistente Técnico'!$D30)</f>
        <v/>
      </c>
      <c r="E30" s="63">
        <f>IF(OR('Cronograma Asistente Técnico'!$A30="",'Cronograma Asistente Técnico'!$E30=""),"",'Cronograma Asistente Técnico'!$E30)</f>
        <v/>
      </c>
      <c r="F30" s="22">
        <f>IF(OR('Cronograma Asistente Técnico'!$A30="",NOT(ISNUMBER('Cronograma Asistente Técnico'!$E30))),"",IF('Cronograma Asistente Técnico'!$E30&lt;InicioCiclo,"Antes del ciclo",IF('Cronograma Asistente Técnico'!$E30&gt;=InicioCiclo+28,"Después del ciclo","Semana "&amp;(INT(('Cronograma Asistente Técnico'!$E30-InicioCiclo)/7)+1))))</f>
        <v/>
      </c>
      <c r="G30" s="20">
        <f>IF(OR('Cronograma Asistente Técnico'!$A30="",'Cronograma Asistente Técnico'!$G30=""),"",'Cronograma Asistente Técnico'!$G30)</f>
        <v/>
      </c>
      <c r="H30" s="20">
        <f>IF(OR('Cronograma Asistente Técnico'!$A30="",'Cronograma Asistente Técnico'!$H30=""),"",'Cronograma Asistente Técnico'!$H30)</f>
        <v/>
      </c>
      <c r="I30" s="20">
        <f>IF(OR('Cronograma Asistente Técnico'!$A30="",'Cronograma Asistente Técnico'!$I30=""),"",'Cronograma Asistente Técnico'!$I30)</f>
        <v/>
      </c>
      <c r="J30" s="20">
        <f>IF(OR('Cronograma Asistente Técnico'!$A30="",'Cronograma Asistente Técnico'!$J30=""),"",'Cronograma Asistente Técnico'!$J30)</f>
        <v/>
      </c>
      <c r="K30" s="20">
        <f>IF('Cronograma Asistente Técnico'!$A30="","",'Cronograma Asistente Técnico'!$K30)</f>
        <v/>
      </c>
      <c r="L30" s="22">
        <f>IF('Cronograma Asistente Técnico'!$A30="","",IF(N('Cronograma Asistente Técnico'!$K30)&gt;=1,"Completado",IF(AND(ISNUMBER('Cronograma Asistente Técnico'!$E30),'Cronograma Asistente Técnico'!$E30&lt;FechaRef),"Vencida",IF(N('Cronograma Asistente Técnico'!$K30)&gt;0,"En curso","Pendiente"))))</f>
        <v/>
      </c>
      <c r="M30" s="41">
        <f>IF('Cronograma Asistente Técnico'!$A30="","",'Cronograma Asistente Técnico'!$M30&amp;"")</f>
        <v/>
      </c>
    </row>
    <row r="31">
      <c r="A31" s="22">
        <f>IF('Cronograma Asistente Técnico'!$A31="","",'Cronograma Asistente Técnico'!$A31)</f>
        <v/>
      </c>
      <c r="B31" s="41">
        <f>IF('Cronograma Asistente Técnico'!$A31="","",'Cronograma Asistente Técnico'!$B31&amp;"")</f>
        <v/>
      </c>
      <c r="C31" s="41">
        <f>IF('Cronograma Asistente Técnico'!$A31="","",'Cronograma Asistente Técnico'!$C31&amp;"")</f>
        <v/>
      </c>
      <c r="D31" s="63">
        <f>IF(OR('Cronograma Asistente Técnico'!$A31="",'Cronograma Asistente Técnico'!$D31=""),"",'Cronograma Asistente Técnico'!$D31)</f>
        <v/>
      </c>
      <c r="E31" s="63">
        <f>IF(OR('Cronograma Asistente Técnico'!$A31="",'Cronograma Asistente Técnico'!$E31=""),"",'Cronograma Asistente Técnico'!$E31)</f>
        <v/>
      </c>
      <c r="F31" s="22">
        <f>IF(OR('Cronograma Asistente Técnico'!$A31="",NOT(ISNUMBER('Cronograma Asistente Técnico'!$E31))),"",IF('Cronograma Asistente Técnico'!$E31&lt;InicioCiclo,"Antes del ciclo",IF('Cronograma Asistente Técnico'!$E31&gt;=InicioCiclo+28,"Después del ciclo","Semana "&amp;(INT(('Cronograma Asistente Técnico'!$E31-InicioCiclo)/7)+1))))</f>
        <v/>
      </c>
      <c r="G31" s="20">
        <f>IF(OR('Cronograma Asistente Técnico'!$A31="",'Cronograma Asistente Técnico'!$G31=""),"",'Cronograma Asistente Técnico'!$G31)</f>
        <v/>
      </c>
      <c r="H31" s="20">
        <f>IF(OR('Cronograma Asistente Técnico'!$A31="",'Cronograma Asistente Técnico'!$H31=""),"",'Cronograma Asistente Técnico'!$H31)</f>
        <v/>
      </c>
      <c r="I31" s="20">
        <f>IF(OR('Cronograma Asistente Técnico'!$A31="",'Cronograma Asistente Técnico'!$I31=""),"",'Cronograma Asistente Técnico'!$I31)</f>
        <v/>
      </c>
      <c r="J31" s="20">
        <f>IF(OR('Cronograma Asistente Técnico'!$A31="",'Cronograma Asistente Técnico'!$J31=""),"",'Cronograma Asistente Técnico'!$J31)</f>
        <v/>
      </c>
      <c r="K31" s="20">
        <f>IF('Cronograma Asistente Técnico'!$A31="","",'Cronograma Asistente Técnico'!$K31)</f>
        <v/>
      </c>
      <c r="L31" s="22">
        <f>IF('Cronograma Asistente Técnico'!$A31="","",IF(N('Cronograma Asistente Técnico'!$K31)&gt;=1,"Completado",IF(AND(ISNUMBER('Cronograma Asistente Técnico'!$E31),'Cronograma Asistente Técnico'!$E31&lt;FechaRef),"Vencida",IF(N('Cronograma Asistente Técnico'!$K31)&gt;0,"En curso","Pendiente"))))</f>
        <v/>
      </c>
      <c r="M31" s="41">
        <f>IF('Cronograma Asistente Técnico'!$A31="","",'Cronograma Asistente Técnico'!$M31&amp;"")</f>
        <v/>
      </c>
    </row>
    <row r="32">
      <c r="A32" s="22">
        <f>IF('Cronograma Asistente Técnico'!$A32="","",'Cronograma Asistente Técnico'!$A32)</f>
        <v/>
      </c>
      <c r="B32" s="41">
        <f>IF('Cronograma Asistente Técnico'!$A32="","",'Cronograma Asistente Técnico'!$B32&amp;"")</f>
        <v/>
      </c>
      <c r="C32" s="41">
        <f>IF('Cronograma Asistente Técnico'!$A32="","",'Cronograma Asistente Técnico'!$C32&amp;"")</f>
        <v/>
      </c>
      <c r="D32" s="63">
        <f>IF(OR('Cronograma Asistente Técnico'!$A32="",'Cronograma Asistente Técnico'!$D32=""),"",'Cronograma Asistente Técnico'!$D32)</f>
        <v/>
      </c>
      <c r="E32" s="63">
        <f>IF(OR('Cronograma Asistente Técnico'!$A32="",'Cronograma Asistente Técnico'!$E32=""),"",'Cronograma Asistente Técnico'!$E32)</f>
        <v/>
      </c>
      <c r="F32" s="22">
        <f>IF(OR('Cronograma Asistente Técnico'!$A32="",NOT(ISNUMBER('Cronograma Asistente Técnico'!$E32))),"",IF('Cronograma Asistente Técnico'!$E32&lt;InicioCiclo,"Antes del ciclo",IF('Cronograma Asistente Técnico'!$E32&gt;=InicioCiclo+28,"Después del ciclo","Semana "&amp;(INT(('Cronograma Asistente Técnico'!$E32-InicioCiclo)/7)+1))))</f>
        <v/>
      </c>
      <c r="G32" s="20">
        <f>IF(OR('Cronograma Asistente Técnico'!$A32="",'Cronograma Asistente Técnico'!$G32=""),"",'Cronograma Asistente Técnico'!$G32)</f>
        <v/>
      </c>
      <c r="H32" s="20">
        <f>IF(OR('Cronograma Asistente Técnico'!$A32="",'Cronograma Asistente Técnico'!$H32=""),"",'Cronograma Asistente Técnico'!$H32)</f>
        <v/>
      </c>
      <c r="I32" s="20">
        <f>IF(OR('Cronograma Asistente Técnico'!$A32="",'Cronograma Asistente Técnico'!$I32=""),"",'Cronograma Asistente Técnico'!$I32)</f>
        <v/>
      </c>
      <c r="J32" s="20">
        <f>IF(OR('Cronograma Asistente Técnico'!$A32="",'Cronograma Asistente Técnico'!$J32=""),"",'Cronograma Asistente Técnico'!$J32)</f>
        <v/>
      </c>
      <c r="K32" s="20">
        <f>IF('Cronograma Asistente Técnico'!$A32="","",'Cronograma Asistente Técnico'!$K32)</f>
        <v/>
      </c>
      <c r="L32" s="22">
        <f>IF('Cronograma Asistente Técnico'!$A32="","",IF(N('Cronograma Asistente Técnico'!$K32)&gt;=1,"Completado",IF(AND(ISNUMBER('Cronograma Asistente Técnico'!$E32),'Cronograma Asistente Técnico'!$E32&lt;FechaRef),"Vencida",IF(N('Cronograma Asistente Técnico'!$K32)&gt;0,"En curso","Pendiente"))))</f>
        <v/>
      </c>
      <c r="M32" s="41">
        <f>IF('Cronograma Asistente Técnico'!$A32="","",'Cronograma Asistente Técnico'!$M32&amp;"")</f>
        <v/>
      </c>
    </row>
    <row r="33">
      <c r="A33" s="22">
        <f>IF('Cronograma Asistente Técnico'!$A33="","",'Cronograma Asistente Técnico'!$A33)</f>
        <v/>
      </c>
      <c r="B33" s="41">
        <f>IF('Cronograma Asistente Técnico'!$A33="","",'Cronograma Asistente Técnico'!$B33&amp;"")</f>
        <v/>
      </c>
      <c r="C33" s="41">
        <f>IF('Cronograma Asistente Técnico'!$A33="","",'Cronograma Asistente Técnico'!$C33&amp;"")</f>
        <v/>
      </c>
      <c r="D33" s="63">
        <f>IF(OR('Cronograma Asistente Técnico'!$A33="",'Cronograma Asistente Técnico'!$D33=""),"",'Cronograma Asistente Técnico'!$D33)</f>
        <v/>
      </c>
      <c r="E33" s="63">
        <f>IF(OR('Cronograma Asistente Técnico'!$A33="",'Cronograma Asistente Técnico'!$E33=""),"",'Cronograma Asistente Técnico'!$E33)</f>
        <v/>
      </c>
      <c r="F33" s="22">
        <f>IF(OR('Cronograma Asistente Técnico'!$A33="",NOT(ISNUMBER('Cronograma Asistente Técnico'!$E33))),"",IF('Cronograma Asistente Técnico'!$E33&lt;InicioCiclo,"Antes del ciclo",IF('Cronograma Asistente Técnico'!$E33&gt;=InicioCiclo+28,"Después del ciclo","Semana "&amp;(INT(('Cronograma Asistente Técnico'!$E33-InicioCiclo)/7)+1))))</f>
        <v/>
      </c>
      <c r="G33" s="20">
        <f>IF(OR('Cronograma Asistente Técnico'!$A33="",'Cronograma Asistente Técnico'!$G33=""),"",'Cronograma Asistente Técnico'!$G33)</f>
        <v/>
      </c>
      <c r="H33" s="20">
        <f>IF(OR('Cronograma Asistente Técnico'!$A33="",'Cronograma Asistente Técnico'!$H33=""),"",'Cronograma Asistente Técnico'!$H33)</f>
        <v/>
      </c>
      <c r="I33" s="20">
        <f>IF(OR('Cronograma Asistente Técnico'!$A33="",'Cronograma Asistente Técnico'!$I33=""),"",'Cronograma Asistente Técnico'!$I33)</f>
        <v/>
      </c>
      <c r="J33" s="20">
        <f>IF(OR('Cronograma Asistente Técnico'!$A33="",'Cronograma Asistente Técnico'!$J33=""),"",'Cronograma Asistente Técnico'!$J33)</f>
        <v/>
      </c>
      <c r="K33" s="20">
        <f>IF('Cronograma Asistente Técnico'!$A33="","",'Cronograma Asistente Técnico'!$K33)</f>
        <v/>
      </c>
      <c r="L33" s="22">
        <f>IF('Cronograma Asistente Técnico'!$A33="","",IF(N('Cronograma Asistente Técnico'!$K33)&gt;=1,"Completado",IF(AND(ISNUMBER('Cronograma Asistente Técnico'!$E33),'Cronograma Asistente Técnico'!$E33&lt;FechaRef),"Vencida",IF(N('Cronograma Asistente Técnico'!$K33)&gt;0,"En curso","Pendiente"))))</f>
        <v/>
      </c>
      <c r="M33" s="41">
        <f>IF('Cronograma Asistente Técnico'!$A33="","",'Cronograma Asistente Técnico'!$M33&amp;"")</f>
        <v/>
      </c>
    </row>
    <row r="34">
      <c r="A34" s="22">
        <f>IF('Cronograma Asistente Técnico'!$A34="","",'Cronograma Asistente Técnico'!$A34)</f>
        <v/>
      </c>
      <c r="B34" s="41">
        <f>IF('Cronograma Asistente Técnico'!$A34="","",'Cronograma Asistente Técnico'!$B34&amp;"")</f>
        <v/>
      </c>
      <c r="C34" s="41">
        <f>IF('Cronograma Asistente Técnico'!$A34="","",'Cronograma Asistente Técnico'!$C34&amp;"")</f>
        <v/>
      </c>
      <c r="D34" s="63">
        <f>IF(OR('Cronograma Asistente Técnico'!$A34="",'Cronograma Asistente Técnico'!$D34=""),"",'Cronograma Asistente Técnico'!$D34)</f>
        <v/>
      </c>
      <c r="E34" s="63">
        <f>IF(OR('Cronograma Asistente Técnico'!$A34="",'Cronograma Asistente Técnico'!$E34=""),"",'Cronograma Asistente Técnico'!$E34)</f>
        <v/>
      </c>
      <c r="F34" s="22">
        <f>IF(OR('Cronograma Asistente Técnico'!$A34="",NOT(ISNUMBER('Cronograma Asistente Técnico'!$E34))),"",IF('Cronograma Asistente Técnico'!$E34&lt;InicioCiclo,"Antes del ciclo",IF('Cronograma Asistente Técnico'!$E34&gt;=InicioCiclo+28,"Después del ciclo","Semana "&amp;(INT(('Cronograma Asistente Técnico'!$E34-InicioCiclo)/7)+1))))</f>
        <v/>
      </c>
      <c r="G34" s="20">
        <f>IF(OR('Cronograma Asistente Técnico'!$A34="",'Cronograma Asistente Técnico'!$G34=""),"",'Cronograma Asistente Técnico'!$G34)</f>
        <v/>
      </c>
      <c r="H34" s="20">
        <f>IF(OR('Cronograma Asistente Técnico'!$A34="",'Cronograma Asistente Técnico'!$H34=""),"",'Cronograma Asistente Técnico'!$H34)</f>
        <v/>
      </c>
      <c r="I34" s="20">
        <f>IF(OR('Cronograma Asistente Técnico'!$A34="",'Cronograma Asistente Técnico'!$I34=""),"",'Cronograma Asistente Técnico'!$I34)</f>
        <v/>
      </c>
      <c r="J34" s="20">
        <f>IF(OR('Cronograma Asistente Técnico'!$A34="",'Cronograma Asistente Técnico'!$J34=""),"",'Cronograma Asistente Técnico'!$J34)</f>
        <v/>
      </c>
      <c r="K34" s="20">
        <f>IF('Cronograma Asistente Técnico'!$A34="","",'Cronograma Asistente Técnico'!$K34)</f>
        <v/>
      </c>
      <c r="L34" s="22">
        <f>IF('Cronograma Asistente Técnico'!$A34="","",IF(N('Cronograma Asistente Técnico'!$K34)&gt;=1,"Completado",IF(AND(ISNUMBER('Cronograma Asistente Técnico'!$E34),'Cronograma Asistente Técnico'!$E34&lt;FechaRef),"Vencida",IF(N('Cronograma Asistente Técnico'!$K34)&gt;0,"En curso","Pendiente"))))</f>
        <v/>
      </c>
      <c r="M34" s="41">
        <f>IF('Cronograma Asistente Técnico'!$A34="","",'Cronograma Asistente Técnico'!$M34&amp;"")</f>
        <v/>
      </c>
    </row>
    <row r="35">
      <c r="A35" s="22">
        <f>IF('Cronograma Asistente Técnico'!$A35="","",'Cronograma Asistente Técnico'!$A35)</f>
        <v/>
      </c>
      <c r="B35" s="41">
        <f>IF('Cronograma Asistente Técnico'!$A35="","",'Cronograma Asistente Técnico'!$B35&amp;"")</f>
        <v/>
      </c>
      <c r="C35" s="41">
        <f>IF('Cronograma Asistente Técnico'!$A35="","",'Cronograma Asistente Técnico'!$C35&amp;"")</f>
        <v/>
      </c>
      <c r="D35" s="63">
        <f>IF(OR('Cronograma Asistente Técnico'!$A35="",'Cronograma Asistente Técnico'!$D35=""),"",'Cronograma Asistente Técnico'!$D35)</f>
        <v/>
      </c>
      <c r="E35" s="63">
        <f>IF(OR('Cronograma Asistente Técnico'!$A35="",'Cronograma Asistente Técnico'!$E35=""),"",'Cronograma Asistente Técnico'!$E35)</f>
        <v/>
      </c>
      <c r="F35" s="22">
        <f>IF(OR('Cronograma Asistente Técnico'!$A35="",NOT(ISNUMBER('Cronograma Asistente Técnico'!$E35))),"",IF('Cronograma Asistente Técnico'!$E35&lt;InicioCiclo,"Antes del ciclo",IF('Cronograma Asistente Técnico'!$E35&gt;=InicioCiclo+28,"Después del ciclo","Semana "&amp;(INT(('Cronograma Asistente Técnico'!$E35-InicioCiclo)/7)+1))))</f>
        <v/>
      </c>
      <c r="G35" s="20">
        <f>IF(OR('Cronograma Asistente Técnico'!$A35="",'Cronograma Asistente Técnico'!$G35=""),"",'Cronograma Asistente Técnico'!$G35)</f>
        <v/>
      </c>
      <c r="H35" s="20">
        <f>IF(OR('Cronograma Asistente Técnico'!$A35="",'Cronograma Asistente Técnico'!$H35=""),"",'Cronograma Asistente Técnico'!$H35)</f>
        <v/>
      </c>
      <c r="I35" s="20">
        <f>IF(OR('Cronograma Asistente Técnico'!$A35="",'Cronograma Asistente Técnico'!$I35=""),"",'Cronograma Asistente Técnico'!$I35)</f>
        <v/>
      </c>
      <c r="J35" s="20">
        <f>IF(OR('Cronograma Asistente Técnico'!$A35="",'Cronograma Asistente Técnico'!$J35=""),"",'Cronograma Asistente Técnico'!$J35)</f>
        <v/>
      </c>
      <c r="K35" s="20">
        <f>IF('Cronograma Asistente Técnico'!$A35="","",'Cronograma Asistente Técnico'!$K35)</f>
        <v/>
      </c>
      <c r="L35" s="22">
        <f>IF('Cronograma Asistente Técnico'!$A35="","",IF(N('Cronograma Asistente Técnico'!$K35)&gt;=1,"Completado",IF(AND(ISNUMBER('Cronograma Asistente Técnico'!$E35),'Cronograma Asistente Técnico'!$E35&lt;FechaRef),"Vencida",IF(N('Cronograma Asistente Técnico'!$K35)&gt;0,"En curso","Pendiente"))))</f>
        <v/>
      </c>
      <c r="M35" s="41">
        <f>IF('Cronograma Asistente Técnico'!$A35="","",'Cronograma Asistente Técnico'!$M35&amp;"")</f>
        <v/>
      </c>
    </row>
    <row r="36">
      <c r="A36" s="22">
        <f>IF('Cronograma Asistente Técnico'!$A36="","",'Cronograma Asistente Técnico'!$A36)</f>
        <v/>
      </c>
      <c r="B36" s="41">
        <f>IF('Cronograma Asistente Técnico'!$A36="","",'Cronograma Asistente Técnico'!$B36&amp;"")</f>
        <v/>
      </c>
      <c r="C36" s="41">
        <f>IF('Cronograma Asistente Técnico'!$A36="","",'Cronograma Asistente Técnico'!$C36&amp;"")</f>
        <v/>
      </c>
      <c r="D36" s="63">
        <f>IF(OR('Cronograma Asistente Técnico'!$A36="",'Cronograma Asistente Técnico'!$D36=""),"",'Cronograma Asistente Técnico'!$D36)</f>
        <v/>
      </c>
      <c r="E36" s="63">
        <f>IF(OR('Cronograma Asistente Técnico'!$A36="",'Cronograma Asistente Técnico'!$E36=""),"",'Cronograma Asistente Técnico'!$E36)</f>
        <v/>
      </c>
      <c r="F36" s="22">
        <f>IF(OR('Cronograma Asistente Técnico'!$A36="",NOT(ISNUMBER('Cronograma Asistente Técnico'!$E36))),"",IF('Cronograma Asistente Técnico'!$E36&lt;InicioCiclo,"Antes del ciclo",IF('Cronograma Asistente Técnico'!$E36&gt;=InicioCiclo+28,"Después del ciclo","Semana "&amp;(INT(('Cronograma Asistente Técnico'!$E36-InicioCiclo)/7)+1))))</f>
        <v/>
      </c>
      <c r="G36" s="20">
        <f>IF(OR('Cronograma Asistente Técnico'!$A36="",'Cronograma Asistente Técnico'!$G36=""),"",'Cronograma Asistente Técnico'!$G36)</f>
        <v/>
      </c>
      <c r="H36" s="20">
        <f>IF(OR('Cronograma Asistente Técnico'!$A36="",'Cronograma Asistente Técnico'!$H36=""),"",'Cronograma Asistente Técnico'!$H36)</f>
        <v/>
      </c>
      <c r="I36" s="20">
        <f>IF(OR('Cronograma Asistente Técnico'!$A36="",'Cronograma Asistente Técnico'!$I36=""),"",'Cronograma Asistente Técnico'!$I36)</f>
        <v/>
      </c>
      <c r="J36" s="20">
        <f>IF(OR('Cronograma Asistente Técnico'!$A36="",'Cronograma Asistente Técnico'!$J36=""),"",'Cronograma Asistente Técnico'!$J36)</f>
        <v/>
      </c>
      <c r="K36" s="20">
        <f>IF('Cronograma Asistente Técnico'!$A36="","",'Cronograma Asistente Técnico'!$K36)</f>
        <v/>
      </c>
      <c r="L36" s="22">
        <f>IF('Cronograma Asistente Técnico'!$A36="","",IF(N('Cronograma Asistente Técnico'!$K36)&gt;=1,"Completado",IF(AND(ISNUMBER('Cronograma Asistente Técnico'!$E36),'Cronograma Asistente Técnico'!$E36&lt;FechaRef),"Vencida",IF(N('Cronograma Asistente Técnico'!$K36)&gt;0,"En curso","Pendiente"))))</f>
        <v/>
      </c>
      <c r="M36" s="41">
        <f>IF('Cronograma Asistente Técnico'!$A36="","",'Cronograma Asistente Técnico'!$M36&amp;"")</f>
        <v/>
      </c>
    </row>
    <row r="37">
      <c r="A37" s="22">
        <f>IF('Cronograma Asistente Técnico'!$A37="","",'Cronograma Asistente Técnico'!$A37)</f>
        <v/>
      </c>
      <c r="B37" s="41">
        <f>IF('Cronograma Asistente Técnico'!$A37="","",'Cronograma Asistente Técnico'!$B37&amp;"")</f>
        <v/>
      </c>
      <c r="C37" s="41">
        <f>IF('Cronograma Asistente Técnico'!$A37="","",'Cronograma Asistente Técnico'!$C37&amp;"")</f>
        <v/>
      </c>
      <c r="D37" s="63">
        <f>IF(OR('Cronograma Asistente Técnico'!$A37="",'Cronograma Asistente Técnico'!$D37=""),"",'Cronograma Asistente Técnico'!$D37)</f>
        <v/>
      </c>
      <c r="E37" s="63">
        <f>IF(OR('Cronograma Asistente Técnico'!$A37="",'Cronograma Asistente Técnico'!$E37=""),"",'Cronograma Asistente Técnico'!$E37)</f>
        <v/>
      </c>
      <c r="F37" s="22">
        <f>IF(OR('Cronograma Asistente Técnico'!$A37="",NOT(ISNUMBER('Cronograma Asistente Técnico'!$E37))),"",IF('Cronograma Asistente Técnico'!$E37&lt;InicioCiclo,"Antes del ciclo",IF('Cronograma Asistente Técnico'!$E37&gt;=InicioCiclo+28,"Después del ciclo","Semana "&amp;(INT(('Cronograma Asistente Técnico'!$E37-InicioCiclo)/7)+1))))</f>
        <v/>
      </c>
      <c r="G37" s="20">
        <f>IF(OR('Cronograma Asistente Técnico'!$A37="",'Cronograma Asistente Técnico'!$G37=""),"",'Cronograma Asistente Técnico'!$G37)</f>
        <v/>
      </c>
      <c r="H37" s="20">
        <f>IF(OR('Cronograma Asistente Técnico'!$A37="",'Cronograma Asistente Técnico'!$H37=""),"",'Cronograma Asistente Técnico'!$H37)</f>
        <v/>
      </c>
      <c r="I37" s="20">
        <f>IF(OR('Cronograma Asistente Técnico'!$A37="",'Cronograma Asistente Técnico'!$I37=""),"",'Cronograma Asistente Técnico'!$I37)</f>
        <v/>
      </c>
      <c r="J37" s="20">
        <f>IF(OR('Cronograma Asistente Técnico'!$A37="",'Cronograma Asistente Técnico'!$J37=""),"",'Cronograma Asistente Técnico'!$J37)</f>
        <v/>
      </c>
      <c r="K37" s="20">
        <f>IF('Cronograma Asistente Técnico'!$A37="","",'Cronograma Asistente Técnico'!$K37)</f>
        <v/>
      </c>
      <c r="L37" s="22">
        <f>IF('Cronograma Asistente Técnico'!$A37="","",IF(N('Cronograma Asistente Técnico'!$K37)&gt;=1,"Completado",IF(AND(ISNUMBER('Cronograma Asistente Técnico'!$E37),'Cronograma Asistente Técnico'!$E37&lt;FechaRef),"Vencida",IF(N('Cronograma Asistente Técnico'!$K37)&gt;0,"En curso","Pendiente"))))</f>
        <v/>
      </c>
      <c r="M37" s="41">
        <f>IF('Cronograma Asistente Técnico'!$A37="","",'Cronograma Asistente Técnico'!$M37&amp;"")</f>
        <v/>
      </c>
    </row>
    <row r="38">
      <c r="A38" s="22">
        <f>IF('Cronograma Asistente Técnico'!$A38="","",'Cronograma Asistente Técnico'!$A38)</f>
        <v/>
      </c>
      <c r="B38" s="41">
        <f>IF('Cronograma Asistente Técnico'!$A38="","",'Cronograma Asistente Técnico'!$B38&amp;"")</f>
        <v/>
      </c>
      <c r="C38" s="41">
        <f>IF('Cronograma Asistente Técnico'!$A38="","",'Cronograma Asistente Técnico'!$C38&amp;"")</f>
        <v/>
      </c>
      <c r="D38" s="63">
        <f>IF(OR('Cronograma Asistente Técnico'!$A38="",'Cronograma Asistente Técnico'!$D38=""),"",'Cronograma Asistente Técnico'!$D38)</f>
        <v/>
      </c>
      <c r="E38" s="63">
        <f>IF(OR('Cronograma Asistente Técnico'!$A38="",'Cronograma Asistente Técnico'!$E38=""),"",'Cronograma Asistente Técnico'!$E38)</f>
        <v/>
      </c>
      <c r="F38" s="22">
        <f>IF(OR('Cronograma Asistente Técnico'!$A38="",NOT(ISNUMBER('Cronograma Asistente Técnico'!$E38))),"",IF('Cronograma Asistente Técnico'!$E38&lt;InicioCiclo,"Antes del ciclo",IF('Cronograma Asistente Técnico'!$E38&gt;=InicioCiclo+28,"Después del ciclo","Semana "&amp;(INT(('Cronograma Asistente Técnico'!$E38-InicioCiclo)/7)+1))))</f>
        <v/>
      </c>
      <c r="G38" s="20">
        <f>IF(OR('Cronograma Asistente Técnico'!$A38="",'Cronograma Asistente Técnico'!$G38=""),"",'Cronograma Asistente Técnico'!$G38)</f>
        <v/>
      </c>
      <c r="H38" s="20">
        <f>IF(OR('Cronograma Asistente Técnico'!$A38="",'Cronograma Asistente Técnico'!$H38=""),"",'Cronograma Asistente Técnico'!$H38)</f>
        <v/>
      </c>
      <c r="I38" s="20">
        <f>IF(OR('Cronograma Asistente Técnico'!$A38="",'Cronograma Asistente Técnico'!$I38=""),"",'Cronograma Asistente Técnico'!$I38)</f>
        <v/>
      </c>
      <c r="J38" s="20">
        <f>IF(OR('Cronograma Asistente Técnico'!$A38="",'Cronograma Asistente Técnico'!$J38=""),"",'Cronograma Asistente Técnico'!$J38)</f>
        <v/>
      </c>
      <c r="K38" s="20">
        <f>IF('Cronograma Asistente Técnico'!$A38="","",'Cronograma Asistente Técnico'!$K38)</f>
        <v/>
      </c>
      <c r="L38" s="22">
        <f>IF('Cronograma Asistente Técnico'!$A38="","",IF(N('Cronograma Asistente Técnico'!$K38)&gt;=1,"Completado",IF(AND(ISNUMBER('Cronograma Asistente Técnico'!$E38),'Cronograma Asistente Técnico'!$E38&lt;FechaRef),"Vencida",IF(N('Cronograma Asistente Técnico'!$K38)&gt;0,"En curso","Pendiente"))))</f>
        <v/>
      </c>
      <c r="M38" s="41">
        <f>IF('Cronograma Asistente Técnico'!$A38="","",'Cronograma Asistente Técnico'!$M38&amp;"")</f>
        <v/>
      </c>
    </row>
    <row r="39">
      <c r="A39" s="22">
        <f>IF('Cronograma Asistente Técnico'!$A39="","",'Cronograma Asistente Técnico'!$A39)</f>
        <v/>
      </c>
      <c r="B39" s="41">
        <f>IF('Cronograma Asistente Técnico'!$A39="","",'Cronograma Asistente Técnico'!$B39&amp;"")</f>
        <v/>
      </c>
      <c r="C39" s="41">
        <f>IF('Cronograma Asistente Técnico'!$A39="","",'Cronograma Asistente Técnico'!$C39&amp;"")</f>
        <v/>
      </c>
      <c r="D39" s="63">
        <f>IF(OR('Cronograma Asistente Técnico'!$A39="",'Cronograma Asistente Técnico'!$D39=""),"",'Cronograma Asistente Técnico'!$D39)</f>
        <v/>
      </c>
      <c r="E39" s="63">
        <f>IF(OR('Cronograma Asistente Técnico'!$A39="",'Cronograma Asistente Técnico'!$E39=""),"",'Cronograma Asistente Técnico'!$E39)</f>
        <v/>
      </c>
      <c r="F39" s="22">
        <f>IF(OR('Cronograma Asistente Técnico'!$A39="",NOT(ISNUMBER('Cronograma Asistente Técnico'!$E39))),"",IF('Cronograma Asistente Técnico'!$E39&lt;InicioCiclo,"Antes del ciclo",IF('Cronograma Asistente Técnico'!$E39&gt;=InicioCiclo+28,"Después del ciclo","Semana "&amp;(INT(('Cronograma Asistente Técnico'!$E39-InicioCiclo)/7)+1))))</f>
        <v/>
      </c>
      <c r="G39" s="20">
        <f>IF(OR('Cronograma Asistente Técnico'!$A39="",'Cronograma Asistente Técnico'!$G39=""),"",'Cronograma Asistente Técnico'!$G39)</f>
        <v/>
      </c>
      <c r="H39" s="20">
        <f>IF(OR('Cronograma Asistente Técnico'!$A39="",'Cronograma Asistente Técnico'!$H39=""),"",'Cronograma Asistente Técnico'!$H39)</f>
        <v/>
      </c>
      <c r="I39" s="20">
        <f>IF(OR('Cronograma Asistente Técnico'!$A39="",'Cronograma Asistente Técnico'!$I39=""),"",'Cronograma Asistente Técnico'!$I39)</f>
        <v/>
      </c>
      <c r="J39" s="20">
        <f>IF(OR('Cronograma Asistente Técnico'!$A39="",'Cronograma Asistente Técnico'!$J39=""),"",'Cronograma Asistente Técnico'!$J39)</f>
        <v/>
      </c>
      <c r="K39" s="20">
        <f>IF('Cronograma Asistente Técnico'!$A39="","",'Cronograma Asistente Técnico'!$K39)</f>
        <v/>
      </c>
      <c r="L39" s="22">
        <f>IF('Cronograma Asistente Técnico'!$A39="","",IF(N('Cronograma Asistente Técnico'!$K39)&gt;=1,"Completado",IF(AND(ISNUMBER('Cronograma Asistente Técnico'!$E39),'Cronograma Asistente Técnico'!$E39&lt;FechaRef),"Vencida",IF(N('Cronograma Asistente Técnico'!$K39)&gt;0,"En curso","Pendiente"))))</f>
        <v/>
      </c>
      <c r="M39" s="41">
        <f>IF('Cronograma Asistente Técnico'!$A39="","",'Cronograma Asistente Técnico'!$M39&amp;"")</f>
        <v/>
      </c>
    </row>
    <row r="40">
      <c r="A40" s="22">
        <f>IF('Cronograma Asistente Técnico'!$A40="","",'Cronograma Asistente Técnico'!$A40)</f>
        <v/>
      </c>
      <c r="B40" s="41">
        <f>IF('Cronograma Asistente Técnico'!$A40="","",'Cronograma Asistente Técnico'!$B40&amp;"")</f>
        <v/>
      </c>
      <c r="C40" s="41">
        <f>IF('Cronograma Asistente Técnico'!$A40="","",'Cronograma Asistente Técnico'!$C40&amp;"")</f>
        <v/>
      </c>
      <c r="D40" s="63">
        <f>IF(OR('Cronograma Asistente Técnico'!$A40="",'Cronograma Asistente Técnico'!$D40=""),"",'Cronograma Asistente Técnico'!$D40)</f>
        <v/>
      </c>
      <c r="E40" s="63">
        <f>IF(OR('Cronograma Asistente Técnico'!$A40="",'Cronograma Asistente Técnico'!$E40=""),"",'Cronograma Asistente Técnico'!$E40)</f>
        <v/>
      </c>
      <c r="F40" s="22">
        <f>IF(OR('Cronograma Asistente Técnico'!$A40="",NOT(ISNUMBER('Cronograma Asistente Técnico'!$E40))),"",IF('Cronograma Asistente Técnico'!$E40&lt;InicioCiclo,"Antes del ciclo",IF('Cronograma Asistente Técnico'!$E40&gt;=InicioCiclo+28,"Después del ciclo","Semana "&amp;(INT(('Cronograma Asistente Técnico'!$E40-InicioCiclo)/7)+1))))</f>
        <v/>
      </c>
      <c r="G40" s="20">
        <f>IF(OR('Cronograma Asistente Técnico'!$A40="",'Cronograma Asistente Técnico'!$G40=""),"",'Cronograma Asistente Técnico'!$G40)</f>
        <v/>
      </c>
      <c r="H40" s="20">
        <f>IF(OR('Cronograma Asistente Técnico'!$A40="",'Cronograma Asistente Técnico'!$H40=""),"",'Cronograma Asistente Técnico'!$H40)</f>
        <v/>
      </c>
      <c r="I40" s="20">
        <f>IF(OR('Cronograma Asistente Técnico'!$A40="",'Cronograma Asistente Técnico'!$I40=""),"",'Cronograma Asistente Técnico'!$I40)</f>
        <v/>
      </c>
      <c r="J40" s="20">
        <f>IF(OR('Cronograma Asistente Técnico'!$A40="",'Cronograma Asistente Técnico'!$J40=""),"",'Cronograma Asistente Técnico'!$J40)</f>
        <v/>
      </c>
      <c r="K40" s="20">
        <f>IF('Cronograma Asistente Técnico'!$A40="","",'Cronograma Asistente Técnico'!$K40)</f>
        <v/>
      </c>
      <c r="L40" s="22">
        <f>IF('Cronograma Asistente Técnico'!$A40="","",IF(N('Cronograma Asistente Técnico'!$K40)&gt;=1,"Completado",IF(AND(ISNUMBER('Cronograma Asistente Técnico'!$E40),'Cronograma Asistente Técnico'!$E40&lt;FechaRef),"Vencida",IF(N('Cronograma Asistente Técnico'!$K40)&gt;0,"En curso","Pendiente"))))</f>
        <v/>
      </c>
      <c r="M40" s="41">
        <f>IF('Cronograma Asistente Técnico'!$A40="","",'Cronograma Asistente Técnico'!$M40&amp;"")</f>
        <v/>
      </c>
    </row>
    <row r="41">
      <c r="A41" s="22">
        <f>IF('Cronograma Asistente Técnico'!$A41="","",'Cronograma Asistente Técnico'!$A41)</f>
        <v/>
      </c>
      <c r="B41" s="41">
        <f>IF('Cronograma Asistente Técnico'!$A41="","",'Cronograma Asistente Técnico'!$B41&amp;"")</f>
        <v/>
      </c>
      <c r="C41" s="41">
        <f>IF('Cronograma Asistente Técnico'!$A41="","",'Cronograma Asistente Técnico'!$C41&amp;"")</f>
        <v/>
      </c>
      <c r="D41" s="63">
        <f>IF(OR('Cronograma Asistente Técnico'!$A41="",'Cronograma Asistente Técnico'!$D41=""),"",'Cronograma Asistente Técnico'!$D41)</f>
        <v/>
      </c>
      <c r="E41" s="63">
        <f>IF(OR('Cronograma Asistente Técnico'!$A41="",'Cronograma Asistente Técnico'!$E41=""),"",'Cronograma Asistente Técnico'!$E41)</f>
        <v/>
      </c>
      <c r="F41" s="22">
        <f>IF(OR('Cronograma Asistente Técnico'!$A41="",NOT(ISNUMBER('Cronograma Asistente Técnico'!$E41))),"",IF('Cronograma Asistente Técnico'!$E41&lt;InicioCiclo,"Antes del ciclo",IF('Cronograma Asistente Técnico'!$E41&gt;=InicioCiclo+28,"Después del ciclo","Semana "&amp;(INT(('Cronograma Asistente Técnico'!$E41-InicioCiclo)/7)+1))))</f>
        <v/>
      </c>
      <c r="G41" s="20">
        <f>IF(OR('Cronograma Asistente Técnico'!$A41="",'Cronograma Asistente Técnico'!$G41=""),"",'Cronograma Asistente Técnico'!$G41)</f>
        <v/>
      </c>
      <c r="H41" s="20">
        <f>IF(OR('Cronograma Asistente Técnico'!$A41="",'Cronograma Asistente Técnico'!$H41=""),"",'Cronograma Asistente Técnico'!$H41)</f>
        <v/>
      </c>
      <c r="I41" s="20">
        <f>IF(OR('Cronograma Asistente Técnico'!$A41="",'Cronograma Asistente Técnico'!$I41=""),"",'Cronograma Asistente Técnico'!$I41)</f>
        <v/>
      </c>
      <c r="J41" s="20">
        <f>IF(OR('Cronograma Asistente Técnico'!$A41="",'Cronograma Asistente Técnico'!$J41=""),"",'Cronograma Asistente Técnico'!$J41)</f>
        <v/>
      </c>
      <c r="K41" s="20">
        <f>IF('Cronograma Asistente Técnico'!$A41="","",'Cronograma Asistente Técnico'!$K41)</f>
        <v/>
      </c>
      <c r="L41" s="22">
        <f>IF('Cronograma Asistente Técnico'!$A41="","",IF(N('Cronograma Asistente Técnico'!$K41)&gt;=1,"Completado",IF(AND(ISNUMBER('Cronograma Asistente Técnico'!$E41),'Cronograma Asistente Técnico'!$E41&lt;FechaRef),"Vencida",IF(N('Cronograma Asistente Técnico'!$K41)&gt;0,"En curso","Pendiente"))))</f>
        <v/>
      </c>
      <c r="M41" s="41">
        <f>IF('Cronograma Asistente Técnico'!$A41="","",'Cronograma Asistente Técnico'!$M41&amp;"")</f>
        <v/>
      </c>
    </row>
    <row r="42">
      <c r="A42" s="22">
        <f>IF('Cronograma Asistente Técnico'!$A42="","",'Cronograma Asistente Técnico'!$A42)</f>
        <v/>
      </c>
      <c r="B42" s="41">
        <f>IF('Cronograma Asistente Técnico'!$A42="","",'Cronograma Asistente Técnico'!$B42&amp;"")</f>
        <v/>
      </c>
      <c r="C42" s="41">
        <f>IF('Cronograma Asistente Técnico'!$A42="","",'Cronograma Asistente Técnico'!$C42&amp;"")</f>
        <v/>
      </c>
      <c r="D42" s="63">
        <f>IF(OR('Cronograma Asistente Técnico'!$A42="",'Cronograma Asistente Técnico'!$D42=""),"",'Cronograma Asistente Técnico'!$D42)</f>
        <v/>
      </c>
      <c r="E42" s="63">
        <f>IF(OR('Cronograma Asistente Técnico'!$A42="",'Cronograma Asistente Técnico'!$E42=""),"",'Cronograma Asistente Técnico'!$E42)</f>
        <v/>
      </c>
      <c r="F42" s="22">
        <f>IF(OR('Cronograma Asistente Técnico'!$A42="",NOT(ISNUMBER('Cronograma Asistente Técnico'!$E42))),"",IF('Cronograma Asistente Técnico'!$E42&lt;InicioCiclo,"Antes del ciclo",IF('Cronograma Asistente Técnico'!$E42&gt;=InicioCiclo+28,"Después del ciclo","Semana "&amp;(INT(('Cronograma Asistente Técnico'!$E42-InicioCiclo)/7)+1))))</f>
        <v/>
      </c>
      <c r="G42" s="20">
        <f>IF(OR('Cronograma Asistente Técnico'!$A42="",'Cronograma Asistente Técnico'!$G42=""),"",'Cronograma Asistente Técnico'!$G42)</f>
        <v/>
      </c>
      <c r="H42" s="20">
        <f>IF(OR('Cronograma Asistente Técnico'!$A42="",'Cronograma Asistente Técnico'!$H42=""),"",'Cronograma Asistente Técnico'!$H42)</f>
        <v/>
      </c>
      <c r="I42" s="20">
        <f>IF(OR('Cronograma Asistente Técnico'!$A42="",'Cronograma Asistente Técnico'!$I42=""),"",'Cronograma Asistente Técnico'!$I42)</f>
        <v/>
      </c>
      <c r="J42" s="20">
        <f>IF(OR('Cronograma Asistente Técnico'!$A42="",'Cronograma Asistente Técnico'!$J42=""),"",'Cronograma Asistente Técnico'!$J42)</f>
        <v/>
      </c>
      <c r="K42" s="20">
        <f>IF('Cronograma Asistente Técnico'!$A42="","",'Cronograma Asistente Técnico'!$K42)</f>
        <v/>
      </c>
      <c r="L42" s="22">
        <f>IF('Cronograma Asistente Técnico'!$A42="","",IF(N('Cronograma Asistente Técnico'!$K42)&gt;=1,"Completado",IF(AND(ISNUMBER('Cronograma Asistente Técnico'!$E42),'Cronograma Asistente Técnico'!$E42&lt;FechaRef),"Vencida",IF(N('Cronograma Asistente Técnico'!$K42)&gt;0,"En curso","Pendiente"))))</f>
        <v/>
      </c>
      <c r="M42" s="41">
        <f>IF('Cronograma Asistente Técnico'!$A42="","",'Cronograma Asistente Técnico'!$M42&amp;"")</f>
        <v/>
      </c>
    </row>
    <row r="43">
      <c r="A43" s="22">
        <f>IF('Cronograma Asistente Técnico'!$A43="","",'Cronograma Asistente Técnico'!$A43)</f>
        <v/>
      </c>
      <c r="B43" s="41">
        <f>IF('Cronograma Asistente Técnico'!$A43="","",'Cronograma Asistente Técnico'!$B43&amp;"")</f>
        <v/>
      </c>
      <c r="C43" s="41">
        <f>IF('Cronograma Asistente Técnico'!$A43="","",'Cronograma Asistente Técnico'!$C43&amp;"")</f>
        <v/>
      </c>
      <c r="D43" s="63">
        <f>IF(OR('Cronograma Asistente Técnico'!$A43="",'Cronograma Asistente Técnico'!$D43=""),"",'Cronograma Asistente Técnico'!$D43)</f>
        <v/>
      </c>
      <c r="E43" s="63">
        <f>IF(OR('Cronograma Asistente Técnico'!$A43="",'Cronograma Asistente Técnico'!$E43=""),"",'Cronograma Asistente Técnico'!$E43)</f>
        <v/>
      </c>
      <c r="F43" s="22">
        <f>IF(OR('Cronograma Asistente Técnico'!$A43="",NOT(ISNUMBER('Cronograma Asistente Técnico'!$E43))),"",IF('Cronograma Asistente Técnico'!$E43&lt;InicioCiclo,"Antes del ciclo",IF('Cronograma Asistente Técnico'!$E43&gt;=InicioCiclo+28,"Después del ciclo","Semana "&amp;(INT(('Cronograma Asistente Técnico'!$E43-InicioCiclo)/7)+1))))</f>
        <v/>
      </c>
      <c r="G43" s="20">
        <f>IF(OR('Cronograma Asistente Técnico'!$A43="",'Cronograma Asistente Técnico'!$G43=""),"",'Cronograma Asistente Técnico'!$G43)</f>
        <v/>
      </c>
      <c r="H43" s="20">
        <f>IF(OR('Cronograma Asistente Técnico'!$A43="",'Cronograma Asistente Técnico'!$H43=""),"",'Cronograma Asistente Técnico'!$H43)</f>
        <v/>
      </c>
      <c r="I43" s="20">
        <f>IF(OR('Cronograma Asistente Técnico'!$A43="",'Cronograma Asistente Técnico'!$I43=""),"",'Cronograma Asistente Técnico'!$I43)</f>
        <v/>
      </c>
      <c r="J43" s="20">
        <f>IF(OR('Cronograma Asistente Técnico'!$A43="",'Cronograma Asistente Técnico'!$J43=""),"",'Cronograma Asistente Técnico'!$J43)</f>
        <v/>
      </c>
      <c r="K43" s="20">
        <f>IF('Cronograma Asistente Técnico'!$A43="","",'Cronograma Asistente Técnico'!$K43)</f>
        <v/>
      </c>
      <c r="L43" s="22">
        <f>IF('Cronograma Asistente Técnico'!$A43="","",IF(N('Cronograma Asistente Técnico'!$K43)&gt;=1,"Completado",IF(AND(ISNUMBER('Cronograma Asistente Técnico'!$E43),'Cronograma Asistente Técnico'!$E43&lt;FechaRef),"Vencida",IF(N('Cronograma Asistente Técnico'!$K43)&gt;0,"En curso","Pendiente"))))</f>
        <v/>
      </c>
      <c r="M43" s="41">
        <f>IF('Cronograma Asistente Técnico'!$A43="","",'Cronograma Asistente Técnico'!$M43&amp;"")</f>
        <v/>
      </c>
    </row>
    <row r="44">
      <c r="A44" s="22">
        <f>IF('Cronograma Asistente Técnico'!$A44="","",'Cronograma Asistente Técnico'!$A44)</f>
        <v/>
      </c>
      <c r="B44" s="41">
        <f>IF('Cronograma Asistente Técnico'!$A44="","",'Cronograma Asistente Técnico'!$B44&amp;"")</f>
        <v/>
      </c>
      <c r="C44" s="41">
        <f>IF('Cronograma Asistente Técnico'!$A44="","",'Cronograma Asistente Técnico'!$C44&amp;"")</f>
        <v/>
      </c>
      <c r="D44" s="63">
        <f>IF(OR('Cronograma Asistente Técnico'!$A44="",'Cronograma Asistente Técnico'!$D44=""),"",'Cronograma Asistente Técnico'!$D44)</f>
        <v/>
      </c>
      <c r="E44" s="63">
        <f>IF(OR('Cronograma Asistente Técnico'!$A44="",'Cronograma Asistente Técnico'!$E44=""),"",'Cronograma Asistente Técnico'!$E44)</f>
        <v/>
      </c>
      <c r="F44" s="22">
        <f>IF(OR('Cronograma Asistente Técnico'!$A44="",NOT(ISNUMBER('Cronograma Asistente Técnico'!$E44))),"",IF('Cronograma Asistente Técnico'!$E44&lt;InicioCiclo,"Antes del ciclo",IF('Cronograma Asistente Técnico'!$E44&gt;=InicioCiclo+28,"Después del ciclo","Semana "&amp;(INT(('Cronograma Asistente Técnico'!$E44-InicioCiclo)/7)+1))))</f>
        <v/>
      </c>
      <c r="G44" s="20">
        <f>IF(OR('Cronograma Asistente Técnico'!$A44="",'Cronograma Asistente Técnico'!$G44=""),"",'Cronograma Asistente Técnico'!$G44)</f>
        <v/>
      </c>
      <c r="H44" s="20">
        <f>IF(OR('Cronograma Asistente Técnico'!$A44="",'Cronograma Asistente Técnico'!$H44=""),"",'Cronograma Asistente Técnico'!$H44)</f>
        <v/>
      </c>
      <c r="I44" s="20">
        <f>IF(OR('Cronograma Asistente Técnico'!$A44="",'Cronograma Asistente Técnico'!$I44=""),"",'Cronograma Asistente Técnico'!$I44)</f>
        <v/>
      </c>
      <c r="J44" s="20">
        <f>IF(OR('Cronograma Asistente Técnico'!$A44="",'Cronograma Asistente Técnico'!$J44=""),"",'Cronograma Asistente Técnico'!$J44)</f>
        <v/>
      </c>
      <c r="K44" s="20">
        <f>IF('Cronograma Asistente Técnico'!$A44="","",'Cronograma Asistente Técnico'!$K44)</f>
        <v/>
      </c>
      <c r="L44" s="22">
        <f>IF('Cronograma Asistente Técnico'!$A44="","",IF(N('Cronograma Asistente Técnico'!$K44)&gt;=1,"Completado",IF(AND(ISNUMBER('Cronograma Asistente Técnico'!$E44),'Cronograma Asistente Técnico'!$E44&lt;FechaRef),"Vencida",IF(N('Cronograma Asistente Técnico'!$K44)&gt;0,"En curso","Pendiente"))))</f>
        <v/>
      </c>
      <c r="M44" s="41">
        <f>IF('Cronograma Asistente Técnico'!$A44="","",'Cronograma Asistente Técnico'!$M44&amp;"")</f>
        <v/>
      </c>
    </row>
    <row r="45">
      <c r="A45" s="22">
        <f>IF('Cronograma Asistente Técnico'!$A45="","",'Cronograma Asistente Técnico'!$A45)</f>
        <v/>
      </c>
      <c r="B45" s="41">
        <f>IF('Cronograma Asistente Técnico'!$A45="","",'Cronograma Asistente Técnico'!$B45&amp;"")</f>
        <v/>
      </c>
      <c r="C45" s="41">
        <f>IF('Cronograma Asistente Técnico'!$A45="","",'Cronograma Asistente Técnico'!$C45&amp;"")</f>
        <v/>
      </c>
      <c r="D45" s="63">
        <f>IF(OR('Cronograma Asistente Técnico'!$A45="",'Cronograma Asistente Técnico'!$D45=""),"",'Cronograma Asistente Técnico'!$D45)</f>
        <v/>
      </c>
      <c r="E45" s="63">
        <f>IF(OR('Cronograma Asistente Técnico'!$A45="",'Cronograma Asistente Técnico'!$E45=""),"",'Cronograma Asistente Técnico'!$E45)</f>
        <v/>
      </c>
      <c r="F45" s="22">
        <f>IF(OR('Cronograma Asistente Técnico'!$A45="",NOT(ISNUMBER('Cronograma Asistente Técnico'!$E45))),"",IF('Cronograma Asistente Técnico'!$E45&lt;InicioCiclo,"Antes del ciclo",IF('Cronograma Asistente Técnico'!$E45&gt;=InicioCiclo+28,"Después del ciclo","Semana "&amp;(INT(('Cronograma Asistente Técnico'!$E45-InicioCiclo)/7)+1))))</f>
        <v/>
      </c>
      <c r="G45" s="20">
        <f>IF(OR('Cronograma Asistente Técnico'!$A45="",'Cronograma Asistente Técnico'!$G45=""),"",'Cronograma Asistente Técnico'!$G45)</f>
        <v/>
      </c>
      <c r="H45" s="20">
        <f>IF(OR('Cronograma Asistente Técnico'!$A45="",'Cronograma Asistente Técnico'!$H45=""),"",'Cronograma Asistente Técnico'!$H45)</f>
        <v/>
      </c>
      <c r="I45" s="20">
        <f>IF(OR('Cronograma Asistente Técnico'!$A45="",'Cronograma Asistente Técnico'!$I45=""),"",'Cronograma Asistente Técnico'!$I45)</f>
        <v/>
      </c>
      <c r="J45" s="20">
        <f>IF(OR('Cronograma Asistente Técnico'!$A45="",'Cronograma Asistente Técnico'!$J45=""),"",'Cronograma Asistente Técnico'!$J45)</f>
        <v/>
      </c>
      <c r="K45" s="20">
        <f>IF('Cronograma Asistente Técnico'!$A45="","",'Cronograma Asistente Técnico'!$K45)</f>
        <v/>
      </c>
      <c r="L45" s="22">
        <f>IF('Cronograma Asistente Técnico'!$A45="","",IF(N('Cronograma Asistente Técnico'!$K45)&gt;=1,"Completado",IF(AND(ISNUMBER('Cronograma Asistente Técnico'!$E45),'Cronograma Asistente Técnico'!$E45&lt;FechaRef),"Vencida",IF(N('Cronograma Asistente Técnico'!$K45)&gt;0,"En curso","Pendiente"))))</f>
        <v/>
      </c>
      <c r="M45" s="41">
        <f>IF('Cronograma Asistente Técnico'!$A45="","",'Cronograma Asistente Técnico'!$M45&amp;"")</f>
        <v/>
      </c>
    </row>
    <row r="46">
      <c r="A46" s="22">
        <f>IF('Cronograma Asistente Técnico'!$A46="","",'Cronograma Asistente Técnico'!$A46)</f>
        <v/>
      </c>
      <c r="B46" s="41">
        <f>IF('Cronograma Asistente Técnico'!$A46="","",'Cronograma Asistente Técnico'!$B46&amp;"")</f>
        <v/>
      </c>
      <c r="C46" s="41">
        <f>IF('Cronograma Asistente Técnico'!$A46="","",'Cronograma Asistente Técnico'!$C46&amp;"")</f>
        <v/>
      </c>
      <c r="D46" s="63">
        <f>IF(OR('Cronograma Asistente Técnico'!$A46="",'Cronograma Asistente Técnico'!$D46=""),"",'Cronograma Asistente Técnico'!$D46)</f>
        <v/>
      </c>
      <c r="E46" s="63">
        <f>IF(OR('Cronograma Asistente Técnico'!$A46="",'Cronograma Asistente Técnico'!$E46=""),"",'Cronograma Asistente Técnico'!$E46)</f>
        <v/>
      </c>
      <c r="F46" s="22">
        <f>IF(OR('Cronograma Asistente Técnico'!$A46="",NOT(ISNUMBER('Cronograma Asistente Técnico'!$E46))),"",IF('Cronograma Asistente Técnico'!$E46&lt;InicioCiclo,"Antes del ciclo",IF('Cronograma Asistente Técnico'!$E46&gt;=InicioCiclo+28,"Después del ciclo","Semana "&amp;(INT(('Cronograma Asistente Técnico'!$E46-InicioCiclo)/7)+1))))</f>
        <v/>
      </c>
      <c r="G46" s="20">
        <f>IF(OR('Cronograma Asistente Técnico'!$A46="",'Cronograma Asistente Técnico'!$G46=""),"",'Cronograma Asistente Técnico'!$G46)</f>
        <v/>
      </c>
      <c r="H46" s="20">
        <f>IF(OR('Cronograma Asistente Técnico'!$A46="",'Cronograma Asistente Técnico'!$H46=""),"",'Cronograma Asistente Técnico'!$H46)</f>
        <v/>
      </c>
      <c r="I46" s="20">
        <f>IF(OR('Cronograma Asistente Técnico'!$A46="",'Cronograma Asistente Técnico'!$I46=""),"",'Cronograma Asistente Técnico'!$I46)</f>
        <v/>
      </c>
      <c r="J46" s="20">
        <f>IF(OR('Cronograma Asistente Técnico'!$A46="",'Cronograma Asistente Técnico'!$J46=""),"",'Cronograma Asistente Técnico'!$J46)</f>
        <v/>
      </c>
      <c r="K46" s="20">
        <f>IF('Cronograma Asistente Técnico'!$A46="","",'Cronograma Asistente Técnico'!$K46)</f>
        <v/>
      </c>
      <c r="L46" s="22">
        <f>IF('Cronograma Asistente Técnico'!$A46="","",IF(N('Cronograma Asistente Técnico'!$K46)&gt;=1,"Completado",IF(AND(ISNUMBER('Cronograma Asistente Técnico'!$E46),'Cronograma Asistente Técnico'!$E46&lt;FechaRef),"Vencida",IF(N('Cronograma Asistente Técnico'!$K46)&gt;0,"En curso","Pendiente"))))</f>
        <v/>
      </c>
      <c r="M46" s="41">
        <f>IF('Cronograma Asistente Técnico'!$A46="","",'Cronograma Asistente Técnico'!$M46&amp;"")</f>
        <v/>
      </c>
    </row>
    <row r="47">
      <c r="A47" s="22">
        <f>IF('Cronograma Asistente Técnico'!$A47="","",'Cronograma Asistente Técnico'!$A47)</f>
        <v/>
      </c>
      <c r="B47" s="41">
        <f>IF('Cronograma Asistente Técnico'!$A47="","",'Cronograma Asistente Técnico'!$B47&amp;"")</f>
        <v/>
      </c>
      <c r="C47" s="41">
        <f>IF('Cronograma Asistente Técnico'!$A47="","",'Cronograma Asistente Técnico'!$C47&amp;"")</f>
        <v/>
      </c>
      <c r="D47" s="63">
        <f>IF(OR('Cronograma Asistente Técnico'!$A47="",'Cronograma Asistente Técnico'!$D47=""),"",'Cronograma Asistente Técnico'!$D47)</f>
        <v/>
      </c>
      <c r="E47" s="63">
        <f>IF(OR('Cronograma Asistente Técnico'!$A47="",'Cronograma Asistente Técnico'!$E47=""),"",'Cronograma Asistente Técnico'!$E47)</f>
        <v/>
      </c>
      <c r="F47" s="22">
        <f>IF(OR('Cronograma Asistente Técnico'!$A47="",NOT(ISNUMBER('Cronograma Asistente Técnico'!$E47))),"",IF('Cronograma Asistente Técnico'!$E47&lt;InicioCiclo,"Antes del ciclo",IF('Cronograma Asistente Técnico'!$E47&gt;=InicioCiclo+28,"Después del ciclo","Semana "&amp;(INT(('Cronograma Asistente Técnico'!$E47-InicioCiclo)/7)+1))))</f>
        <v/>
      </c>
      <c r="G47" s="20">
        <f>IF(OR('Cronograma Asistente Técnico'!$A47="",'Cronograma Asistente Técnico'!$G47=""),"",'Cronograma Asistente Técnico'!$G47)</f>
        <v/>
      </c>
      <c r="H47" s="20">
        <f>IF(OR('Cronograma Asistente Técnico'!$A47="",'Cronograma Asistente Técnico'!$H47=""),"",'Cronograma Asistente Técnico'!$H47)</f>
        <v/>
      </c>
      <c r="I47" s="20">
        <f>IF(OR('Cronograma Asistente Técnico'!$A47="",'Cronograma Asistente Técnico'!$I47=""),"",'Cronograma Asistente Técnico'!$I47)</f>
        <v/>
      </c>
      <c r="J47" s="20">
        <f>IF(OR('Cronograma Asistente Técnico'!$A47="",'Cronograma Asistente Técnico'!$J47=""),"",'Cronograma Asistente Técnico'!$J47)</f>
        <v/>
      </c>
      <c r="K47" s="20">
        <f>IF('Cronograma Asistente Técnico'!$A47="","",'Cronograma Asistente Técnico'!$K47)</f>
        <v/>
      </c>
      <c r="L47" s="22">
        <f>IF('Cronograma Asistente Técnico'!$A47="","",IF(N('Cronograma Asistente Técnico'!$K47)&gt;=1,"Completado",IF(AND(ISNUMBER('Cronograma Asistente Técnico'!$E47),'Cronograma Asistente Técnico'!$E47&lt;FechaRef),"Vencida",IF(N('Cronograma Asistente Técnico'!$K47)&gt;0,"En curso","Pendiente"))))</f>
        <v/>
      </c>
      <c r="M47" s="41">
        <f>IF('Cronograma Asistente Técnico'!$A47="","",'Cronograma Asistente Técnico'!$M47&amp;"")</f>
        <v/>
      </c>
    </row>
    <row r="48">
      <c r="A48" s="22">
        <f>IF('Cronograma Asistente Técnico'!$A48="","",'Cronograma Asistente Técnico'!$A48)</f>
        <v/>
      </c>
      <c r="B48" s="41">
        <f>IF('Cronograma Asistente Técnico'!$A48="","",'Cronograma Asistente Técnico'!$B48&amp;"")</f>
        <v/>
      </c>
      <c r="C48" s="41">
        <f>IF('Cronograma Asistente Técnico'!$A48="","",'Cronograma Asistente Técnico'!$C48&amp;"")</f>
        <v/>
      </c>
      <c r="D48" s="63">
        <f>IF(OR('Cronograma Asistente Técnico'!$A48="",'Cronograma Asistente Técnico'!$D48=""),"",'Cronograma Asistente Técnico'!$D48)</f>
        <v/>
      </c>
      <c r="E48" s="63">
        <f>IF(OR('Cronograma Asistente Técnico'!$A48="",'Cronograma Asistente Técnico'!$E48=""),"",'Cronograma Asistente Técnico'!$E48)</f>
        <v/>
      </c>
      <c r="F48" s="22">
        <f>IF(OR('Cronograma Asistente Técnico'!$A48="",NOT(ISNUMBER('Cronograma Asistente Técnico'!$E48))),"",IF('Cronograma Asistente Técnico'!$E48&lt;InicioCiclo,"Antes del ciclo",IF('Cronograma Asistente Técnico'!$E48&gt;=InicioCiclo+28,"Después del ciclo","Semana "&amp;(INT(('Cronograma Asistente Técnico'!$E48-InicioCiclo)/7)+1))))</f>
        <v/>
      </c>
      <c r="G48" s="20">
        <f>IF(OR('Cronograma Asistente Técnico'!$A48="",'Cronograma Asistente Técnico'!$G48=""),"",'Cronograma Asistente Técnico'!$G48)</f>
        <v/>
      </c>
      <c r="H48" s="20">
        <f>IF(OR('Cronograma Asistente Técnico'!$A48="",'Cronograma Asistente Técnico'!$H48=""),"",'Cronograma Asistente Técnico'!$H48)</f>
        <v/>
      </c>
      <c r="I48" s="20">
        <f>IF(OR('Cronograma Asistente Técnico'!$A48="",'Cronograma Asistente Técnico'!$I48=""),"",'Cronograma Asistente Técnico'!$I48)</f>
        <v/>
      </c>
      <c r="J48" s="20">
        <f>IF(OR('Cronograma Asistente Técnico'!$A48="",'Cronograma Asistente Técnico'!$J48=""),"",'Cronograma Asistente Técnico'!$J48)</f>
        <v/>
      </c>
      <c r="K48" s="20">
        <f>IF('Cronograma Asistente Técnico'!$A48="","",'Cronograma Asistente Técnico'!$K48)</f>
        <v/>
      </c>
      <c r="L48" s="22">
        <f>IF('Cronograma Asistente Técnico'!$A48="","",IF(N('Cronograma Asistente Técnico'!$K48)&gt;=1,"Completado",IF(AND(ISNUMBER('Cronograma Asistente Técnico'!$E48),'Cronograma Asistente Técnico'!$E48&lt;FechaRef),"Vencida",IF(N('Cronograma Asistente Técnico'!$K48)&gt;0,"En curso","Pendiente"))))</f>
        <v/>
      </c>
      <c r="M48" s="41">
        <f>IF('Cronograma Asistente Técnico'!$A48="","",'Cronograma Asistente Técnico'!$M48&amp;"")</f>
        <v/>
      </c>
    </row>
    <row r="49">
      <c r="A49" s="22">
        <f>IF('Cronograma Asistente Técnico'!$A49="","",'Cronograma Asistente Técnico'!$A49)</f>
        <v/>
      </c>
      <c r="B49" s="41">
        <f>IF('Cronograma Asistente Técnico'!$A49="","",'Cronograma Asistente Técnico'!$B49&amp;"")</f>
        <v/>
      </c>
      <c r="C49" s="41">
        <f>IF('Cronograma Asistente Técnico'!$A49="","",'Cronograma Asistente Técnico'!$C49&amp;"")</f>
        <v/>
      </c>
      <c r="D49" s="63">
        <f>IF(OR('Cronograma Asistente Técnico'!$A49="",'Cronograma Asistente Técnico'!$D49=""),"",'Cronograma Asistente Técnico'!$D49)</f>
        <v/>
      </c>
      <c r="E49" s="63">
        <f>IF(OR('Cronograma Asistente Técnico'!$A49="",'Cronograma Asistente Técnico'!$E49=""),"",'Cronograma Asistente Técnico'!$E49)</f>
        <v/>
      </c>
      <c r="F49" s="22">
        <f>IF(OR('Cronograma Asistente Técnico'!$A49="",NOT(ISNUMBER('Cronograma Asistente Técnico'!$E49))),"",IF('Cronograma Asistente Técnico'!$E49&lt;InicioCiclo,"Antes del ciclo",IF('Cronograma Asistente Técnico'!$E49&gt;=InicioCiclo+28,"Después del ciclo","Semana "&amp;(INT(('Cronograma Asistente Técnico'!$E49-InicioCiclo)/7)+1))))</f>
        <v/>
      </c>
      <c r="G49" s="20">
        <f>IF(OR('Cronograma Asistente Técnico'!$A49="",'Cronograma Asistente Técnico'!$G49=""),"",'Cronograma Asistente Técnico'!$G49)</f>
        <v/>
      </c>
      <c r="H49" s="20">
        <f>IF(OR('Cronograma Asistente Técnico'!$A49="",'Cronograma Asistente Técnico'!$H49=""),"",'Cronograma Asistente Técnico'!$H49)</f>
        <v/>
      </c>
      <c r="I49" s="20">
        <f>IF(OR('Cronograma Asistente Técnico'!$A49="",'Cronograma Asistente Técnico'!$I49=""),"",'Cronograma Asistente Técnico'!$I49)</f>
        <v/>
      </c>
      <c r="J49" s="20">
        <f>IF(OR('Cronograma Asistente Técnico'!$A49="",'Cronograma Asistente Técnico'!$J49=""),"",'Cronograma Asistente Técnico'!$J49)</f>
        <v/>
      </c>
      <c r="K49" s="20">
        <f>IF('Cronograma Asistente Técnico'!$A49="","",'Cronograma Asistente Técnico'!$K49)</f>
        <v/>
      </c>
      <c r="L49" s="22">
        <f>IF('Cronograma Asistente Técnico'!$A49="","",IF(N('Cronograma Asistente Técnico'!$K49)&gt;=1,"Completado",IF(AND(ISNUMBER('Cronograma Asistente Técnico'!$E49),'Cronograma Asistente Técnico'!$E49&lt;FechaRef),"Vencida",IF(N('Cronograma Asistente Técnico'!$K49)&gt;0,"En curso","Pendiente"))))</f>
        <v/>
      </c>
      <c r="M49" s="41">
        <f>IF('Cronograma Asistente Técnico'!$A49="","",'Cronograma Asistente Técnico'!$M49&amp;"")</f>
        <v/>
      </c>
    </row>
    <row r="50">
      <c r="A50" s="22">
        <f>IF('Cronograma Asistente Técnico'!$A50="","",'Cronograma Asistente Técnico'!$A50)</f>
        <v/>
      </c>
      <c r="B50" s="41">
        <f>IF('Cronograma Asistente Técnico'!$A50="","",'Cronograma Asistente Técnico'!$B50&amp;"")</f>
        <v/>
      </c>
      <c r="C50" s="41">
        <f>IF('Cronograma Asistente Técnico'!$A50="","",'Cronograma Asistente Técnico'!$C50&amp;"")</f>
        <v/>
      </c>
      <c r="D50" s="63">
        <f>IF(OR('Cronograma Asistente Técnico'!$A50="",'Cronograma Asistente Técnico'!$D50=""),"",'Cronograma Asistente Técnico'!$D50)</f>
        <v/>
      </c>
      <c r="E50" s="63">
        <f>IF(OR('Cronograma Asistente Técnico'!$A50="",'Cronograma Asistente Técnico'!$E50=""),"",'Cronograma Asistente Técnico'!$E50)</f>
        <v/>
      </c>
      <c r="F50" s="22">
        <f>IF(OR('Cronograma Asistente Técnico'!$A50="",NOT(ISNUMBER('Cronograma Asistente Técnico'!$E50))),"",IF('Cronograma Asistente Técnico'!$E50&lt;InicioCiclo,"Antes del ciclo",IF('Cronograma Asistente Técnico'!$E50&gt;=InicioCiclo+28,"Después del ciclo","Semana "&amp;(INT(('Cronograma Asistente Técnico'!$E50-InicioCiclo)/7)+1))))</f>
        <v/>
      </c>
      <c r="G50" s="20">
        <f>IF(OR('Cronograma Asistente Técnico'!$A50="",'Cronograma Asistente Técnico'!$G50=""),"",'Cronograma Asistente Técnico'!$G50)</f>
        <v/>
      </c>
      <c r="H50" s="20">
        <f>IF(OR('Cronograma Asistente Técnico'!$A50="",'Cronograma Asistente Técnico'!$H50=""),"",'Cronograma Asistente Técnico'!$H50)</f>
        <v/>
      </c>
      <c r="I50" s="20">
        <f>IF(OR('Cronograma Asistente Técnico'!$A50="",'Cronograma Asistente Técnico'!$I50=""),"",'Cronograma Asistente Técnico'!$I50)</f>
        <v/>
      </c>
      <c r="J50" s="20">
        <f>IF(OR('Cronograma Asistente Técnico'!$A50="",'Cronograma Asistente Técnico'!$J50=""),"",'Cronograma Asistente Técnico'!$J50)</f>
        <v/>
      </c>
      <c r="K50" s="20">
        <f>IF('Cronograma Asistente Técnico'!$A50="","",'Cronograma Asistente Técnico'!$K50)</f>
        <v/>
      </c>
      <c r="L50" s="22">
        <f>IF('Cronograma Asistente Técnico'!$A50="","",IF(N('Cronograma Asistente Técnico'!$K50)&gt;=1,"Completado",IF(AND(ISNUMBER('Cronograma Asistente Técnico'!$E50),'Cronograma Asistente Técnico'!$E50&lt;FechaRef),"Vencida",IF(N('Cronograma Asistente Técnico'!$K50)&gt;0,"En curso","Pendiente"))))</f>
        <v/>
      </c>
      <c r="M50" s="41">
        <f>IF('Cronograma Asistente Técnico'!$A50="","",'Cronograma Asistente Técnico'!$M50&amp;"")</f>
        <v/>
      </c>
    </row>
    <row r="51">
      <c r="A51" s="22">
        <f>IF('Cronograma Asistente Técnico'!$A51="","",'Cronograma Asistente Técnico'!$A51)</f>
        <v/>
      </c>
      <c r="B51" s="41">
        <f>IF('Cronograma Asistente Técnico'!$A51="","",'Cronograma Asistente Técnico'!$B51&amp;"")</f>
        <v/>
      </c>
      <c r="C51" s="41">
        <f>IF('Cronograma Asistente Técnico'!$A51="","",'Cronograma Asistente Técnico'!$C51&amp;"")</f>
        <v/>
      </c>
      <c r="D51" s="63">
        <f>IF(OR('Cronograma Asistente Técnico'!$A51="",'Cronograma Asistente Técnico'!$D51=""),"",'Cronograma Asistente Técnico'!$D51)</f>
        <v/>
      </c>
      <c r="E51" s="63">
        <f>IF(OR('Cronograma Asistente Técnico'!$A51="",'Cronograma Asistente Técnico'!$E51=""),"",'Cronograma Asistente Técnico'!$E51)</f>
        <v/>
      </c>
      <c r="F51" s="22">
        <f>IF(OR('Cronograma Asistente Técnico'!$A51="",NOT(ISNUMBER('Cronograma Asistente Técnico'!$E51))),"",IF('Cronograma Asistente Técnico'!$E51&lt;InicioCiclo,"Antes del ciclo",IF('Cronograma Asistente Técnico'!$E51&gt;=InicioCiclo+28,"Después del ciclo","Semana "&amp;(INT(('Cronograma Asistente Técnico'!$E51-InicioCiclo)/7)+1))))</f>
        <v/>
      </c>
      <c r="G51" s="20">
        <f>IF(OR('Cronograma Asistente Técnico'!$A51="",'Cronograma Asistente Técnico'!$G51=""),"",'Cronograma Asistente Técnico'!$G51)</f>
        <v/>
      </c>
      <c r="H51" s="20">
        <f>IF(OR('Cronograma Asistente Técnico'!$A51="",'Cronograma Asistente Técnico'!$H51=""),"",'Cronograma Asistente Técnico'!$H51)</f>
        <v/>
      </c>
      <c r="I51" s="20">
        <f>IF(OR('Cronograma Asistente Técnico'!$A51="",'Cronograma Asistente Técnico'!$I51=""),"",'Cronograma Asistente Técnico'!$I51)</f>
        <v/>
      </c>
      <c r="J51" s="20">
        <f>IF(OR('Cronograma Asistente Técnico'!$A51="",'Cronograma Asistente Técnico'!$J51=""),"",'Cronograma Asistente Técnico'!$J51)</f>
        <v/>
      </c>
      <c r="K51" s="20">
        <f>IF('Cronograma Asistente Técnico'!$A51="","",'Cronograma Asistente Técnico'!$K51)</f>
        <v/>
      </c>
      <c r="L51" s="22">
        <f>IF('Cronograma Asistente Técnico'!$A51="","",IF(N('Cronograma Asistente Técnico'!$K51)&gt;=1,"Completado",IF(AND(ISNUMBER('Cronograma Asistente Técnico'!$E51),'Cronograma Asistente Técnico'!$E51&lt;FechaRef),"Vencida",IF(N('Cronograma Asistente Técnico'!$K51)&gt;0,"En curso","Pendiente"))))</f>
        <v/>
      </c>
      <c r="M51" s="41">
        <f>IF('Cronograma Asistente Técnico'!$A51="","",'Cronograma Asistente Técnico'!$M51&amp;"")</f>
        <v/>
      </c>
    </row>
    <row r="52">
      <c r="A52" s="22">
        <f>IF('Cronograma Asistente Técnico'!$A52="","",'Cronograma Asistente Técnico'!$A52)</f>
        <v/>
      </c>
      <c r="B52" s="41">
        <f>IF('Cronograma Asistente Técnico'!$A52="","",'Cronograma Asistente Técnico'!$B52&amp;"")</f>
        <v/>
      </c>
      <c r="C52" s="41">
        <f>IF('Cronograma Asistente Técnico'!$A52="","",'Cronograma Asistente Técnico'!$C52&amp;"")</f>
        <v/>
      </c>
      <c r="D52" s="63">
        <f>IF(OR('Cronograma Asistente Técnico'!$A52="",'Cronograma Asistente Técnico'!$D52=""),"",'Cronograma Asistente Técnico'!$D52)</f>
        <v/>
      </c>
      <c r="E52" s="63">
        <f>IF(OR('Cronograma Asistente Técnico'!$A52="",'Cronograma Asistente Técnico'!$E52=""),"",'Cronograma Asistente Técnico'!$E52)</f>
        <v/>
      </c>
      <c r="F52" s="22">
        <f>IF(OR('Cronograma Asistente Técnico'!$A52="",NOT(ISNUMBER('Cronograma Asistente Técnico'!$E52))),"",IF('Cronograma Asistente Técnico'!$E52&lt;InicioCiclo,"Antes del ciclo",IF('Cronograma Asistente Técnico'!$E52&gt;=InicioCiclo+28,"Después del ciclo","Semana "&amp;(INT(('Cronograma Asistente Técnico'!$E52-InicioCiclo)/7)+1))))</f>
        <v/>
      </c>
      <c r="G52" s="20">
        <f>IF(OR('Cronograma Asistente Técnico'!$A52="",'Cronograma Asistente Técnico'!$G52=""),"",'Cronograma Asistente Técnico'!$G52)</f>
        <v/>
      </c>
      <c r="H52" s="20">
        <f>IF(OR('Cronograma Asistente Técnico'!$A52="",'Cronograma Asistente Técnico'!$H52=""),"",'Cronograma Asistente Técnico'!$H52)</f>
        <v/>
      </c>
      <c r="I52" s="20">
        <f>IF(OR('Cronograma Asistente Técnico'!$A52="",'Cronograma Asistente Técnico'!$I52=""),"",'Cronograma Asistente Técnico'!$I52)</f>
        <v/>
      </c>
      <c r="J52" s="20">
        <f>IF(OR('Cronograma Asistente Técnico'!$A52="",'Cronograma Asistente Técnico'!$J52=""),"",'Cronograma Asistente Técnico'!$J52)</f>
        <v/>
      </c>
      <c r="K52" s="20">
        <f>IF('Cronograma Asistente Técnico'!$A52="","",'Cronograma Asistente Técnico'!$K52)</f>
        <v/>
      </c>
      <c r="L52" s="22">
        <f>IF('Cronograma Asistente Técnico'!$A52="","",IF(N('Cronograma Asistente Técnico'!$K52)&gt;=1,"Completado",IF(AND(ISNUMBER('Cronograma Asistente Técnico'!$E52),'Cronograma Asistente Técnico'!$E52&lt;FechaRef),"Vencida",IF(N('Cronograma Asistente Técnico'!$K52)&gt;0,"En curso","Pendiente"))))</f>
        <v/>
      </c>
      <c r="M52" s="41">
        <f>IF('Cronograma Asistente Técnico'!$A52="","",'Cronograma Asistente Técnico'!$M52&amp;"")</f>
        <v/>
      </c>
    </row>
    <row r="53">
      <c r="A53" s="22">
        <f>IF('Cronograma Asistente Técnico'!$A53="","",'Cronograma Asistente Técnico'!$A53)</f>
        <v/>
      </c>
      <c r="B53" s="41">
        <f>IF('Cronograma Asistente Técnico'!$A53="","",'Cronograma Asistente Técnico'!$B53&amp;"")</f>
        <v/>
      </c>
      <c r="C53" s="41">
        <f>IF('Cronograma Asistente Técnico'!$A53="","",'Cronograma Asistente Técnico'!$C53&amp;"")</f>
        <v/>
      </c>
      <c r="D53" s="63">
        <f>IF(OR('Cronograma Asistente Técnico'!$A53="",'Cronograma Asistente Técnico'!$D53=""),"",'Cronograma Asistente Técnico'!$D53)</f>
        <v/>
      </c>
      <c r="E53" s="63">
        <f>IF(OR('Cronograma Asistente Técnico'!$A53="",'Cronograma Asistente Técnico'!$E53=""),"",'Cronograma Asistente Técnico'!$E53)</f>
        <v/>
      </c>
      <c r="F53" s="22">
        <f>IF(OR('Cronograma Asistente Técnico'!$A53="",NOT(ISNUMBER('Cronograma Asistente Técnico'!$E53))),"",IF('Cronograma Asistente Técnico'!$E53&lt;InicioCiclo,"Antes del ciclo",IF('Cronograma Asistente Técnico'!$E53&gt;=InicioCiclo+28,"Después del ciclo","Semana "&amp;(INT(('Cronograma Asistente Técnico'!$E53-InicioCiclo)/7)+1))))</f>
        <v/>
      </c>
      <c r="G53" s="20">
        <f>IF(OR('Cronograma Asistente Técnico'!$A53="",'Cronograma Asistente Técnico'!$G53=""),"",'Cronograma Asistente Técnico'!$G53)</f>
        <v/>
      </c>
      <c r="H53" s="20">
        <f>IF(OR('Cronograma Asistente Técnico'!$A53="",'Cronograma Asistente Técnico'!$H53=""),"",'Cronograma Asistente Técnico'!$H53)</f>
        <v/>
      </c>
      <c r="I53" s="20">
        <f>IF(OR('Cronograma Asistente Técnico'!$A53="",'Cronograma Asistente Técnico'!$I53=""),"",'Cronograma Asistente Técnico'!$I53)</f>
        <v/>
      </c>
      <c r="J53" s="20">
        <f>IF(OR('Cronograma Asistente Técnico'!$A53="",'Cronograma Asistente Técnico'!$J53=""),"",'Cronograma Asistente Técnico'!$J53)</f>
        <v/>
      </c>
      <c r="K53" s="20">
        <f>IF('Cronograma Asistente Técnico'!$A53="","",'Cronograma Asistente Técnico'!$K53)</f>
        <v/>
      </c>
      <c r="L53" s="22">
        <f>IF('Cronograma Asistente Técnico'!$A53="","",IF(N('Cronograma Asistente Técnico'!$K53)&gt;=1,"Completado",IF(AND(ISNUMBER('Cronograma Asistente Técnico'!$E53),'Cronograma Asistente Técnico'!$E53&lt;FechaRef),"Vencida",IF(N('Cronograma Asistente Técnico'!$K53)&gt;0,"En curso","Pendiente"))))</f>
        <v/>
      </c>
      <c r="M53" s="41">
        <f>IF('Cronograma Asistente Técnico'!$A53="","",'Cronograma Asistente Técnico'!$M53&amp;"")</f>
        <v/>
      </c>
    </row>
    <row r="54">
      <c r="A54" s="22">
        <f>IF('Cronograma Asistente Técnico'!$A54="","",'Cronograma Asistente Técnico'!$A54)</f>
        <v/>
      </c>
      <c r="B54" s="41">
        <f>IF('Cronograma Asistente Técnico'!$A54="","",'Cronograma Asistente Técnico'!$B54&amp;"")</f>
        <v/>
      </c>
      <c r="C54" s="41">
        <f>IF('Cronograma Asistente Técnico'!$A54="","",'Cronograma Asistente Técnico'!$C54&amp;"")</f>
        <v/>
      </c>
      <c r="D54" s="63">
        <f>IF(OR('Cronograma Asistente Técnico'!$A54="",'Cronograma Asistente Técnico'!$D54=""),"",'Cronograma Asistente Técnico'!$D54)</f>
        <v/>
      </c>
      <c r="E54" s="63">
        <f>IF(OR('Cronograma Asistente Técnico'!$A54="",'Cronograma Asistente Técnico'!$E54=""),"",'Cronograma Asistente Técnico'!$E54)</f>
        <v/>
      </c>
      <c r="F54" s="22">
        <f>IF(OR('Cronograma Asistente Técnico'!$A54="",NOT(ISNUMBER('Cronograma Asistente Técnico'!$E54))),"",IF('Cronograma Asistente Técnico'!$E54&lt;InicioCiclo,"Antes del ciclo",IF('Cronograma Asistente Técnico'!$E54&gt;=InicioCiclo+28,"Después del ciclo","Semana "&amp;(INT(('Cronograma Asistente Técnico'!$E54-InicioCiclo)/7)+1))))</f>
        <v/>
      </c>
      <c r="G54" s="20">
        <f>IF(OR('Cronograma Asistente Técnico'!$A54="",'Cronograma Asistente Técnico'!$G54=""),"",'Cronograma Asistente Técnico'!$G54)</f>
        <v/>
      </c>
      <c r="H54" s="20">
        <f>IF(OR('Cronograma Asistente Técnico'!$A54="",'Cronograma Asistente Técnico'!$H54=""),"",'Cronograma Asistente Técnico'!$H54)</f>
        <v/>
      </c>
      <c r="I54" s="20">
        <f>IF(OR('Cronograma Asistente Técnico'!$A54="",'Cronograma Asistente Técnico'!$I54=""),"",'Cronograma Asistente Técnico'!$I54)</f>
        <v/>
      </c>
      <c r="J54" s="20">
        <f>IF(OR('Cronograma Asistente Técnico'!$A54="",'Cronograma Asistente Técnico'!$J54=""),"",'Cronograma Asistente Técnico'!$J54)</f>
        <v/>
      </c>
      <c r="K54" s="20">
        <f>IF('Cronograma Asistente Técnico'!$A54="","",'Cronograma Asistente Técnico'!$K54)</f>
        <v/>
      </c>
      <c r="L54" s="22">
        <f>IF('Cronograma Asistente Técnico'!$A54="","",IF(N('Cronograma Asistente Técnico'!$K54)&gt;=1,"Completado",IF(AND(ISNUMBER('Cronograma Asistente Técnico'!$E54),'Cronograma Asistente Técnico'!$E54&lt;FechaRef),"Vencida",IF(N('Cronograma Asistente Técnico'!$K54)&gt;0,"En curso","Pendiente"))))</f>
        <v/>
      </c>
      <c r="M54" s="41">
        <f>IF('Cronograma Asistente Técnico'!$A54="","",'Cronograma Asistente Técnico'!$M54&amp;"")</f>
        <v/>
      </c>
    </row>
    <row r="55">
      <c r="A55" s="22">
        <f>IF('Cronograma Asistente Técnico'!$A55="","",'Cronograma Asistente Técnico'!$A55)</f>
        <v/>
      </c>
      <c r="B55" s="41">
        <f>IF('Cronograma Asistente Técnico'!$A55="","",'Cronograma Asistente Técnico'!$B55&amp;"")</f>
        <v/>
      </c>
      <c r="C55" s="41">
        <f>IF('Cronograma Asistente Técnico'!$A55="","",'Cronograma Asistente Técnico'!$C55&amp;"")</f>
        <v/>
      </c>
      <c r="D55" s="63">
        <f>IF(OR('Cronograma Asistente Técnico'!$A55="",'Cronograma Asistente Técnico'!$D55=""),"",'Cronograma Asistente Técnico'!$D55)</f>
        <v/>
      </c>
      <c r="E55" s="63">
        <f>IF(OR('Cronograma Asistente Técnico'!$A55="",'Cronograma Asistente Técnico'!$E55=""),"",'Cronograma Asistente Técnico'!$E55)</f>
        <v/>
      </c>
      <c r="F55" s="22">
        <f>IF(OR('Cronograma Asistente Técnico'!$A55="",NOT(ISNUMBER('Cronograma Asistente Técnico'!$E55))),"",IF('Cronograma Asistente Técnico'!$E55&lt;InicioCiclo,"Antes del ciclo",IF('Cronograma Asistente Técnico'!$E55&gt;=InicioCiclo+28,"Después del ciclo","Semana "&amp;(INT(('Cronograma Asistente Técnico'!$E55-InicioCiclo)/7)+1))))</f>
        <v/>
      </c>
      <c r="G55" s="20">
        <f>IF(OR('Cronograma Asistente Técnico'!$A55="",'Cronograma Asistente Técnico'!$G55=""),"",'Cronograma Asistente Técnico'!$G55)</f>
        <v/>
      </c>
      <c r="H55" s="20">
        <f>IF(OR('Cronograma Asistente Técnico'!$A55="",'Cronograma Asistente Técnico'!$H55=""),"",'Cronograma Asistente Técnico'!$H55)</f>
        <v/>
      </c>
      <c r="I55" s="20">
        <f>IF(OR('Cronograma Asistente Técnico'!$A55="",'Cronograma Asistente Técnico'!$I55=""),"",'Cronograma Asistente Técnico'!$I55)</f>
        <v/>
      </c>
      <c r="J55" s="20">
        <f>IF(OR('Cronograma Asistente Técnico'!$A55="",'Cronograma Asistente Técnico'!$J55=""),"",'Cronograma Asistente Técnico'!$J55)</f>
        <v/>
      </c>
      <c r="K55" s="20">
        <f>IF('Cronograma Asistente Técnico'!$A55="","",'Cronograma Asistente Técnico'!$K55)</f>
        <v/>
      </c>
      <c r="L55" s="22">
        <f>IF('Cronograma Asistente Técnico'!$A55="","",IF(N('Cronograma Asistente Técnico'!$K55)&gt;=1,"Completado",IF(AND(ISNUMBER('Cronograma Asistente Técnico'!$E55),'Cronograma Asistente Técnico'!$E55&lt;FechaRef),"Vencida",IF(N('Cronograma Asistente Técnico'!$K55)&gt;0,"En curso","Pendiente"))))</f>
        <v/>
      </c>
      <c r="M55" s="41">
        <f>IF('Cronograma Asistente Técnico'!$A55="","",'Cronograma Asistente Técnico'!$M55&amp;"")</f>
        <v/>
      </c>
    </row>
    <row r="56">
      <c r="A56" s="22">
        <f>IF('Cronograma Asistente Técnico'!$A56="","",'Cronograma Asistente Técnico'!$A56)</f>
        <v/>
      </c>
      <c r="B56" s="41">
        <f>IF('Cronograma Asistente Técnico'!$A56="","",'Cronograma Asistente Técnico'!$B56&amp;"")</f>
        <v/>
      </c>
      <c r="C56" s="41">
        <f>IF('Cronograma Asistente Técnico'!$A56="","",'Cronograma Asistente Técnico'!$C56&amp;"")</f>
        <v/>
      </c>
      <c r="D56" s="63">
        <f>IF(OR('Cronograma Asistente Técnico'!$A56="",'Cronograma Asistente Técnico'!$D56=""),"",'Cronograma Asistente Técnico'!$D56)</f>
        <v/>
      </c>
      <c r="E56" s="63">
        <f>IF(OR('Cronograma Asistente Técnico'!$A56="",'Cronograma Asistente Técnico'!$E56=""),"",'Cronograma Asistente Técnico'!$E56)</f>
        <v/>
      </c>
      <c r="F56" s="22">
        <f>IF(OR('Cronograma Asistente Técnico'!$A56="",NOT(ISNUMBER('Cronograma Asistente Técnico'!$E56))),"",IF('Cronograma Asistente Técnico'!$E56&lt;InicioCiclo,"Antes del ciclo",IF('Cronograma Asistente Técnico'!$E56&gt;=InicioCiclo+28,"Después del ciclo","Semana "&amp;(INT(('Cronograma Asistente Técnico'!$E56-InicioCiclo)/7)+1))))</f>
        <v/>
      </c>
      <c r="G56" s="20">
        <f>IF(OR('Cronograma Asistente Técnico'!$A56="",'Cronograma Asistente Técnico'!$G56=""),"",'Cronograma Asistente Técnico'!$G56)</f>
        <v/>
      </c>
      <c r="H56" s="20">
        <f>IF(OR('Cronograma Asistente Técnico'!$A56="",'Cronograma Asistente Técnico'!$H56=""),"",'Cronograma Asistente Técnico'!$H56)</f>
        <v/>
      </c>
      <c r="I56" s="20">
        <f>IF(OR('Cronograma Asistente Técnico'!$A56="",'Cronograma Asistente Técnico'!$I56=""),"",'Cronograma Asistente Técnico'!$I56)</f>
        <v/>
      </c>
      <c r="J56" s="20">
        <f>IF(OR('Cronograma Asistente Técnico'!$A56="",'Cronograma Asistente Técnico'!$J56=""),"",'Cronograma Asistente Técnico'!$J56)</f>
        <v/>
      </c>
      <c r="K56" s="20">
        <f>IF('Cronograma Asistente Técnico'!$A56="","",'Cronograma Asistente Técnico'!$K56)</f>
        <v/>
      </c>
      <c r="L56" s="22">
        <f>IF('Cronograma Asistente Técnico'!$A56="","",IF(N('Cronograma Asistente Técnico'!$K56)&gt;=1,"Completado",IF(AND(ISNUMBER('Cronograma Asistente Técnico'!$E56),'Cronograma Asistente Técnico'!$E56&lt;FechaRef),"Vencida",IF(N('Cronograma Asistente Técnico'!$K56)&gt;0,"En curso","Pendiente"))))</f>
        <v/>
      </c>
      <c r="M56" s="41">
        <f>IF('Cronograma Asistente Técnico'!$A56="","",'Cronograma Asistente Técnico'!$M56&amp;"")</f>
        <v/>
      </c>
    </row>
    <row r="57">
      <c r="A57" s="22">
        <f>IF('Cronograma Asistente Técnico'!$A57="","",'Cronograma Asistente Técnico'!$A57)</f>
        <v/>
      </c>
      <c r="B57" s="41">
        <f>IF('Cronograma Asistente Técnico'!$A57="","",'Cronograma Asistente Técnico'!$B57&amp;"")</f>
        <v/>
      </c>
      <c r="C57" s="41">
        <f>IF('Cronograma Asistente Técnico'!$A57="","",'Cronograma Asistente Técnico'!$C57&amp;"")</f>
        <v/>
      </c>
      <c r="D57" s="63">
        <f>IF(OR('Cronograma Asistente Técnico'!$A57="",'Cronograma Asistente Técnico'!$D57=""),"",'Cronograma Asistente Técnico'!$D57)</f>
        <v/>
      </c>
      <c r="E57" s="63">
        <f>IF(OR('Cronograma Asistente Técnico'!$A57="",'Cronograma Asistente Técnico'!$E57=""),"",'Cronograma Asistente Técnico'!$E57)</f>
        <v/>
      </c>
      <c r="F57" s="22">
        <f>IF(OR('Cronograma Asistente Técnico'!$A57="",NOT(ISNUMBER('Cronograma Asistente Técnico'!$E57))),"",IF('Cronograma Asistente Técnico'!$E57&lt;InicioCiclo,"Antes del ciclo",IF('Cronograma Asistente Técnico'!$E57&gt;=InicioCiclo+28,"Después del ciclo","Semana "&amp;(INT(('Cronograma Asistente Técnico'!$E57-InicioCiclo)/7)+1))))</f>
        <v/>
      </c>
      <c r="G57" s="20">
        <f>IF(OR('Cronograma Asistente Técnico'!$A57="",'Cronograma Asistente Técnico'!$G57=""),"",'Cronograma Asistente Técnico'!$G57)</f>
        <v/>
      </c>
      <c r="H57" s="20">
        <f>IF(OR('Cronograma Asistente Técnico'!$A57="",'Cronograma Asistente Técnico'!$H57=""),"",'Cronograma Asistente Técnico'!$H57)</f>
        <v/>
      </c>
      <c r="I57" s="20">
        <f>IF(OR('Cronograma Asistente Técnico'!$A57="",'Cronograma Asistente Técnico'!$I57=""),"",'Cronograma Asistente Técnico'!$I57)</f>
        <v/>
      </c>
      <c r="J57" s="20">
        <f>IF(OR('Cronograma Asistente Técnico'!$A57="",'Cronograma Asistente Técnico'!$J57=""),"",'Cronograma Asistente Técnico'!$J57)</f>
        <v/>
      </c>
      <c r="K57" s="20">
        <f>IF('Cronograma Asistente Técnico'!$A57="","",'Cronograma Asistente Técnico'!$K57)</f>
        <v/>
      </c>
      <c r="L57" s="22">
        <f>IF('Cronograma Asistente Técnico'!$A57="","",IF(N('Cronograma Asistente Técnico'!$K57)&gt;=1,"Completado",IF(AND(ISNUMBER('Cronograma Asistente Técnico'!$E57),'Cronograma Asistente Técnico'!$E57&lt;FechaRef),"Vencida",IF(N('Cronograma Asistente Técnico'!$K57)&gt;0,"En curso","Pendiente"))))</f>
        <v/>
      </c>
      <c r="M57" s="41">
        <f>IF('Cronograma Asistente Técnico'!$A57="","",'Cronograma Asistente Técnico'!$M57&amp;"")</f>
        <v/>
      </c>
    </row>
    <row r="58">
      <c r="A58" s="22">
        <f>IF('Cronograma Asistente Técnico'!$A58="","",'Cronograma Asistente Técnico'!$A58)</f>
        <v/>
      </c>
      <c r="B58" s="41">
        <f>IF('Cronograma Asistente Técnico'!$A58="","",'Cronograma Asistente Técnico'!$B58&amp;"")</f>
        <v/>
      </c>
      <c r="C58" s="41">
        <f>IF('Cronograma Asistente Técnico'!$A58="","",'Cronograma Asistente Técnico'!$C58&amp;"")</f>
        <v/>
      </c>
      <c r="D58" s="63">
        <f>IF(OR('Cronograma Asistente Técnico'!$A58="",'Cronograma Asistente Técnico'!$D58=""),"",'Cronograma Asistente Técnico'!$D58)</f>
        <v/>
      </c>
      <c r="E58" s="63">
        <f>IF(OR('Cronograma Asistente Técnico'!$A58="",'Cronograma Asistente Técnico'!$E58=""),"",'Cronograma Asistente Técnico'!$E58)</f>
        <v/>
      </c>
      <c r="F58" s="22">
        <f>IF(OR('Cronograma Asistente Técnico'!$A58="",NOT(ISNUMBER('Cronograma Asistente Técnico'!$E58))),"",IF('Cronograma Asistente Técnico'!$E58&lt;InicioCiclo,"Antes del ciclo",IF('Cronograma Asistente Técnico'!$E58&gt;=InicioCiclo+28,"Después del ciclo","Semana "&amp;(INT(('Cronograma Asistente Técnico'!$E58-InicioCiclo)/7)+1))))</f>
        <v/>
      </c>
      <c r="G58" s="20">
        <f>IF(OR('Cronograma Asistente Técnico'!$A58="",'Cronograma Asistente Técnico'!$G58=""),"",'Cronograma Asistente Técnico'!$G58)</f>
        <v/>
      </c>
      <c r="H58" s="20">
        <f>IF(OR('Cronograma Asistente Técnico'!$A58="",'Cronograma Asistente Técnico'!$H58=""),"",'Cronograma Asistente Técnico'!$H58)</f>
        <v/>
      </c>
      <c r="I58" s="20">
        <f>IF(OR('Cronograma Asistente Técnico'!$A58="",'Cronograma Asistente Técnico'!$I58=""),"",'Cronograma Asistente Técnico'!$I58)</f>
        <v/>
      </c>
      <c r="J58" s="20">
        <f>IF(OR('Cronograma Asistente Técnico'!$A58="",'Cronograma Asistente Técnico'!$J58=""),"",'Cronograma Asistente Técnico'!$J58)</f>
        <v/>
      </c>
      <c r="K58" s="20">
        <f>IF('Cronograma Asistente Técnico'!$A58="","",'Cronograma Asistente Técnico'!$K58)</f>
        <v/>
      </c>
      <c r="L58" s="22">
        <f>IF('Cronograma Asistente Técnico'!$A58="","",IF(N('Cronograma Asistente Técnico'!$K58)&gt;=1,"Completado",IF(AND(ISNUMBER('Cronograma Asistente Técnico'!$E58),'Cronograma Asistente Técnico'!$E58&lt;FechaRef),"Vencida",IF(N('Cronograma Asistente Técnico'!$K58)&gt;0,"En curso","Pendiente"))))</f>
        <v/>
      </c>
      <c r="M58" s="41">
        <f>IF('Cronograma Asistente Técnico'!$A58="","",'Cronograma Asistente Técnico'!$M58&amp;"")</f>
        <v/>
      </c>
    </row>
    <row r="59">
      <c r="A59" s="22">
        <f>IF('Cronograma Asistente Técnico'!$A59="","",'Cronograma Asistente Técnico'!$A59)</f>
        <v/>
      </c>
      <c r="B59" s="41">
        <f>IF('Cronograma Asistente Técnico'!$A59="","",'Cronograma Asistente Técnico'!$B59&amp;"")</f>
        <v/>
      </c>
      <c r="C59" s="41">
        <f>IF('Cronograma Asistente Técnico'!$A59="","",'Cronograma Asistente Técnico'!$C59&amp;"")</f>
        <v/>
      </c>
      <c r="D59" s="63">
        <f>IF(OR('Cronograma Asistente Técnico'!$A59="",'Cronograma Asistente Técnico'!$D59=""),"",'Cronograma Asistente Técnico'!$D59)</f>
        <v/>
      </c>
      <c r="E59" s="63">
        <f>IF(OR('Cronograma Asistente Técnico'!$A59="",'Cronograma Asistente Técnico'!$E59=""),"",'Cronograma Asistente Técnico'!$E59)</f>
        <v/>
      </c>
      <c r="F59" s="22">
        <f>IF(OR('Cronograma Asistente Técnico'!$A59="",NOT(ISNUMBER('Cronograma Asistente Técnico'!$E59))),"",IF('Cronograma Asistente Técnico'!$E59&lt;InicioCiclo,"Antes del ciclo",IF('Cronograma Asistente Técnico'!$E59&gt;=InicioCiclo+28,"Después del ciclo","Semana "&amp;(INT(('Cronograma Asistente Técnico'!$E59-InicioCiclo)/7)+1))))</f>
        <v/>
      </c>
      <c r="G59" s="20">
        <f>IF(OR('Cronograma Asistente Técnico'!$A59="",'Cronograma Asistente Técnico'!$G59=""),"",'Cronograma Asistente Técnico'!$G59)</f>
        <v/>
      </c>
      <c r="H59" s="20">
        <f>IF(OR('Cronograma Asistente Técnico'!$A59="",'Cronograma Asistente Técnico'!$H59=""),"",'Cronograma Asistente Técnico'!$H59)</f>
        <v/>
      </c>
      <c r="I59" s="20">
        <f>IF(OR('Cronograma Asistente Técnico'!$A59="",'Cronograma Asistente Técnico'!$I59=""),"",'Cronograma Asistente Técnico'!$I59)</f>
        <v/>
      </c>
      <c r="J59" s="20">
        <f>IF(OR('Cronograma Asistente Técnico'!$A59="",'Cronograma Asistente Técnico'!$J59=""),"",'Cronograma Asistente Técnico'!$J59)</f>
        <v/>
      </c>
      <c r="K59" s="20">
        <f>IF('Cronograma Asistente Técnico'!$A59="","",'Cronograma Asistente Técnico'!$K59)</f>
        <v/>
      </c>
      <c r="L59" s="22">
        <f>IF('Cronograma Asistente Técnico'!$A59="","",IF(N('Cronograma Asistente Técnico'!$K59)&gt;=1,"Completado",IF(AND(ISNUMBER('Cronograma Asistente Técnico'!$E59),'Cronograma Asistente Técnico'!$E59&lt;FechaRef),"Vencida",IF(N('Cronograma Asistente Técnico'!$K59)&gt;0,"En curso","Pendiente"))))</f>
        <v/>
      </c>
      <c r="M59" s="41">
        <f>IF('Cronograma Asistente Técnico'!$A59="","",'Cronograma Asistente Técnico'!$M59&amp;"")</f>
        <v/>
      </c>
    </row>
    <row r="60">
      <c r="A60" s="22">
        <f>IF('Cronograma Asistente Técnico'!$A60="","",'Cronograma Asistente Técnico'!$A60)</f>
        <v/>
      </c>
      <c r="B60" s="41">
        <f>IF('Cronograma Asistente Técnico'!$A60="","",'Cronograma Asistente Técnico'!$B60&amp;"")</f>
        <v/>
      </c>
      <c r="C60" s="41">
        <f>IF('Cronograma Asistente Técnico'!$A60="","",'Cronograma Asistente Técnico'!$C60&amp;"")</f>
        <v/>
      </c>
      <c r="D60" s="63">
        <f>IF(OR('Cronograma Asistente Técnico'!$A60="",'Cronograma Asistente Técnico'!$D60=""),"",'Cronograma Asistente Técnico'!$D60)</f>
        <v/>
      </c>
      <c r="E60" s="63">
        <f>IF(OR('Cronograma Asistente Técnico'!$A60="",'Cronograma Asistente Técnico'!$E60=""),"",'Cronograma Asistente Técnico'!$E60)</f>
        <v/>
      </c>
      <c r="F60" s="22">
        <f>IF(OR('Cronograma Asistente Técnico'!$A60="",NOT(ISNUMBER('Cronograma Asistente Técnico'!$E60))),"",IF('Cronograma Asistente Técnico'!$E60&lt;InicioCiclo,"Antes del ciclo",IF('Cronograma Asistente Técnico'!$E60&gt;=InicioCiclo+28,"Después del ciclo","Semana "&amp;(INT(('Cronograma Asistente Técnico'!$E60-InicioCiclo)/7)+1))))</f>
        <v/>
      </c>
      <c r="G60" s="20">
        <f>IF(OR('Cronograma Asistente Técnico'!$A60="",'Cronograma Asistente Técnico'!$G60=""),"",'Cronograma Asistente Técnico'!$G60)</f>
        <v/>
      </c>
      <c r="H60" s="20">
        <f>IF(OR('Cronograma Asistente Técnico'!$A60="",'Cronograma Asistente Técnico'!$H60=""),"",'Cronograma Asistente Técnico'!$H60)</f>
        <v/>
      </c>
      <c r="I60" s="20">
        <f>IF(OR('Cronograma Asistente Técnico'!$A60="",'Cronograma Asistente Técnico'!$I60=""),"",'Cronograma Asistente Técnico'!$I60)</f>
        <v/>
      </c>
      <c r="J60" s="20">
        <f>IF(OR('Cronograma Asistente Técnico'!$A60="",'Cronograma Asistente Técnico'!$J60=""),"",'Cronograma Asistente Técnico'!$J60)</f>
        <v/>
      </c>
      <c r="K60" s="20">
        <f>IF('Cronograma Asistente Técnico'!$A60="","",'Cronograma Asistente Técnico'!$K60)</f>
        <v/>
      </c>
      <c r="L60" s="22">
        <f>IF('Cronograma Asistente Técnico'!$A60="","",IF(N('Cronograma Asistente Técnico'!$K60)&gt;=1,"Completado",IF(AND(ISNUMBER('Cronograma Asistente Técnico'!$E60),'Cronograma Asistente Técnico'!$E60&lt;FechaRef),"Vencida",IF(N('Cronograma Asistente Técnico'!$K60)&gt;0,"En curso","Pendiente"))))</f>
        <v/>
      </c>
      <c r="M60" s="41">
        <f>IF('Cronograma Asistente Técnico'!$A60="","",'Cronograma Asistente Técnico'!$M60&amp;"")</f>
        <v/>
      </c>
    </row>
    <row r="61">
      <c r="A61" s="22">
        <f>IF('Cronograma Asistente Técnico'!$A61="","",'Cronograma Asistente Técnico'!$A61)</f>
        <v/>
      </c>
      <c r="B61" s="41">
        <f>IF('Cronograma Asistente Técnico'!$A61="","",'Cronograma Asistente Técnico'!$B61&amp;"")</f>
        <v/>
      </c>
      <c r="C61" s="41">
        <f>IF('Cronograma Asistente Técnico'!$A61="","",'Cronograma Asistente Técnico'!$C61&amp;"")</f>
        <v/>
      </c>
      <c r="D61" s="63">
        <f>IF(OR('Cronograma Asistente Técnico'!$A61="",'Cronograma Asistente Técnico'!$D61=""),"",'Cronograma Asistente Técnico'!$D61)</f>
        <v/>
      </c>
      <c r="E61" s="63">
        <f>IF(OR('Cronograma Asistente Técnico'!$A61="",'Cronograma Asistente Técnico'!$E61=""),"",'Cronograma Asistente Técnico'!$E61)</f>
        <v/>
      </c>
      <c r="F61" s="22">
        <f>IF(OR('Cronograma Asistente Técnico'!$A61="",NOT(ISNUMBER('Cronograma Asistente Técnico'!$E61))),"",IF('Cronograma Asistente Técnico'!$E61&lt;InicioCiclo,"Antes del ciclo",IF('Cronograma Asistente Técnico'!$E61&gt;=InicioCiclo+28,"Después del ciclo","Semana "&amp;(INT(('Cronograma Asistente Técnico'!$E61-InicioCiclo)/7)+1))))</f>
        <v/>
      </c>
      <c r="G61" s="20">
        <f>IF(OR('Cronograma Asistente Técnico'!$A61="",'Cronograma Asistente Técnico'!$G61=""),"",'Cronograma Asistente Técnico'!$G61)</f>
        <v/>
      </c>
      <c r="H61" s="20">
        <f>IF(OR('Cronograma Asistente Técnico'!$A61="",'Cronograma Asistente Técnico'!$H61=""),"",'Cronograma Asistente Técnico'!$H61)</f>
        <v/>
      </c>
      <c r="I61" s="20">
        <f>IF(OR('Cronograma Asistente Técnico'!$A61="",'Cronograma Asistente Técnico'!$I61=""),"",'Cronograma Asistente Técnico'!$I61)</f>
        <v/>
      </c>
      <c r="J61" s="20">
        <f>IF(OR('Cronograma Asistente Técnico'!$A61="",'Cronograma Asistente Técnico'!$J61=""),"",'Cronograma Asistente Técnico'!$J61)</f>
        <v/>
      </c>
      <c r="K61" s="20">
        <f>IF('Cronograma Asistente Técnico'!$A61="","",'Cronograma Asistente Técnico'!$K61)</f>
        <v/>
      </c>
      <c r="L61" s="22">
        <f>IF('Cronograma Asistente Técnico'!$A61="","",IF(N('Cronograma Asistente Técnico'!$K61)&gt;=1,"Completado",IF(AND(ISNUMBER('Cronograma Asistente Técnico'!$E61),'Cronograma Asistente Técnico'!$E61&lt;FechaRef),"Vencida",IF(N('Cronograma Asistente Técnico'!$K61)&gt;0,"En curso","Pendiente"))))</f>
        <v/>
      </c>
      <c r="M61" s="41">
        <f>IF('Cronograma Asistente Técnico'!$A61="","",'Cronograma Asistente Técnico'!$M61&amp;"")</f>
        <v/>
      </c>
    </row>
    <row r="62">
      <c r="A62" s="22">
        <f>IF('Cronograma Asistente Técnico'!$A62="","",'Cronograma Asistente Técnico'!$A62)</f>
        <v/>
      </c>
      <c r="B62" s="41">
        <f>IF('Cronograma Asistente Técnico'!$A62="","",'Cronograma Asistente Técnico'!$B62&amp;"")</f>
        <v/>
      </c>
      <c r="C62" s="41">
        <f>IF('Cronograma Asistente Técnico'!$A62="","",'Cronograma Asistente Técnico'!$C62&amp;"")</f>
        <v/>
      </c>
      <c r="D62" s="63">
        <f>IF(OR('Cronograma Asistente Técnico'!$A62="",'Cronograma Asistente Técnico'!$D62=""),"",'Cronograma Asistente Técnico'!$D62)</f>
        <v/>
      </c>
      <c r="E62" s="63">
        <f>IF(OR('Cronograma Asistente Técnico'!$A62="",'Cronograma Asistente Técnico'!$E62=""),"",'Cronograma Asistente Técnico'!$E62)</f>
        <v/>
      </c>
      <c r="F62" s="22">
        <f>IF(OR('Cronograma Asistente Técnico'!$A62="",NOT(ISNUMBER('Cronograma Asistente Técnico'!$E62))),"",IF('Cronograma Asistente Técnico'!$E62&lt;InicioCiclo,"Antes del ciclo",IF('Cronograma Asistente Técnico'!$E62&gt;=InicioCiclo+28,"Después del ciclo","Semana "&amp;(INT(('Cronograma Asistente Técnico'!$E62-InicioCiclo)/7)+1))))</f>
        <v/>
      </c>
      <c r="G62" s="20">
        <f>IF(OR('Cronograma Asistente Técnico'!$A62="",'Cronograma Asistente Técnico'!$G62=""),"",'Cronograma Asistente Técnico'!$G62)</f>
        <v/>
      </c>
      <c r="H62" s="20">
        <f>IF(OR('Cronograma Asistente Técnico'!$A62="",'Cronograma Asistente Técnico'!$H62=""),"",'Cronograma Asistente Técnico'!$H62)</f>
        <v/>
      </c>
      <c r="I62" s="20">
        <f>IF(OR('Cronograma Asistente Técnico'!$A62="",'Cronograma Asistente Técnico'!$I62=""),"",'Cronograma Asistente Técnico'!$I62)</f>
        <v/>
      </c>
      <c r="J62" s="20">
        <f>IF(OR('Cronograma Asistente Técnico'!$A62="",'Cronograma Asistente Técnico'!$J62=""),"",'Cronograma Asistente Técnico'!$J62)</f>
        <v/>
      </c>
      <c r="K62" s="20">
        <f>IF('Cronograma Asistente Técnico'!$A62="","",'Cronograma Asistente Técnico'!$K62)</f>
        <v/>
      </c>
      <c r="L62" s="22">
        <f>IF('Cronograma Asistente Técnico'!$A62="","",IF(N('Cronograma Asistente Técnico'!$K62)&gt;=1,"Completado",IF(AND(ISNUMBER('Cronograma Asistente Técnico'!$E62),'Cronograma Asistente Técnico'!$E62&lt;FechaRef),"Vencida",IF(N('Cronograma Asistente Técnico'!$K62)&gt;0,"En curso","Pendiente"))))</f>
        <v/>
      </c>
      <c r="M62" s="41">
        <f>IF('Cronograma Asistente Técnico'!$A62="","",'Cronograma Asistente Técnico'!$M62&amp;"")</f>
        <v/>
      </c>
    </row>
    <row r="63">
      <c r="A63" s="22">
        <f>IF('Cronograma Asistente Técnico'!$A63="","",'Cronograma Asistente Técnico'!$A63)</f>
        <v/>
      </c>
      <c r="B63" s="41">
        <f>IF('Cronograma Asistente Técnico'!$A63="","",'Cronograma Asistente Técnico'!$B63&amp;"")</f>
        <v/>
      </c>
      <c r="C63" s="41">
        <f>IF('Cronograma Asistente Técnico'!$A63="","",'Cronograma Asistente Técnico'!$C63&amp;"")</f>
        <v/>
      </c>
      <c r="D63" s="63">
        <f>IF(OR('Cronograma Asistente Técnico'!$A63="",'Cronograma Asistente Técnico'!$D63=""),"",'Cronograma Asistente Técnico'!$D63)</f>
        <v/>
      </c>
      <c r="E63" s="63">
        <f>IF(OR('Cronograma Asistente Técnico'!$A63="",'Cronograma Asistente Técnico'!$E63=""),"",'Cronograma Asistente Técnico'!$E63)</f>
        <v/>
      </c>
      <c r="F63" s="22">
        <f>IF(OR('Cronograma Asistente Técnico'!$A63="",NOT(ISNUMBER('Cronograma Asistente Técnico'!$E63))),"",IF('Cronograma Asistente Técnico'!$E63&lt;InicioCiclo,"Antes del ciclo",IF('Cronograma Asistente Técnico'!$E63&gt;=InicioCiclo+28,"Después del ciclo","Semana "&amp;(INT(('Cronograma Asistente Técnico'!$E63-InicioCiclo)/7)+1))))</f>
        <v/>
      </c>
      <c r="G63" s="20">
        <f>IF(OR('Cronograma Asistente Técnico'!$A63="",'Cronograma Asistente Técnico'!$G63=""),"",'Cronograma Asistente Técnico'!$G63)</f>
        <v/>
      </c>
      <c r="H63" s="20">
        <f>IF(OR('Cronograma Asistente Técnico'!$A63="",'Cronograma Asistente Técnico'!$H63=""),"",'Cronograma Asistente Técnico'!$H63)</f>
        <v/>
      </c>
      <c r="I63" s="20">
        <f>IF(OR('Cronograma Asistente Técnico'!$A63="",'Cronograma Asistente Técnico'!$I63=""),"",'Cronograma Asistente Técnico'!$I63)</f>
        <v/>
      </c>
      <c r="J63" s="20">
        <f>IF(OR('Cronograma Asistente Técnico'!$A63="",'Cronograma Asistente Técnico'!$J63=""),"",'Cronograma Asistente Técnico'!$J63)</f>
        <v/>
      </c>
      <c r="K63" s="20">
        <f>IF('Cronograma Asistente Técnico'!$A63="","",'Cronograma Asistente Técnico'!$K63)</f>
        <v/>
      </c>
      <c r="L63" s="22">
        <f>IF('Cronograma Asistente Técnico'!$A63="","",IF(N('Cronograma Asistente Técnico'!$K63)&gt;=1,"Completado",IF(AND(ISNUMBER('Cronograma Asistente Técnico'!$E63),'Cronograma Asistente Técnico'!$E63&lt;FechaRef),"Vencida",IF(N('Cronograma Asistente Técnico'!$K63)&gt;0,"En curso","Pendiente"))))</f>
        <v/>
      </c>
      <c r="M63" s="41">
        <f>IF('Cronograma Asistente Técnico'!$A63="","",'Cronograma Asistente Técnico'!$M63&amp;"")</f>
        <v/>
      </c>
    </row>
    <row r="64">
      <c r="A64" s="22">
        <f>IF('Cronograma Asistente Técnico'!$A64="","",'Cronograma Asistente Técnico'!$A64)</f>
        <v/>
      </c>
      <c r="B64" s="41">
        <f>IF('Cronograma Asistente Técnico'!$A64="","",'Cronograma Asistente Técnico'!$B64&amp;"")</f>
        <v/>
      </c>
      <c r="C64" s="41">
        <f>IF('Cronograma Asistente Técnico'!$A64="","",'Cronograma Asistente Técnico'!$C64&amp;"")</f>
        <v/>
      </c>
      <c r="D64" s="63">
        <f>IF(OR('Cronograma Asistente Técnico'!$A64="",'Cronograma Asistente Técnico'!$D64=""),"",'Cronograma Asistente Técnico'!$D64)</f>
        <v/>
      </c>
      <c r="E64" s="63">
        <f>IF(OR('Cronograma Asistente Técnico'!$A64="",'Cronograma Asistente Técnico'!$E64=""),"",'Cronograma Asistente Técnico'!$E64)</f>
        <v/>
      </c>
      <c r="F64" s="22">
        <f>IF(OR('Cronograma Asistente Técnico'!$A64="",NOT(ISNUMBER('Cronograma Asistente Técnico'!$E64))),"",IF('Cronograma Asistente Técnico'!$E64&lt;InicioCiclo,"Antes del ciclo",IF('Cronograma Asistente Técnico'!$E64&gt;=InicioCiclo+28,"Después del ciclo","Semana "&amp;(INT(('Cronograma Asistente Técnico'!$E64-InicioCiclo)/7)+1))))</f>
        <v/>
      </c>
      <c r="G64" s="20">
        <f>IF(OR('Cronograma Asistente Técnico'!$A64="",'Cronograma Asistente Técnico'!$G64=""),"",'Cronograma Asistente Técnico'!$G64)</f>
        <v/>
      </c>
      <c r="H64" s="20">
        <f>IF(OR('Cronograma Asistente Técnico'!$A64="",'Cronograma Asistente Técnico'!$H64=""),"",'Cronograma Asistente Técnico'!$H64)</f>
        <v/>
      </c>
      <c r="I64" s="20">
        <f>IF(OR('Cronograma Asistente Técnico'!$A64="",'Cronograma Asistente Técnico'!$I64=""),"",'Cronograma Asistente Técnico'!$I64)</f>
        <v/>
      </c>
      <c r="J64" s="20">
        <f>IF(OR('Cronograma Asistente Técnico'!$A64="",'Cronograma Asistente Técnico'!$J64=""),"",'Cronograma Asistente Técnico'!$J64)</f>
        <v/>
      </c>
      <c r="K64" s="20">
        <f>IF('Cronograma Asistente Técnico'!$A64="","",'Cronograma Asistente Técnico'!$K64)</f>
        <v/>
      </c>
      <c r="L64" s="22">
        <f>IF('Cronograma Asistente Técnico'!$A64="","",IF(N('Cronograma Asistente Técnico'!$K64)&gt;=1,"Completado",IF(AND(ISNUMBER('Cronograma Asistente Técnico'!$E64),'Cronograma Asistente Técnico'!$E64&lt;FechaRef),"Vencida",IF(N('Cronograma Asistente Técnico'!$K64)&gt;0,"En curso","Pendiente"))))</f>
        <v/>
      </c>
      <c r="M64" s="41">
        <f>IF('Cronograma Asistente Técnico'!$A64="","",'Cronograma Asistente Técnico'!$M64&amp;"")</f>
        <v/>
      </c>
    </row>
    <row r="65">
      <c r="A65" s="22">
        <f>IF('Cronograma Asistente Técnico'!$A65="","",'Cronograma Asistente Técnico'!$A65)</f>
        <v/>
      </c>
      <c r="B65" s="41">
        <f>IF('Cronograma Asistente Técnico'!$A65="","",'Cronograma Asistente Técnico'!$B65&amp;"")</f>
        <v/>
      </c>
      <c r="C65" s="41">
        <f>IF('Cronograma Asistente Técnico'!$A65="","",'Cronograma Asistente Técnico'!$C65&amp;"")</f>
        <v/>
      </c>
      <c r="D65" s="63">
        <f>IF(OR('Cronograma Asistente Técnico'!$A65="",'Cronograma Asistente Técnico'!$D65=""),"",'Cronograma Asistente Técnico'!$D65)</f>
        <v/>
      </c>
      <c r="E65" s="63">
        <f>IF(OR('Cronograma Asistente Técnico'!$A65="",'Cronograma Asistente Técnico'!$E65=""),"",'Cronograma Asistente Técnico'!$E65)</f>
        <v/>
      </c>
      <c r="F65" s="22">
        <f>IF(OR('Cronograma Asistente Técnico'!$A65="",NOT(ISNUMBER('Cronograma Asistente Técnico'!$E65))),"",IF('Cronograma Asistente Técnico'!$E65&lt;InicioCiclo,"Antes del ciclo",IF('Cronograma Asistente Técnico'!$E65&gt;=InicioCiclo+28,"Después del ciclo","Semana "&amp;(INT(('Cronograma Asistente Técnico'!$E65-InicioCiclo)/7)+1))))</f>
        <v/>
      </c>
      <c r="G65" s="20">
        <f>IF(OR('Cronograma Asistente Técnico'!$A65="",'Cronograma Asistente Técnico'!$G65=""),"",'Cronograma Asistente Técnico'!$G65)</f>
        <v/>
      </c>
      <c r="H65" s="20">
        <f>IF(OR('Cronograma Asistente Técnico'!$A65="",'Cronograma Asistente Técnico'!$H65=""),"",'Cronograma Asistente Técnico'!$H65)</f>
        <v/>
      </c>
      <c r="I65" s="20">
        <f>IF(OR('Cronograma Asistente Técnico'!$A65="",'Cronograma Asistente Técnico'!$I65=""),"",'Cronograma Asistente Técnico'!$I65)</f>
        <v/>
      </c>
      <c r="J65" s="20">
        <f>IF(OR('Cronograma Asistente Técnico'!$A65="",'Cronograma Asistente Técnico'!$J65=""),"",'Cronograma Asistente Técnico'!$J65)</f>
        <v/>
      </c>
      <c r="K65" s="20">
        <f>IF('Cronograma Asistente Técnico'!$A65="","",'Cronograma Asistente Técnico'!$K65)</f>
        <v/>
      </c>
      <c r="L65" s="22">
        <f>IF('Cronograma Asistente Técnico'!$A65="","",IF(N('Cronograma Asistente Técnico'!$K65)&gt;=1,"Completado",IF(AND(ISNUMBER('Cronograma Asistente Técnico'!$E65),'Cronograma Asistente Técnico'!$E65&lt;FechaRef),"Vencida",IF(N('Cronograma Asistente Técnico'!$K65)&gt;0,"En curso","Pendiente"))))</f>
        <v/>
      </c>
      <c r="M65" s="41">
        <f>IF('Cronograma Asistente Técnico'!$A65="","",'Cronograma Asistente Técnico'!$M65&amp;"")</f>
        <v/>
      </c>
    </row>
    <row r="66">
      <c r="A66" s="22">
        <f>IF('Cronograma Asistente Técnico'!$A66="","",'Cronograma Asistente Técnico'!$A66)</f>
        <v/>
      </c>
      <c r="B66" s="41">
        <f>IF('Cronograma Asistente Técnico'!$A66="","",'Cronograma Asistente Técnico'!$B66&amp;"")</f>
        <v/>
      </c>
      <c r="C66" s="41">
        <f>IF('Cronograma Asistente Técnico'!$A66="","",'Cronograma Asistente Técnico'!$C66&amp;"")</f>
        <v/>
      </c>
      <c r="D66" s="63">
        <f>IF(OR('Cronograma Asistente Técnico'!$A66="",'Cronograma Asistente Técnico'!$D66=""),"",'Cronograma Asistente Técnico'!$D66)</f>
        <v/>
      </c>
      <c r="E66" s="63">
        <f>IF(OR('Cronograma Asistente Técnico'!$A66="",'Cronograma Asistente Técnico'!$E66=""),"",'Cronograma Asistente Técnico'!$E66)</f>
        <v/>
      </c>
      <c r="F66" s="22">
        <f>IF(OR('Cronograma Asistente Técnico'!$A66="",NOT(ISNUMBER('Cronograma Asistente Técnico'!$E66))),"",IF('Cronograma Asistente Técnico'!$E66&lt;InicioCiclo,"Antes del ciclo",IF('Cronograma Asistente Técnico'!$E66&gt;=InicioCiclo+28,"Después del ciclo","Semana "&amp;(INT(('Cronograma Asistente Técnico'!$E66-InicioCiclo)/7)+1))))</f>
        <v/>
      </c>
      <c r="G66" s="20">
        <f>IF(OR('Cronograma Asistente Técnico'!$A66="",'Cronograma Asistente Técnico'!$G66=""),"",'Cronograma Asistente Técnico'!$G66)</f>
        <v/>
      </c>
      <c r="H66" s="20">
        <f>IF(OR('Cronograma Asistente Técnico'!$A66="",'Cronograma Asistente Técnico'!$H66=""),"",'Cronograma Asistente Técnico'!$H66)</f>
        <v/>
      </c>
      <c r="I66" s="20">
        <f>IF(OR('Cronograma Asistente Técnico'!$A66="",'Cronograma Asistente Técnico'!$I66=""),"",'Cronograma Asistente Técnico'!$I66)</f>
        <v/>
      </c>
      <c r="J66" s="20">
        <f>IF(OR('Cronograma Asistente Técnico'!$A66="",'Cronograma Asistente Técnico'!$J66=""),"",'Cronograma Asistente Técnico'!$J66)</f>
        <v/>
      </c>
      <c r="K66" s="20">
        <f>IF('Cronograma Asistente Técnico'!$A66="","",'Cronograma Asistente Técnico'!$K66)</f>
        <v/>
      </c>
      <c r="L66" s="22">
        <f>IF('Cronograma Asistente Técnico'!$A66="","",IF(N('Cronograma Asistente Técnico'!$K66)&gt;=1,"Completado",IF(AND(ISNUMBER('Cronograma Asistente Técnico'!$E66),'Cronograma Asistente Técnico'!$E66&lt;FechaRef),"Vencida",IF(N('Cronograma Asistente Técnico'!$K66)&gt;0,"En curso","Pendiente"))))</f>
        <v/>
      </c>
      <c r="M66" s="41">
        <f>IF('Cronograma Asistente Técnico'!$A66="","",'Cronograma Asistente Técnico'!$M66&amp;"")</f>
        <v/>
      </c>
    </row>
    <row r="67">
      <c r="A67" s="22">
        <f>IF('Cronograma Asistente Técnico'!$A67="","",'Cronograma Asistente Técnico'!$A67)</f>
        <v/>
      </c>
      <c r="B67" s="41">
        <f>IF('Cronograma Asistente Técnico'!$A67="","",'Cronograma Asistente Técnico'!$B67&amp;"")</f>
        <v/>
      </c>
      <c r="C67" s="41">
        <f>IF('Cronograma Asistente Técnico'!$A67="","",'Cronograma Asistente Técnico'!$C67&amp;"")</f>
        <v/>
      </c>
      <c r="D67" s="63">
        <f>IF(OR('Cronograma Asistente Técnico'!$A67="",'Cronograma Asistente Técnico'!$D67=""),"",'Cronograma Asistente Técnico'!$D67)</f>
        <v/>
      </c>
      <c r="E67" s="63">
        <f>IF(OR('Cronograma Asistente Técnico'!$A67="",'Cronograma Asistente Técnico'!$E67=""),"",'Cronograma Asistente Técnico'!$E67)</f>
        <v/>
      </c>
      <c r="F67" s="22">
        <f>IF(OR('Cronograma Asistente Técnico'!$A67="",NOT(ISNUMBER('Cronograma Asistente Técnico'!$E67))),"",IF('Cronograma Asistente Técnico'!$E67&lt;InicioCiclo,"Antes del ciclo",IF('Cronograma Asistente Técnico'!$E67&gt;=InicioCiclo+28,"Después del ciclo","Semana "&amp;(INT(('Cronograma Asistente Técnico'!$E67-InicioCiclo)/7)+1))))</f>
        <v/>
      </c>
      <c r="G67" s="20">
        <f>IF(OR('Cronograma Asistente Técnico'!$A67="",'Cronograma Asistente Técnico'!$G67=""),"",'Cronograma Asistente Técnico'!$G67)</f>
        <v/>
      </c>
      <c r="H67" s="20">
        <f>IF(OR('Cronograma Asistente Técnico'!$A67="",'Cronograma Asistente Técnico'!$H67=""),"",'Cronograma Asistente Técnico'!$H67)</f>
        <v/>
      </c>
      <c r="I67" s="20">
        <f>IF(OR('Cronograma Asistente Técnico'!$A67="",'Cronograma Asistente Técnico'!$I67=""),"",'Cronograma Asistente Técnico'!$I67)</f>
        <v/>
      </c>
      <c r="J67" s="20">
        <f>IF(OR('Cronograma Asistente Técnico'!$A67="",'Cronograma Asistente Técnico'!$J67=""),"",'Cronograma Asistente Técnico'!$J67)</f>
        <v/>
      </c>
      <c r="K67" s="20">
        <f>IF('Cronograma Asistente Técnico'!$A67="","",'Cronograma Asistente Técnico'!$K67)</f>
        <v/>
      </c>
      <c r="L67" s="22">
        <f>IF('Cronograma Asistente Técnico'!$A67="","",IF(N('Cronograma Asistente Técnico'!$K67)&gt;=1,"Completado",IF(AND(ISNUMBER('Cronograma Asistente Técnico'!$E67),'Cronograma Asistente Técnico'!$E67&lt;FechaRef),"Vencida",IF(N('Cronograma Asistente Técnico'!$K67)&gt;0,"En curso","Pendiente"))))</f>
        <v/>
      </c>
      <c r="M67" s="41">
        <f>IF('Cronograma Asistente Técnico'!$A67="","",'Cronograma Asistente Técnico'!$M67&amp;"")</f>
        <v/>
      </c>
    </row>
    <row r="68">
      <c r="A68" s="22">
        <f>IF('Cronograma Asistente Técnico'!$A68="","",'Cronograma Asistente Técnico'!$A68)</f>
        <v/>
      </c>
      <c r="B68" s="41">
        <f>IF('Cronograma Asistente Técnico'!$A68="","",'Cronograma Asistente Técnico'!$B68&amp;"")</f>
        <v/>
      </c>
      <c r="C68" s="41">
        <f>IF('Cronograma Asistente Técnico'!$A68="","",'Cronograma Asistente Técnico'!$C68&amp;"")</f>
        <v/>
      </c>
      <c r="D68" s="63">
        <f>IF(OR('Cronograma Asistente Técnico'!$A68="",'Cronograma Asistente Técnico'!$D68=""),"",'Cronograma Asistente Técnico'!$D68)</f>
        <v/>
      </c>
      <c r="E68" s="63">
        <f>IF(OR('Cronograma Asistente Técnico'!$A68="",'Cronograma Asistente Técnico'!$E68=""),"",'Cronograma Asistente Técnico'!$E68)</f>
        <v/>
      </c>
      <c r="F68" s="22">
        <f>IF(OR('Cronograma Asistente Técnico'!$A68="",NOT(ISNUMBER('Cronograma Asistente Técnico'!$E68))),"",IF('Cronograma Asistente Técnico'!$E68&lt;InicioCiclo,"Antes del ciclo",IF('Cronograma Asistente Técnico'!$E68&gt;=InicioCiclo+28,"Después del ciclo","Semana "&amp;(INT(('Cronograma Asistente Técnico'!$E68-InicioCiclo)/7)+1))))</f>
        <v/>
      </c>
      <c r="G68" s="20">
        <f>IF(OR('Cronograma Asistente Técnico'!$A68="",'Cronograma Asistente Técnico'!$G68=""),"",'Cronograma Asistente Técnico'!$G68)</f>
        <v/>
      </c>
      <c r="H68" s="20">
        <f>IF(OR('Cronograma Asistente Técnico'!$A68="",'Cronograma Asistente Técnico'!$H68=""),"",'Cronograma Asistente Técnico'!$H68)</f>
        <v/>
      </c>
      <c r="I68" s="20">
        <f>IF(OR('Cronograma Asistente Técnico'!$A68="",'Cronograma Asistente Técnico'!$I68=""),"",'Cronograma Asistente Técnico'!$I68)</f>
        <v/>
      </c>
      <c r="J68" s="20">
        <f>IF(OR('Cronograma Asistente Técnico'!$A68="",'Cronograma Asistente Técnico'!$J68=""),"",'Cronograma Asistente Técnico'!$J68)</f>
        <v/>
      </c>
      <c r="K68" s="20">
        <f>IF('Cronograma Asistente Técnico'!$A68="","",'Cronograma Asistente Técnico'!$K68)</f>
        <v/>
      </c>
      <c r="L68" s="22">
        <f>IF('Cronograma Asistente Técnico'!$A68="","",IF(N('Cronograma Asistente Técnico'!$K68)&gt;=1,"Completado",IF(AND(ISNUMBER('Cronograma Asistente Técnico'!$E68),'Cronograma Asistente Técnico'!$E68&lt;FechaRef),"Vencida",IF(N('Cronograma Asistente Técnico'!$K68)&gt;0,"En curso","Pendiente"))))</f>
        <v/>
      </c>
      <c r="M68" s="41">
        <f>IF('Cronograma Asistente Técnico'!$A68="","",'Cronograma Asistente Técnico'!$M68&amp;"")</f>
        <v/>
      </c>
    </row>
    <row r="69">
      <c r="A69" s="22">
        <f>IF('Cronograma Asistente Técnico'!$A69="","",'Cronograma Asistente Técnico'!$A69)</f>
        <v/>
      </c>
      <c r="B69" s="41">
        <f>IF('Cronograma Asistente Técnico'!$A69="","",'Cronograma Asistente Técnico'!$B69&amp;"")</f>
        <v/>
      </c>
      <c r="C69" s="41">
        <f>IF('Cronograma Asistente Técnico'!$A69="","",'Cronograma Asistente Técnico'!$C69&amp;"")</f>
        <v/>
      </c>
      <c r="D69" s="63">
        <f>IF(OR('Cronograma Asistente Técnico'!$A69="",'Cronograma Asistente Técnico'!$D69=""),"",'Cronograma Asistente Técnico'!$D69)</f>
        <v/>
      </c>
      <c r="E69" s="63">
        <f>IF(OR('Cronograma Asistente Técnico'!$A69="",'Cronograma Asistente Técnico'!$E69=""),"",'Cronograma Asistente Técnico'!$E69)</f>
        <v/>
      </c>
      <c r="F69" s="22">
        <f>IF(OR('Cronograma Asistente Técnico'!$A69="",NOT(ISNUMBER('Cronograma Asistente Técnico'!$E69))),"",IF('Cronograma Asistente Técnico'!$E69&lt;InicioCiclo,"Antes del ciclo",IF('Cronograma Asistente Técnico'!$E69&gt;=InicioCiclo+28,"Después del ciclo","Semana "&amp;(INT(('Cronograma Asistente Técnico'!$E69-InicioCiclo)/7)+1))))</f>
        <v/>
      </c>
      <c r="G69" s="20">
        <f>IF(OR('Cronograma Asistente Técnico'!$A69="",'Cronograma Asistente Técnico'!$G69=""),"",'Cronograma Asistente Técnico'!$G69)</f>
        <v/>
      </c>
      <c r="H69" s="20">
        <f>IF(OR('Cronograma Asistente Técnico'!$A69="",'Cronograma Asistente Técnico'!$H69=""),"",'Cronograma Asistente Técnico'!$H69)</f>
        <v/>
      </c>
      <c r="I69" s="20">
        <f>IF(OR('Cronograma Asistente Técnico'!$A69="",'Cronograma Asistente Técnico'!$I69=""),"",'Cronograma Asistente Técnico'!$I69)</f>
        <v/>
      </c>
      <c r="J69" s="20">
        <f>IF(OR('Cronograma Asistente Técnico'!$A69="",'Cronograma Asistente Técnico'!$J69=""),"",'Cronograma Asistente Técnico'!$J69)</f>
        <v/>
      </c>
      <c r="K69" s="20">
        <f>IF('Cronograma Asistente Técnico'!$A69="","",'Cronograma Asistente Técnico'!$K69)</f>
        <v/>
      </c>
      <c r="L69" s="22">
        <f>IF('Cronograma Asistente Técnico'!$A69="","",IF(N('Cronograma Asistente Técnico'!$K69)&gt;=1,"Completado",IF(AND(ISNUMBER('Cronograma Asistente Técnico'!$E69),'Cronograma Asistente Técnico'!$E69&lt;FechaRef),"Vencida",IF(N('Cronograma Asistente Técnico'!$K69)&gt;0,"En curso","Pendiente"))))</f>
        <v/>
      </c>
      <c r="M69" s="41">
        <f>IF('Cronograma Asistente Técnico'!$A69="","",'Cronograma Asistente Técnico'!$M69&amp;"")</f>
        <v/>
      </c>
    </row>
    <row r="70">
      <c r="A70" s="22">
        <f>IF('Cronograma Asistente Técnico'!$A70="","",'Cronograma Asistente Técnico'!$A70)</f>
        <v/>
      </c>
      <c r="B70" s="41">
        <f>IF('Cronograma Asistente Técnico'!$A70="","",'Cronograma Asistente Técnico'!$B70&amp;"")</f>
        <v/>
      </c>
      <c r="C70" s="41">
        <f>IF('Cronograma Asistente Técnico'!$A70="","",'Cronograma Asistente Técnico'!$C70&amp;"")</f>
        <v/>
      </c>
      <c r="D70" s="63">
        <f>IF(OR('Cronograma Asistente Técnico'!$A70="",'Cronograma Asistente Técnico'!$D70=""),"",'Cronograma Asistente Técnico'!$D70)</f>
        <v/>
      </c>
      <c r="E70" s="63">
        <f>IF(OR('Cronograma Asistente Técnico'!$A70="",'Cronograma Asistente Técnico'!$E70=""),"",'Cronograma Asistente Técnico'!$E70)</f>
        <v/>
      </c>
      <c r="F70" s="22">
        <f>IF(OR('Cronograma Asistente Técnico'!$A70="",NOT(ISNUMBER('Cronograma Asistente Técnico'!$E70))),"",IF('Cronograma Asistente Técnico'!$E70&lt;InicioCiclo,"Antes del ciclo",IF('Cronograma Asistente Técnico'!$E70&gt;=InicioCiclo+28,"Después del ciclo","Semana "&amp;(INT(('Cronograma Asistente Técnico'!$E70-InicioCiclo)/7)+1))))</f>
        <v/>
      </c>
      <c r="G70" s="20">
        <f>IF(OR('Cronograma Asistente Técnico'!$A70="",'Cronograma Asistente Técnico'!$G70=""),"",'Cronograma Asistente Técnico'!$G70)</f>
        <v/>
      </c>
      <c r="H70" s="20">
        <f>IF(OR('Cronograma Asistente Técnico'!$A70="",'Cronograma Asistente Técnico'!$H70=""),"",'Cronograma Asistente Técnico'!$H70)</f>
        <v/>
      </c>
      <c r="I70" s="20">
        <f>IF(OR('Cronograma Asistente Técnico'!$A70="",'Cronograma Asistente Técnico'!$I70=""),"",'Cronograma Asistente Técnico'!$I70)</f>
        <v/>
      </c>
      <c r="J70" s="20">
        <f>IF(OR('Cronograma Asistente Técnico'!$A70="",'Cronograma Asistente Técnico'!$J70=""),"",'Cronograma Asistente Técnico'!$J70)</f>
        <v/>
      </c>
      <c r="K70" s="20">
        <f>IF('Cronograma Asistente Técnico'!$A70="","",'Cronograma Asistente Técnico'!$K70)</f>
        <v/>
      </c>
      <c r="L70" s="22">
        <f>IF('Cronograma Asistente Técnico'!$A70="","",IF(N('Cronograma Asistente Técnico'!$K70)&gt;=1,"Completado",IF(AND(ISNUMBER('Cronograma Asistente Técnico'!$E70),'Cronograma Asistente Técnico'!$E70&lt;FechaRef),"Vencida",IF(N('Cronograma Asistente Técnico'!$K70)&gt;0,"En curso","Pendiente"))))</f>
        <v/>
      </c>
      <c r="M70" s="41">
        <f>IF('Cronograma Asistente Técnico'!$A70="","",'Cronograma Asistente Técnico'!$M70&amp;"")</f>
        <v/>
      </c>
    </row>
    <row r="71">
      <c r="A71" s="22">
        <f>IF('Cronograma Asistente Técnico'!$A71="","",'Cronograma Asistente Técnico'!$A71)</f>
        <v/>
      </c>
      <c r="B71" s="41">
        <f>IF('Cronograma Asistente Técnico'!$A71="","",'Cronograma Asistente Técnico'!$B71&amp;"")</f>
        <v/>
      </c>
      <c r="C71" s="41">
        <f>IF('Cronograma Asistente Técnico'!$A71="","",'Cronograma Asistente Técnico'!$C71&amp;"")</f>
        <v/>
      </c>
      <c r="D71" s="63">
        <f>IF(OR('Cronograma Asistente Técnico'!$A71="",'Cronograma Asistente Técnico'!$D71=""),"",'Cronograma Asistente Técnico'!$D71)</f>
        <v/>
      </c>
      <c r="E71" s="63">
        <f>IF(OR('Cronograma Asistente Técnico'!$A71="",'Cronograma Asistente Técnico'!$E71=""),"",'Cronograma Asistente Técnico'!$E71)</f>
        <v/>
      </c>
      <c r="F71" s="22">
        <f>IF(OR('Cronograma Asistente Técnico'!$A71="",NOT(ISNUMBER('Cronograma Asistente Técnico'!$E71))),"",IF('Cronograma Asistente Técnico'!$E71&lt;InicioCiclo,"Antes del ciclo",IF('Cronograma Asistente Técnico'!$E71&gt;=InicioCiclo+28,"Después del ciclo","Semana "&amp;(INT(('Cronograma Asistente Técnico'!$E71-InicioCiclo)/7)+1))))</f>
        <v/>
      </c>
      <c r="G71" s="20">
        <f>IF(OR('Cronograma Asistente Técnico'!$A71="",'Cronograma Asistente Técnico'!$G71=""),"",'Cronograma Asistente Técnico'!$G71)</f>
        <v/>
      </c>
      <c r="H71" s="20">
        <f>IF(OR('Cronograma Asistente Técnico'!$A71="",'Cronograma Asistente Técnico'!$H71=""),"",'Cronograma Asistente Técnico'!$H71)</f>
        <v/>
      </c>
      <c r="I71" s="20">
        <f>IF(OR('Cronograma Asistente Técnico'!$A71="",'Cronograma Asistente Técnico'!$I71=""),"",'Cronograma Asistente Técnico'!$I71)</f>
        <v/>
      </c>
      <c r="J71" s="20">
        <f>IF(OR('Cronograma Asistente Técnico'!$A71="",'Cronograma Asistente Técnico'!$J71=""),"",'Cronograma Asistente Técnico'!$J71)</f>
        <v/>
      </c>
      <c r="K71" s="20">
        <f>IF('Cronograma Asistente Técnico'!$A71="","",'Cronograma Asistente Técnico'!$K71)</f>
        <v/>
      </c>
      <c r="L71" s="22">
        <f>IF('Cronograma Asistente Técnico'!$A71="","",IF(N('Cronograma Asistente Técnico'!$K71)&gt;=1,"Completado",IF(AND(ISNUMBER('Cronograma Asistente Técnico'!$E71),'Cronograma Asistente Técnico'!$E71&lt;FechaRef),"Vencida",IF(N('Cronograma Asistente Técnico'!$K71)&gt;0,"En curso","Pendiente"))))</f>
        <v/>
      </c>
      <c r="M71" s="41">
        <f>IF('Cronograma Asistente Técnico'!$A71="","",'Cronograma Asistente Técnico'!$M71&amp;"")</f>
        <v/>
      </c>
    </row>
    <row r="72">
      <c r="A72" s="22">
        <f>IF('Cronograma Asistente Técnico'!$A72="","",'Cronograma Asistente Técnico'!$A72)</f>
        <v/>
      </c>
      <c r="B72" s="41">
        <f>IF('Cronograma Asistente Técnico'!$A72="","",'Cronograma Asistente Técnico'!$B72&amp;"")</f>
        <v/>
      </c>
      <c r="C72" s="41">
        <f>IF('Cronograma Asistente Técnico'!$A72="","",'Cronograma Asistente Técnico'!$C72&amp;"")</f>
        <v/>
      </c>
      <c r="D72" s="63">
        <f>IF(OR('Cronograma Asistente Técnico'!$A72="",'Cronograma Asistente Técnico'!$D72=""),"",'Cronograma Asistente Técnico'!$D72)</f>
        <v/>
      </c>
      <c r="E72" s="63">
        <f>IF(OR('Cronograma Asistente Técnico'!$A72="",'Cronograma Asistente Técnico'!$E72=""),"",'Cronograma Asistente Técnico'!$E72)</f>
        <v/>
      </c>
      <c r="F72" s="22">
        <f>IF(OR('Cronograma Asistente Técnico'!$A72="",NOT(ISNUMBER('Cronograma Asistente Técnico'!$E72))),"",IF('Cronograma Asistente Técnico'!$E72&lt;InicioCiclo,"Antes del ciclo",IF('Cronograma Asistente Técnico'!$E72&gt;=InicioCiclo+28,"Después del ciclo","Semana "&amp;(INT(('Cronograma Asistente Técnico'!$E72-InicioCiclo)/7)+1))))</f>
        <v/>
      </c>
      <c r="G72" s="20">
        <f>IF(OR('Cronograma Asistente Técnico'!$A72="",'Cronograma Asistente Técnico'!$G72=""),"",'Cronograma Asistente Técnico'!$G72)</f>
        <v/>
      </c>
      <c r="H72" s="20">
        <f>IF(OR('Cronograma Asistente Técnico'!$A72="",'Cronograma Asistente Técnico'!$H72=""),"",'Cronograma Asistente Técnico'!$H72)</f>
        <v/>
      </c>
      <c r="I72" s="20">
        <f>IF(OR('Cronograma Asistente Técnico'!$A72="",'Cronograma Asistente Técnico'!$I72=""),"",'Cronograma Asistente Técnico'!$I72)</f>
        <v/>
      </c>
      <c r="J72" s="20">
        <f>IF(OR('Cronograma Asistente Técnico'!$A72="",'Cronograma Asistente Técnico'!$J72=""),"",'Cronograma Asistente Técnico'!$J72)</f>
        <v/>
      </c>
      <c r="K72" s="20">
        <f>IF('Cronograma Asistente Técnico'!$A72="","",'Cronograma Asistente Técnico'!$K72)</f>
        <v/>
      </c>
      <c r="L72" s="22">
        <f>IF('Cronograma Asistente Técnico'!$A72="","",IF(N('Cronograma Asistente Técnico'!$K72)&gt;=1,"Completado",IF(AND(ISNUMBER('Cronograma Asistente Técnico'!$E72),'Cronograma Asistente Técnico'!$E72&lt;FechaRef),"Vencida",IF(N('Cronograma Asistente Técnico'!$K72)&gt;0,"En curso","Pendiente"))))</f>
        <v/>
      </c>
      <c r="M72" s="41">
        <f>IF('Cronograma Asistente Técnico'!$A72="","",'Cronograma Asistente Técnico'!$M72&amp;"")</f>
        <v/>
      </c>
    </row>
    <row r="73">
      <c r="A73" s="22">
        <f>IF('Cronograma Asistente Técnico'!$A73="","",'Cronograma Asistente Técnico'!$A73)</f>
        <v/>
      </c>
      <c r="B73" s="41">
        <f>IF('Cronograma Asistente Técnico'!$A73="","",'Cronograma Asistente Técnico'!$B73&amp;"")</f>
        <v/>
      </c>
      <c r="C73" s="41">
        <f>IF('Cronograma Asistente Técnico'!$A73="","",'Cronograma Asistente Técnico'!$C73&amp;"")</f>
        <v/>
      </c>
      <c r="D73" s="63">
        <f>IF(OR('Cronograma Asistente Técnico'!$A73="",'Cronograma Asistente Técnico'!$D73=""),"",'Cronograma Asistente Técnico'!$D73)</f>
        <v/>
      </c>
      <c r="E73" s="63">
        <f>IF(OR('Cronograma Asistente Técnico'!$A73="",'Cronograma Asistente Técnico'!$E73=""),"",'Cronograma Asistente Técnico'!$E73)</f>
        <v/>
      </c>
      <c r="F73" s="22">
        <f>IF(OR('Cronograma Asistente Técnico'!$A73="",NOT(ISNUMBER('Cronograma Asistente Técnico'!$E73))),"",IF('Cronograma Asistente Técnico'!$E73&lt;InicioCiclo,"Antes del ciclo",IF('Cronograma Asistente Técnico'!$E73&gt;=InicioCiclo+28,"Después del ciclo","Semana "&amp;(INT(('Cronograma Asistente Técnico'!$E73-InicioCiclo)/7)+1))))</f>
        <v/>
      </c>
      <c r="G73" s="20">
        <f>IF(OR('Cronograma Asistente Técnico'!$A73="",'Cronograma Asistente Técnico'!$G73=""),"",'Cronograma Asistente Técnico'!$G73)</f>
        <v/>
      </c>
      <c r="H73" s="20">
        <f>IF(OR('Cronograma Asistente Técnico'!$A73="",'Cronograma Asistente Técnico'!$H73=""),"",'Cronograma Asistente Técnico'!$H73)</f>
        <v/>
      </c>
      <c r="I73" s="20">
        <f>IF(OR('Cronograma Asistente Técnico'!$A73="",'Cronograma Asistente Técnico'!$I73=""),"",'Cronograma Asistente Técnico'!$I73)</f>
        <v/>
      </c>
      <c r="J73" s="20">
        <f>IF(OR('Cronograma Asistente Técnico'!$A73="",'Cronograma Asistente Técnico'!$J73=""),"",'Cronograma Asistente Técnico'!$J73)</f>
        <v/>
      </c>
      <c r="K73" s="20">
        <f>IF('Cronograma Asistente Técnico'!$A73="","",'Cronograma Asistente Técnico'!$K73)</f>
        <v/>
      </c>
      <c r="L73" s="22">
        <f>IF('Cronograma Asistente Técnico'!$A73="","",IF(N('Cronograma Asistente Técnico'!$K73)&gt;=1,"Completado",IF(AND(ISNUMBER('Cronograma Asistente Técnico'!$E73),'Cronograma Asistente Técnico'!$E73&lt;FechaRef),"Vencida",IF(N('Cronograma Asistente Técnico'!$K73)&gt;0,"En curso","Pendiente"))))</f>
        <v/>
      </c>
      <c r="M73" s="41">
        <f>IF('Cronograma Asistente Técnico'!$A73="","",'Cronograma Asistente Técnico'!$M73&amp;"")</f>
        <v/>
      </c>
    </row>
    <row r="74">
      <c r="A74" s="22">
        <f>IF('Cronograma Asistente Técnico'!$A74="","",'Cronograma Asistente Técnico'!$A74)</f>
        <v/>
      </c>
      <c r="B74" s="41">
        <f>IF('Cronograma Asistente Técnico'!$A74="","",'Cronograma Asistente Técnico'!$B74&amp;"")</f>
        <v/>
      </c>
      <c r="C74" s="41">
        <f>IF('Cronograma Asistente Técnico'!$A74="","",'Cronograma Asistente Técnico'!$C74&amp;"")</f>
        <v/>
      </c>
      <c r="D74" s="63">
        <f>IF(OR('Cronograma Asistente Técnico'!$A74="",'Cronograma Asistente Técnico'!$D74=""),"",'Cronograma Asistente Técnico'!$D74)</f>
        <v/>
      </c>
      <c r="E74" s="63">
        <f>IF(OR('Cronograma Asistente Técnico'!$A74="",'Cronograma Asistente Técnico'!$E74=""),"",'Cronograma Asistente Técnico'!$E74)</f>
        <v/>
      </c>
      <c r="F74" s="22">
        <f>IF(OR('Cronograma Asistente Técnico'!$A74="",NOT(ISNUMBER('Cronograma Asistente Técnico'!$E74))),"",IF('Cronograma Asistente Técnico'!$E74&lt;InicioCiclo,"Antes del ciclo",IF('Cronograma Asistente Técnico'!$E74&gt;=InicioCiclo+28,"Después del ciclo","Semana "&amp;(INT(('Cronograma Asistente Técnico'!$E74-InicioCiclo)/7)+1))))</f>
        <v/>
      </c>
      <c r="G74" s="20">
        <f>IF(OR('Cronograma Asistente Técnico'!$A74="",'Cronograma Asistente Técnico'!$G74=""),"",'Cronograma Asistente Técnico'!$G74)</f>
        <v/>
      </c>
      <c r="H74" s="20">
        <f>IF(OR('Cronograma Asistente Técnico'!$A74="",'Cronograma Asistente Técnico'!$H74=""),"",'Cronograma Asistente Técnico'!$H74)</f>
        <v/>
      </c>
      <c r="I74" s="20">
        <f>IF(OR('Cronograma Asistente Técnico'!$A74="",'Cronograma Asistente Técnico'!$I74=""),"",'Cronograma Asistente Técnico'!$I74)</f>
        <v/>
      </c>
      <c r="J74" s="20">
        <f>IF(OR('Cronograma Asistente Técnico'!$A74="",'Cronograma Asistente Técnico'!$J74=""),"",'Cronograma Asistente Técnico'!$J74)</f>
        <v/>
      </c>
      <c r="K74" s="20">
        <f>IF('Cronograma Asistente Técnico'!$A74="","",'Cronograma Asistente Técnico'!$K74)</f>
        <v/>
      </c>
      <c r="L74" s="22">
        <f>IF('Cronograma Asistente Técnico'!$A74="","",IF(N('Cronograma Asistente Técnico'!$K74)&gt;=1,"Completado",IF(AND(ISNUMBER('Cronograma Asistente Técnico'!$E74),'Cronograma Asistente Técnico'!$E74&lt;FechaRef),"Vencida",IF(N('Cronograma Asistente Técnico'!$K74)&gt;0,"En curso","Pendiente"))))</f>
        <v/>
      </c>
      <c r="M74" s="41">
        <f>IF('Cronograma Asistente Técnico'!$A74="","",'Cronograma Asistente Técnico'!$M74&amp;"")</f>
        <v/>
      </c>
    </row>
    <row r="75">
      <c r="A75" s="22">
        <f>IF('Cronograma Asistente Técnico'!$A75="","",'Cronograma Asistente Técnico'!$A75)</f>
        <v/>
      </c>
      <c r="B75" s="41">
        <f>IF('Cronograma Asistente Técnico'!$A75="","",'Cronograma Asistente Técnico'!$B75&amp;"")</f>
        <v/>
      </c>
      <c r="C75" s="41">
        <f>IF('Cronograma Asistente Técnico'!$A75="","",'Cronograma Asistente Técnico'!$C75&amp;"")</f>
        <v/>
      </c>
      <c r="D75" s="63">
        <f>IF(OR('Cronograma Asistente Técnico'!$A75="",'Cronograma Asistente Técnico'!$D75=""),"",'Cronograma Asistente Técnico'!$D75)</f>
        <v/>
      </c>
      <c r="E75" s="63">
        <f>IF(OR('Cronograma Asistente Técnico'!$A75="",'Cronograma Asistente Técnico'!$E75=""),"",'Cronograma Asistente Técnico'!$E75)</f>
        <v/>
      </c>
      <c r="F75" s="22">
        <f>IF(OR('Cronograma Asistente Técnico'!$A75="",NOT(ISNUMBER('Cronograma Asistente Técnico'!$E75))),"",IF('Cronograma Asistente Técnico'!$E75&lt;InicioCiclo,"Antes del ciclo",IF('Cronograma Asistente Técnico'!$E75&gt;=InicioCiclo+28,"Después del ciclo","Semana "&amp;(INT(('Cronograma Asistente Técnico'!$E75-InicioCiclo)/7)+1))))</f>
        <v/>
      </c>
      <c r="G75" s="20">
        <f>IF(OR('Cronograma Asistente Técnico'!$A75="",'Cronograma Asistente Técnico'!$G75=""),"",'Cronograma Asistente Técnico'!$G75)</f>
        <v/>
      </c>
      <c r="H75" s="20">
        <f>IF(OR('Cronograma Asistente Técnico'!$A75="",'Cronograma Asistente Técnico'!$H75=""),"",'Cronograma Asistente Técnico'!$H75)</f>
        <v/>
      </c>
      <c r="I75" s="20">
        <f>IF(OR('Cronograma Asistente Técnico'!$A75="",'Cronograma Asistente Técnico'!$I75=""),"",'Cronograma Asistente Técnico'!$I75)</f>
        <v/>
      </c>
      <c r="J75" s="20">
        <f>IF(OR('Cronograma Asistente Técnico'!$A75="",'Cronograma Asistente Técnico'!$J75=""),"",'Cronograma Asistente Técnico'!$J75)</f>
        <v/>
      </c>
      <c r="K75" s="20">
        <f>IF('Cronograma Asistente Técnico'!$A75="","",'Cronograma Asistente Técnico'!$K75)</f>
        <v/>
      </c>
      <c r="L75" s="22">
        <f>IF('Cronograma Asistente Técnico'!$A75="","",IF(N('Cronograma Asistente Técnico'!$K75)&gt;=1,"Completado",IF(AND(ISNUMBER('Cronograma Asistente Técnico'!$E75),'Cronograma Asistente Técnico'!$E75&lt;FechaRef),"Vencida",IF(N('Cronograma Asistente Técnico'!$K75)&gt;0,"En curso","Pendiente"))))</f>
        <v/>
      </c>
      <c r="M75" s="41">
        <f>IF('Cronograma Asistente Técnico'!$A75="","",'Cronograma Asistente Técnico'!$M75&amp;"")</f>
        <v/>
      </c>
    </row>
    <row r="76">
      <c r="A76" s="22">
        <f>IF('Cronograma Asistente Técnico'!$A76="","",'Cronograma Asistente Técnico'!$A76)</f>
        <v/>
      </c>
      <c r="B76" s="41">
        <f>IF('Cronograma Asistente Técnico'!$A76="","",'Cronograma Asistente Técnico'!$B76&amp;"")</f>
        <v/>
      </c>
      <c r="C76" s="41">
        <f>IF('Cronograma Asistente Técnico'!$A76="","",'Cronograma Asistente Técnico'!$C76&amp;"")</f>
        <v/>
      </c>
      <c r="D76" s="63">
        <f>IF(OR('Cronograma Asistente Técnico'!$A76="",'Cronograma Asistente Técnico'!$D76=""),"",'Cronograma Asistente Técnico'!$D76)</f>
        <v/>
      </c>
      <c r="E76" s="63">
        <f>IF(OR('Cronograma Asistente Técnico'!$A76="",'Cronograma Asistente Técnico'!$E76=""),"",'Cronograma Asistente Técnico'!$E76)</f>
        <v/>
      </c>
      <c r="F76" s="22">
        <f>IF(OR('Cronograma Asistente Técnico'!$A76="",NOT(ISNUMBER('Cronograma Asistente Técnico'!$E76))),"",IF('Cronograma Asistente Técnico'!$E76&lt;InicioCiclo,"Antes del ciclo",IF('Cronograma Asistente Técnico'!$E76&gt;=InicioCiclo+28,"Después del ciclo","Semana "&amp;(INT(('Cronograma Asistente Técnico'!$E76-InicioCiclo)/7)+1))))</f>
        <v/>
      </c>
      <c r="G76" s="20">
        <f>IF(OR('Cronograma Asistente Técnico'!$A76="",'Cronograma Asistente Técnico'!$G76=""),"",'Cronograma Asistente Técnico'!$G76)</f>
        <v/>
      </c>
      <c r="H76" s="20">
        <f>IF(OR('Cronograma Asistente Técnico'!$A76="",'Cronograma Asistente Técnico'!$H76=""),"",'Cronograma Asistente Técnico'!$H76)</f>
        <v/>
      </c>
      <c r="I76" s="20">
        <f>IF(OR('Cronograma Asistente Técnico'!$A76="",'Cronograma Asistente Técnico'!$I76=""),"",'Cronograma Asistente Técnico'!$I76)</f>
        <v/>
      </c>
      <c r="J76" s="20">
        <f>IF(OR('Cronograma Asistente Técnico'!$A76="",'Cronograma Asistente Técnico'!$J76=""),"",'Cronograma Asistente Técnico'!$J76)</f>
        <v/>
      </c>
      <c r="K76" s="20">
        <f>IF('Cronograma Asistente Técnico'!$A76="","",'Cronograma Asistente Técnico'!$K76)</f>
        <v/>
      </c>
      <c r="L76" s="22">
        <f>IF('Cronograma Asistente Técnico'!$A76="","",IF(N('Cronograma Asistente Técnico'!$K76)&gt;=1,"Completado",IF(AND(ISNUMBER('Cronograma Asistente Técnico'!$E76),'Cronograma Asistente Técnico'!$E76&lt;FechaRef),"Vencida",IF(N('Cronograma Asistente Técnico'!$K76)&gt;0,"En curso","Pendiente"))))</f>
        <v/>
      </c>
      <c r="M76" s="41">
        <f>IF('Cronograma Asistente Técnico'!$A76="","",'Cronograma Asistente Técnico'!$M76&amp;"")</f>
        <v/>
      </c>
    </row>
    <row r="77">
      <c r="A77" s="22">
        <f>IF('Cronograma Asistente Técnico'!$A77="","",'Cronograma Asistente Técnico'!$A77)</f>
        <v/>
      </c>
      <c r="B77" s="41">
        <f>IF('Cronograma Asistente Técnico'!$A77="","",'Cronograma Asistente Técnico'!$B77&amp;"")</f>
        <v/>
      </c>
      <c r="C77" s="41">
        <f>IF('Cronograma Asistente Técnico'!$A77="","",'Cronograma Asistente Técnico'!$C77&amp;"")</f>
        <v/>
      </c>
      <c r="D77" s="63">
        <f>IF(OR('Cronograma Asistente Técnico'!$A77="",'Cronograma Asistente Técnico'!$D77=""),"",'Cronograma Asistente Técnico'!$D77)</f>
        <v/>
      </c>
      <c r="E77" s="63">
        <f>IF(OR('Cronograma Asistente Técnico'!$A77="",'Cronograma Asistente Técnico'!$E77=""),"",'Cronograma Asistente Técnico'!$E77)</f>
        <v/>
      </c>
      <c r="F77" s="22">
        <f>IF(OR('Cronograma Asistente Técnico'!$A77="",NOT(ISNUMBER('Cronograma Asistente Técnico'!$E77))),"",IF('Cronograma Asistente Técnico'!$E77&lt;InicioCiclo,"Antes del ciclo",IF('Cronograma Asistente Técnico'!$E77&gt;=InicioCiclo+28,"Después del ciclo","Semana "&amp;(INT(('Cronograma Asistente Técnico'!$E77-InicioCiclo)/7)+1))))</f>
        <v/>
      </c>
      <c r="G77" s="20">
        <f>IF(OR('Cronograma Asistente Técnico'!$A77="",'Cronograma Asistente Técnico'!$G77=""),"",'Cronograma Asistente Técnico'!$G77)</f>
        <v/>
      </c>
      <c r="H77" s="20">
        <f>IF(OR('Cronograma Asistente Técnico'!$A77="",'Cronograma Asistente Técnico'!$H77=""),"",'Cronograma Asistente Técnico'!$H77)</f>
        <v/>
      </c>
      <c r="I77" s="20">
        <f>IF(OR('Cronograma Asistente Técnico'!$A77="",'Cronograma Asistente Técnico'!$I77=""),"",'Cronograma Asistente Técnico'!$I77)</f>
        <v/>
      </c>
      <c r="J77" s="20">
        <f>IF(OR('Cronograma Asistente Técnico'!$A77="",'Cronograma Asistente Técnico'!$J77=""),"",'Cronograma Asistente Técnico'!$J77)</f>
        <v/>
      </c>
      <c r="K77" s="20">
        <f>IF('Cronograma Asistente Técnico'!$A77="","",'Cronograma Asistente Técnico'!$K77)</f>
        <v/>
      </c>
      <c r="L77" s="22">
        <f>IF('Cronograma Asistente Técnico'!$A77="","",IF(N('Cronograma Asistente Técnico'!$K77)&gt;=1,"Completado",IF(AND(ISNUMBER('Cronograma Asistente Técnico'!$E77),'Cronograma Asistente Técnico'!$E77&lt;FechaRef),"Vencida",IF(N('Cronograma Asistente Técnico'!$K77)&gt;0,"En curso","Pendiente"))))</f>
        <v/>
      </c>
      <c r="M77" s="41">
        <f>IF('Cronograma Asistente Técnico'!$A77="","",'Cronograma Asistente Técnico'!$M77&amp;"")</f>
        <v/>
      </c>
    </row>
    <row r="78">
      <c r="A78" s="22">
        <f>IF('Cronograma Asistente Técnico'!$A78="","",'Cronograma Asistente Técnico'!$A78)</f>
        <v/>
      </c>
      <c r="B78" s="41">
        <f>IF('Cronograma Asistente Técnico'!$A78="","",'Cronograma Asistente Técnico'!$B78&amp;"")</f>
        <v/>
      </c>
      <c r="C78" s="41">
        <f>IF('Cronograma Asistente Técnico'!$A78="","",'Cronograma Asistente Técnico'!$C78&amp;"")</f>
        <v/>
      </c>
      <c r="D78" s="63">
        <f>IF(OR('Cronograma Asistente Técnico'!$A78="",'Cronograma Asistente Técnico'!$D78=""),"",'Cronograma Asistente Técnico'!$D78)</f>
        <v/>
      </c>
      <c r="E78" s="63">
        <f>IF(OR('Cronograma Asistente Técnico'!$A78="",'Cronograma Asistente Técnico'!$E78=""),"",'Cronograma Asistente Técnico'!$E78)</f>
        <v/>
      </c>
      <c r="F78" s="22">
        <f>IF(OR('Cronograma Asistente Técnico'!$A78="",NOT(ISNUMBER('Cronograma Asistente Técnico'!$E78))),"",IF('Cronograma Asistente Técnico'!$E78&lt;InicioCiclo,"Antes del ciclo",IF('Cronograma Asistente Técnico'!$E78&gt;=InicioCiclo+28,"Después del ciclo","Semana "&amp;(INT(('Cronograma Asistente Técnico'!$E78-InicioCiclo)/7)+1))))</f>
        <v/>
      </c>
      <c r="G78" s="20">
        <f>IF(OR('Cronograma Asistente Técnico'!$A78="",'Cronograma Asistente Técnico'!$G78=""),"",'Cronograma Asistente Técnico'!$G78)</f>
        <v/>
      </c>
      <c r="H78" s="20">
        <f>IF(OR('Cronograma Asistente Técnico'!$A78="",'Cronograma Asistente Técnico'!$H78=""),"",'Cronograma Asistente Técnico'!$H78)</f>
        <v/>
      </c>
      <c r="I78" s="20">
        <f>IF(OR('Cronograma Asistente Técnico'!$A78="",'Cronograma Asistente Técnico'!$I78=""),"",'Cronograma Asistente Técnico'!$I78)</f>
        <v/>
      </c>
      <c r="J78" s="20">
        <f>IF(OR('Cronograma Asistente Técnico'!$A78="",'Cronograma Asistente Técnico'!$J78=""),"",'Cronograma Asistente Técnico'!$J78)</f>
        <v/>
      </c>
      <c r="K78" s="20">
        <f>IF('Cronograma Asistente Técnico'!$A78="","",'Cronograma Asistente Técnico'!$K78)</f>
        <v/>
      </c>
      <c r="L78" s="22">
        <f>IF('Cronograma Asistente Técnico'!$A78="","",IF(N('Cronograma Asistente Técnico'!$K78)&gt;=1,"Completado",IF(AND(ISNUMBER('Cronograma Asistente Técnico'!$E78),'Cronograma Asistente Técnico'!$E78&lt;FechaRef),"Vencida",IF(N('Cronograma Asistente Técnico'!$K78)&gt;0,"En curso","Pendiente"))))</f>
        <v/>
      </c>
      <c r="M78" s="41">
        <f>IF('Cronograma Asistente Técnico'!$A78="","",'Cronograma Asistente Técnico'!$M78&amp;"")</f>
        <v/>
      </c>
    </row>
    <row r="79">
      <c r="A79" s="22">
        <f>IF('Cronograma Asistente Técnico'!$A79="","",'Cronograma Asistente Técnico'!$A79)</f>
        <v/>
      </c>
      <c r="B79" s="41">
        <f>IF('Cronograma Asistente Técnico'!$A79="","",'Cronograma Asistente Técnico'!$B79&amp;"")</f>
        <v/>
      </c>
      <c r="C79" s="41">
        <f>IF('Cronograma Asistente Técnico'!$A79="","",'Cronograma Asistente Técnico'!$C79&amp;"")</f>
        <v/>
      </c>
      <c r="D79" s="63">
        <f>IF(OR('Cronograma Asistente Técnico'!$A79="",'Cronograma Asistente Técnico'!$D79=""),"",'Cronograma Asistente Técnico'!$D79)</f>
        <v/>
      </c>
      <c r="E79" s="63">
        <f>IF(OR('Cronograma Asistente Técnico'!$A79="",'Cronograma Asistente Técnico'!$E79=""),"",'Cronograma Asistente Técnico'!$E79)</f>
        <v/>
      </c>
      <c r="F79" s="22">
        <f>IF(OR('Cronograma Asistente Técnico'!$A79="",NOT(ISNUMBER('Cronograma Asistente Técnico'!$E79))),"",IF('Cronograma Asistente Técnico'!$E79&lt;InicioCiclo,"Antes del ciclo",IF('Cronograma Asistente Técnico'!$E79&gt;=InicioCiclo+28,"Después del ciclo","Semana "&amp;(INT(('Cronograma Asistente Técnico'!$E79-InicioCiclo)/7)+1))))</f>
        <v/>
      </c>
      <c r="G79" s="20">
        <f>IF(OR('Cronograma Asistente Técnico'!$A79="",'Cronograma Asistente Técnico'!$G79=""),"",'Cronograma Asistente Técnico'!$G79)</f>
        <v/>
      </c>
      <c r="H79" s="20">
        <f>IF(OR('Cronograma Asistente Técnico'!$A79="",'Cronograma Asistente Técnico'!$H79=""),"",'Cronograma Asistente Técnico'!$H79)</f>
        <v/>
      </c>
      <c r="I79" s="20">
        <f>IF(OR('Cronograma Asistente Técnico'!$A79="",'Cronograma Asistente Técnico'!$I79=""),"",'Cronograma Asistente Técnico'!$I79)</f>
        <v/>
      </c>
      <c r="J79" s="20">
        <f>IF(OR('Cronograma Asistente Técnico'!$A79="",'Cronograma Asistente Técnico'!$J79=""),"",'Cronograma Asistente Técnico'!$J79)</f>
        <v/>
      </c>
      <c r="K79" s="20">
        <f>IF('Cronograma Asistente Técnico'!$A79="","",'Cronograma Asistente Técnico'!$K79)</f>
        <v/>
      </c>
      <c r="L79" s="22">
        <f>IF('Cronograma Asistente Técnico'!$A79="","",IF(N('Cronograma Asistente Técnico'!$K79)&gt;=1,"Completado",IF(AND(ISNUMBER('Cronograma Asistente Técnico'!$E79),'Cronograma Asistente Técnico'!$E79&lt;FechaRef),"Vencida",IF(N('Cronograma Asistente Técnico'!$K79)&gt;0,"En curso","Pendiente"))))</f>
        <v/>
      </c>
      <c r="M79" s="41">
        <f>IF('Cronograma Asistente Técnico'!$A79="","",'Cronograma Asistente Técnico'!$M79&amp;"")</f>
        <v/>
      </c>
    </row>
    <row r="80">
      <c r="A80" s="22">
        <f>IF('Cronograma Asistente Técnico'!$A80="","",'Cronograma Asistente Técnico'!$A80)</f>
        <v/>
      </c>
      <c r="B80" s="41">
        <f>IF('Cronograma Asistente Técnico'!$A80="","",'Cronograma Asistente Técnico'!$B80&amp;"")</f>
        <v/>
      </c>
      <c r="C80" s="41">
        <f>IF('Cronograma Asistente Técnico'!$A80="","",'Cronograma Asistente Técnico'!$C80&amp;"")</f>
        <v/>
      </c>
      <c r="D80" s="63">
        <f>IF(OR('Cronograma Asistente Técnico'!$A80="",'Cronograma Asistente Técnico'!$D80=""),"",'Cronograma Asistente Técnico'!$D80)</f>
        <v/>
      </c>
      <c r="E80" s="63">
        <f>IF(OR('Cronograma Asistente Técnico'!$A80="",'Cronograma Asistente Técnico'!$E80=""),"",'Cronograma Asistente Técnico'!$E80)</f>
        <v/>
      </c>
      <c r="F80" s="22">
        <f>IF(OR('Cronograma Asistente Técnico'!$A80="",NOT(ISNUMBER('Cronograma Asistente Técnico'!$E80))),"",IF('Cronograma Asistente Técnico'!$E80&lt;InicioCiclo,"Antes del ciclo",IF('Cronograma Asistente Técnico'!$E80&gt;=InicioCiclo+28,"Después del ciclo","Semana "&amp;(INT(('Cronograma Asistente Técnico'!$E80-InicioCiclo)/7)+1))))</f>
        <v/>
      </c>
      <c r="G80" s="20">
        <f>IF(OR('Cronograma Asistente Técnico'!$A80="",'Cronograma Asistente Técnico'!$G80=""),"",'Cronograma Asistente Técnico'!$G80)</f>
        <v/>
      </c>
      <c r="H80" s="20">
        <f>IF(OR('Cronograma Asistente Técnico'!$A80="",'Cronograma Asistente Técnico'!$H80=""),"",'Cronograma Asistente Técnico'!$H80)</f>
        <v/>
      </c>
      <c r="I80" s="20">
        <f>IF(OR('Cronograma Asistente Técnico'!$A80="",'Cronograma Asistente Técnico'!$I80=""),"",'Cronograma Asistente Técnico'!$I80)</f>
        <v/>
      </c>
      <c r="J80" s="20">
        <f>IF(OR('Cronograma Asistente Técnico'!$A80="",'Cronograma Asistente Técnico'!$J80=""),"",'Cronograma Asistente Técnico'!$J80)</f>
        <v/>
      </c>
      <c r="K80" s="20">
        <f>IF('Cronograma Asistente Técnico'!$A80="","",'Cronograma Asistente Técnico'!$K80)</f>
        <v/>
      </c>
      <c r="L80" s="22">
        <f>IF('Cronograma Asistente Técnico'!$A80="","",IF(N('Cronograma Asistente Técnico'!$K80)&gt;=1,"Completado",IF(AND(ISNUMBER('Cronograma Asistente Técnico'!$E80),'Cronograma Asistente Técnico'!$E80&lt;FechaRef),"Vencida",IF(N('Cronograma Asistente Técnico'!$K80)&gt;0,"En curso","Pendiente"))))</f>
        <v/>
      </c>
      <c r="M80" s="41">
        <f>IF('Cronograma Asistente Técnico'!$A80="","",'Cronograma Asistente Técnico'!$M80&amp;"")</f>
        <v/>
      </c>
    </row>
    <row r="81">
      <c r="A81" s="22">
        <f>IF('Cronograma Asistente Técnico'!$A81="","",'Cronograma Asistente Técnico'!$A81)</f>
        <v/>
      </c>
      <c r="B81" s="41">
        <f>IF('Cronograma Asistente Técnico'!$A81="","",'Cronograma Asistente Técnico'!$B81&amp;"")</f>
        <v/>
      </c>
      <c r="C81" s="41">
        <f>IF('Cronograma Asistente Técnico'!$A81="","",'Cronograma Asistente Técnico'!$C81&amp;"")</f>
        <v/>
      </c>
      <c r="D81" s="63">
        <f>IF(OR('Cronograma Asistente Técnico'!$A81="",'Cronograma Asistente Técnico'!$D81=""),"",'Cronograma Asistente Técnico'!$D81)</f>
        <v/>
      </c>
      <c r="E81" s="63">
        <f>IF(OR('Cronograma Asistente Técnico'!$A81="",'Cronograma Asistente Técnico'!$E81=""),"",'Cronograma Asistente Técnico'!$E81)</f>
        <v/>
      </c>
      <c r="F81" s="22">
        <f>IF(OR('Cronograma Asistente Técnico'!$A81="",NOT(ISNUMBER('Cronograma Asistente Técnico'!$E81))),"",IF('Cronograma Asistente Técnico'!$E81&lt;InicioCiclo,"Antes del ciclo",IF('Cronograma Asistente Técnico'!$E81&gt;=InicioCiclo+28,"Después del ciclo","Semana "&amp;(INT(('Cronograma Asistente Técnico'!$E81-InicioCiclo)/7)+1))))</f>
        <v/>
      </c>
      <c r="G81" s="20">
        <f>IF(OR('Cronograma Asistente Técnico'!$A81="",'Cronograma Asistente Técnico'!$G81=""),"",'Cronograma Asistente Técnico'!$G81)</f>
        <v/>
      </c>
      <c r="H81" s="20">
        <f>IF(OR('Cronograma Asistente Técnico'!$A81="",'Cronograma Asistente Técnico'!$H81=""),"",'Cronograma Asistente Técnico'!$H81)</f>
        <v/>
      </c>
      <c r="I81" s="20">
        <f>IF(OR('Cronograma Asistente Técnico'!$A81="",'Cronograma Asistente Técnico'!$I81=""),"",'Cronograma Asistente Técnico'!$I81)</f>
        <v/>
      </c>
      <c r="J81" s="20">
        <f>IF(OR('Cronograma Asistente Técnico'!$A81="",'Cronograma Asistente Técnico'!$J81=""),"",'Cronograma Asistente Técnico'!$J81)</f>
        <v/>
      </c>
      <c r="K81" s="20">
        <f>IF('Cronograma Asistente Técnico'!$A81="","",'Cronograma Asistente Técnico'!$K81)</f>
        <v/>
      </c>
      <c r="L81" s="22">
        <f>IF('Cronograma Asistente Técnico'!$A81="","",IF(N('Cronograma Asistente Técnico'!$K81)&gt;=1,"Completado",IF(AND(ISNUMBER('Cronograma Asistente Técnico'!$E81),'Cronograma Asistente Técnico'!$E81&lt;FechaRef),"Vencida",IF(N('Cronograma Asistente Técnico'!$K81)&gt;0,"En curso","Pendiente"))))</f>
        <v/>
      </c>
      <c r="M81" s="41">
        <f>IF('Cronograma Asistente Técnico'!$A81="","",'Cronograma Asistente Técnico'!$M81&amp;"")</f>
        <v/>
      </c>
    </row>
    <row r="82">
      <c r="A82" s="22">
        <f>IF('Cronograma Asistente Técnico'!$A82="","",'Cronograma Asistente Técnico'!$A82)</f>
        <v/>
      </c>
      <c r="B82" s="41">
        <f>IF('Cronograma Asistente Técnico'!$A82="","",'Cronograma Asistente Técnico'!$B82&amp;"")</f>
        <v/>
      </c>
      <c r="C82" s="41">
        <f>IF('Cronograma Asistente Técnico'!$A82="","",'Cronograma Asistente Técnico'!$C82&amp;"")</f>
        <v/>
      </c>
      <c r="D82" s="63">
        <f>IF(OR('Cronograma Asistente Técnico'!$A82="",'Cronograma Asistente Técnico'!$D82=""),"",'Cronograma Asistente Técnico'!$D82)</f>
        <v/>
      </c>
      <c r="E82" s="63">
        <f>IF(OR('Cronograma Asistente Técnico'!$A82="",'Cronograma Asistente Técnico'!$E82=""),"",'Cronograma Asistente Técnico'!$E82)</f>
        <v/>
      </c>
      <c r="F82" s="22">
        <f>IF(OR('Cronograma Asistente Técnico'!$A82="",NOT(ISNUMBER('Cronograma Asistente Técnico'!$E82))),"",IF('Cronograma Asistente Técnico'!$E82&lt;InicioCiclo,"Antes del ciclo",IF('Cronograma Asistente Técnico'!$E82&gt;=InicioCiclo+28,"Después del ciclo","Semana "&amp;(INT(('Cronograma Asistente Técnico'!$E82-InicioCiclo)/7)+1))))</f>
        <v/>
      </c>
      <c r="G82" s="20">
        <f>IF(OR('Cronograma Asistente Técnico'!$A82="",'Cronograma Asistente Técnico'!$G82=""),"",'Cronograma Asistente Técnico'!$G82)</f>
        <v/>
      </c>
      <c r="H82" s="20">
        <f>IF(OR('Cronograma Asistente Técnico'!$A82="",'Cronograma Asistente Técnico'!$H82=""),"",'Cronograma Asistente Técnico'!$H82)</f>
        <v/>
      </c>
      <c r="I82" s="20">
        <f>IF(OR('Cronograma Asistente Técnico'!$A82="",'Cronograma Asistente Técnico'!$I82=""),"",'Cronograma Asistente Técnico'!$I82)</f>
        <v/>
      </c>
      <c r="J82" s="20">
        <f>IF(OR('Cronograma Asistente Técnico'!$A82="",'Cronograma Asistente Técnico'!$J82=""),"",'Cronograma Asistente Técnico'!$J82)</f>
        <v/>
      </c>
      <c r="K82" s="20">
        <f>IF('Cronograma Asistente Técnico'!$A82="","",'Cronograma Asistente Técnico'!$K82)</f>
        <v/>
      </c>
      <c r="L82" s="22">
        <f>IF('Cronograma Asistente Técnico'!$A82="","",IF(N('Cronograma Asistente Técnico'!$K82)&gt;=1,"Completado",IF(AND(ISNUMBER('Cronograma Asistente Técnico'!$E82),'Cronograma Asistente Técnico'!$E82&lt;FechaRef),"Vencida",IF(N('Cronograma Asistente Técnico'!$K82)&gt;0,"En curso","Pendiente"))))</f>
        <v/>
      </c>
      <c r="M82" s="41">
        <f>IF('Cronograma Asistente Técnico'!$A82="","",'Cronograma Asistente Técnico'!$M82&amp;"")</f>
        <v/>
      </c>
    </row>
    <row r="83">
      <c r="A83" s="22">
        <f>IF('Cronograma Asistente Técnico'!$A83="","",'Cronograma Asistente Técnico'!$A83)</f>
        <v/>
      </c>
      <c r="B83" s="41">
        <f>IF('Cronograma Asistente Técnico'!$A83="","",'Cronograma Asistente Técnico'!$B83&amp;"")</f>
        <v/>
      </c>
      <c r="C83" s="41">
        <f>IF('Cronograma Asistente Técnico'!$A83="","",'Cronograma Asistente Técnico'!$C83&amp;"")</f>
        <v/>
      </c>
      <c r="D83" s="63">
        <f>IF(OR('Cronograma Asistente Técnico'!$A83="",'Cronograma Asistente Técnico'!$D83=""),"",'Cronograma Asistente Técnico'!$D83)</f>
        <v/>
      </c>
      <c r="E83" s="63">
        <f>IF(OR('Cronograma Asistente Técnico'!$A83="",'Cronograma Asistente Técnico'!$E83=""),"",'Cronograma Asistente Técnico'!$E83)</f>
        <v/>
      </c>
      <c r="F83" s="22">
        <f>IF(OR('Cronograma Asistente Técnico'!$A83="",NOT(ISNUMBER('Cronograma Asistente Técnico'!$E83))),"",IF('Cronograma Asistente Técnico'!$E83&lt;InicioCiclo,"Antes del ciclo",IF('Cronograma Asistente Técnico'!$E83&gt;=InicioCiclo+28,"Después del ciclo","Semana "&amp;(INT(('Cronograma Asistente Técnico'!$E83-InicioCiclo)/7)+1))))</f>
        <v/>
      </c>
      <c r="G83" s="20">
        <f>IF(OR('Cronograma Asistente Técnico'!$A83="",'Cronograma Asistente Técnico'!$G83=""),"",'Cronograma Asistente Técnico'!$G83)</f>
        <v/>
      </c>
      <c r="H83" s="20">
        <f>IF(OR('Cronograma Asistente Técnico'!$A83="",'Cronograma Asistente Técnico'!$H83=""),"",'Cronograma Asistente Técnico'!$H83)</f>
        <v/>
      </c>
      <c r="I83" s="20">
        <f>IF(OR('Cronograma Asistente Técnico'!$A83="",'Cronograma Asistente Técnico'!$I83=""),"",'Cronograma Asistente Técnico'!$I83)</f>
        <v/>
      </c>
      <c r="J83" s="20">
        <f>IF(OR('Cronograma Asistente Técnico'!$A83="",'Cronograma Asistente Técnico'!$J83=""),"",'Cronograma Asistente Técnico'!$J83)</f>
        <v/>
      </c>
      <c r="K83" s="20">
        <f>IF('Cronograma Asistente Técnico'!$A83="","",'Cronograma Asistente Técnico'!$K83)</f>
        <v/>
      </c>
      <c r="L83" s="22">
        <f>IF('Cronograma Asistente Técnico'!$A83="","",IF(N('Cronograma Asistente Técnico'!$K83)&gt;=1,"Completado",IF(AND(ISNUMBER('Cronograma Asistente Técnico'!$E83),'Cronograma Asistente Técnico'!$E83&lt;FechaRef),"Vencida",IF(N('Cronograma Asistente Técnico'!$K83)&gt;0,"En curso","Pendiente"))))</f>
        <v/>
      </c>
      <c r="M83" s="41">
        <f>IF('Cronograma Asistente Técnico'!$A83="","",'Cronograma Asistente Técnico'!$M83&amp;"")</f>
        <v/>
      </c>
    </row>
    <row r="84">
      <c r="A84" s="22">
        <f>IF('Cronograma Asistente Técnico'!$A84="","",'Cronograma Asistente Técnico'!$A84)</f>
        <v/>
      </c>
      <c r="B84" s="41">
        <f>IF('Cronograma Asistente Técnico'!$A84="","",'Cronograma Asistente Técnico'!$B84&amp;"")</f>
        <v/>
      </c>
      <c r="C84" s="41">
        <f>IF('Cronograma Asistente Técnico'!$A84="","",'Cronograma Asistente Técnico'!$C84&amp;"")</f>
        <v/>
      </c>
      <c r="D84" s="63">
        <f>IF(OR('Cronograma Asistente Técnico'!$A84="",'Cronograma Asistente Técnico'!$D84=""),"",'Cronograma Asistente Técnico'!$D84)</f>
        <v/>
      </c>
      <c r="E84" s="63">
        <f>IF(OR('Cronograma Asistente Técnico'!$A84="",'Cronograma Asistente Técnico'!$E84=""),"",'Cronograma Asistente Técnico'!$E84)</f>
        <v/>
      </c>
      <c r="F84" s="22">
        <f>IF(OR('Cronograma Asistente Técnico'!$A84="",NOT(ISNUMBER('Cronograma Asistente Técnico'!$E84))),"",IF('Cronograma Asistente Técnico'!$E84&lt;InicioCiclo,"Antes del ciclo",IF('Cronograma Asistente Técnico'!$E84&gt;=InicioCiclo+28,"Después del ciclo","Semana "&amp;(INT(('Cronograma Asistente Técnico'!$E84-InicioCiclo)/7)+1))))</f>
        <v/>
      </c>
      <c r="G84" s="20">
        <f>IF(OR('Cronograma Asistente Técnico'!$A84="",'Cronograma Asistente Técnico'!$G84=""),"",'Cronograma Asistente Técnico'!$G84)</f>
        <v/>
      </c>
      <c r="H84" s="20">
        <f>IF(OR('Cronograma Asistente Técnico'!$A84="",'Cronograma Asistente Técnico'!$H84=""),"",'Cronograma Asistente Técnico'!$H84)</f>
        <v/>
      </c>
      <c r="I84" s="20">
        <f>IF(OR('Cronograma Asistente Técnico'!$A84="",'Cronograma Asistente Técnico'!$I84=""),"",'Cronograma Asistente Técnico'!$I84)</f>
        <v/>
      </c>
      <c r="J84" s="20">
        <f>IF(OR('Cronograma Asistente Técnico'!$A84="",'Cronograma Asistente Técnico'!$J84=""),"",'Cronograma Asistente Técnico'!$J84)</f>
        <v/>
      </c>
      <c r="K84" s="20">
        <f>IF('Cronograma Asistente Técnico'!$A84="","",'Cronograma Asistente Técnico'!$K84)</f>
        <v/>
      </c>
      <c r="L84" s="22">
        <f>IF('Cronograma Asistente Técnico'!$A84="","",IF(N('Cronograma Asistente Técnico'!$K84)&gt;=1,"Completado",IF(AND(ISNUMBER('Cronograma Asistente Técnico'!$E84),'Cronograma Asistente Técnico'!$E84&lt;FechaRef),"Vencida",IF(N('Cronograma Asistente Técnico'!$K84)&gt;0,"En curso","Pendiente"))))</f>
        <v/>
      </c>
      <c r="M84" s="41">
        <f>IF('Cronograma Asistente Técnico'!$A84="","",'Cronograma Asistente Técnico'!$M84&amp;"")</f>
        <v/>
      </c>
    </row>
    <row r="85">
      <c r="A85" s="22">
        <f>IF('Cronograma Asistente Técnico'!$A85="","",'Cronograma Asistente Técnico'!$A85)</f>
        <v/>
      </c>
      <c r="B85" s="41">
        <f>IF('Cronograma Asistente Técnico'!$A85="","",'Cronograma Asistente Técnico'!$B85&amp;"")</f>
        <v/>
      </c>
      <c r="C85" s="41">
        <f>IF('Cronograma Asistente Técnico'!$A85="","",'Cronograma Asistente Técnico'!$C85&amp;"")</f>
        <v/>
      </c>
      <c r="D85" s="63">
        <f>IF(OR('Cronograma Asistente Técnico'!$A85="",'Cronograma Asistente Técnico'!$D85=""),"",'Cronograma Asistente Técnico'!$D85)</f>
        <v/>
      </c>
      <c r="E85" s="63">
        <f>IF(OR('Cronograma Asistente Técnico'!$A85="",'Cronograma Asistente Técnico'!$E85=""),"",'Cronograma Asistente Técnico'!$E85)</f>
        <v/>
      </c>
      <c r="F85" s="22">
        <f>IF(OR('Cronograma Asistente Técnico'!$A85="",NOT(ISNUMBER('Cronograma Asistente Técnico'!$E85))),"",IF('Cronograma Asistente Técnico'!$E85&lt;InicioCiclo,"Antes del ciclo",IF('Cronograma Asistente Técnico'!$E85&gt;=InicioCiclo+28,"Después del ciclo","Semana "&amp;(INT(('Cronograma Asistente Técnico'!$E85-InicioCiclo)/7)+1))))</f>
        <v/>
      </c>
      <c r="G85" s="20">
        <f>IF(OR('Cronograma Asistente Técnico'!$A85="",'Cronograma Asistente Técnico'!$G85=""),"",'Cronograma Asistente Técnico'!$G85)</f>
        <v/>
      </c>
      <c r="H85" s="20">
        <f>IF(OR('Cronograma Asistente Técnico'!$A85="",'Cronograma Asistente Técnico'!$H85=""),"",'Cronograma Asistente Técnico'!$H85)</f>
        <v/>
      </c>
      <c r="I85" s="20">
        <f>IF(OR('Cronograma Asistente Técnico'!$A85="",'Cronograma Asistente Técnico'!$I85=""),"",'Cronograma Asistente Técnico'!$I85)</f>
        <v/>
      </c>
      <c r="J85" s="20">
        <f>IF(OR('Cronograma Asistente Técnico'!$A85="",'Cronograma Asistente Técnico'!$J85=""),"",'Cronograma Asistente Técnico'!$J85)</f>
        <v/>
      </c>
      <c r="K85" s="20">
        <f>IF('Cronograma Asistente Técnico'!$A85="","",'Cronograma Asistente Técnico'!$K85)</f>
        <v/>
      </c>
      <c r="L85" s="22">
        <f>IF('Cronograma Asistente Técnico'!$A85="","",IF(N('Cronograma Asistente Técnico'!$K85)&gt;=1,"Completado",IF(AND(ISNUMBER('Cronograma Asistente Técnico'!$E85),'Cronograma Asistente Técnico'!$E85&lt;FechaRef),"Vencida",IF(N('Cronograma Asistente Técnico'!$K85)&gt;0,"En curso","Pendiente"))))</f>
        <v/>
      </c>
      <c r="M85" s="41">
        <f>IF('Cronograma Asistente Técnico'!$A85="","",'Cronograma Asistente Técnico'!$M85&amp;"")</f>
        <v/>
      </c>
    </row>
    <row r="86">
      <c r="A86" s="22">
        <f>IF('Cronograma Asistente Técnico'!$A86="","",'Cronograma Asistente Técnico'!$A86)</f>
        <v/>
      </c>
      <c r="B86" s="41">
        <f>IF('Cronograma Asistente Técnico'!$A86="","",'Cronograma Asistente Técnico'!$B86&amp;"")</f>
        <v/>
      </c>
      <c r="C86" s="41">
        <f>IF('Cronograma Asistente Técnico'!$A86="","",'Cronograma Asistente Técnico'!$C86&amp;"")</f>
        <v/>
      </c>
      <c r="D86" s="63">
        <f>IF(OR('Cronograma Asistente Técnico'!$A86="",'Cronograma Asistente Técnico'!$D86=""),"",'Cronograma Asistente Técnico'!$D86)</f>
        <v/>
      </c>
      <c r="E86" s="63">
        <f>IF(OR('Cronograma Asistente Técnico'!$A86="",'Cronograma Asistente Técnico'!$E86=""),"",'Cronograma Asistente Técnico'!$E86)</f>
        <v/>
      </c>
      <c r="F86" s="22">
        <f>IF(OR('Cronograma Asistente Técnico'!$A86="",NOT(ISNUMBER('Cronograma Asistente Técnico'!$E86))),"",IF('Cronograma Asistente Técnico'!$E86&lt;InicioCiclo,"Antes del ciclo",IF('Cronograma Asistente Técnico'!$E86&gt;=InicioCiclo+28,"Después del ciclo","Semana "&amp;(INT(('Cronograma Asistente Técnico'!$E86-InicioCiclo)/7)+1))))</f>
        <v/>
      </c>
      <c r="G86" s="20">
        <f>IF(OR('Cronograma Asistente Técnico'!$A86="",'Cronograma Asistente Técnico'!$G86=""),"",'Cronograma Asistente Técnico'!$G86)</f>
        <v/>
      </c>
      <c r="H86" s="20">
        <f>IF(OR('Cronograma Asistente Técnico'!$A86="",'Cronograma Asistente Técnico'!$H86=""),"",'Cronograma Asistente Técnico'!$H86)</f>
        <v/>
      </c>
      <c r="I86" s="20">
        <f>IF(OR('Cronograma Asistente Técnico'!$A86="",'Cronograma Asistente Técnico'!$I86=""),"",'Cronograma Asistente Técnico'!$I86)</f>
        <v/>
      </c>
      <c r="J86" s="20">
        <f>IF(OR('Cronograma Asistente Técnico'!$A86="",'Cronograma Asistente Técnico'!$J86=""),"",'Cronograma Asistente Técnico'!$J86)</f>
        <v/>
      </c>
      <c r="K86" s="20">
        <f>IF('Cronograma Asistente Técnico'!$A86="","",'Cronograma Asistente Técnico'!$K86)</f>
        <v/>
      </c>
      <c r="L86" s="22">
        <f>IF('Cronograma Asistente Técnico'!$A86="","",IF(N('Cronograma Asistente Técnico'!$K86)&gt;=1,"Completado",IF(AND(ISNUMBER('Cronograma Asistente Técnico'!$E86),'Cronograma Asistente Técnico'!$E86&lt;FechaRef),"Vencida",IF(N('Cronograma Asistente Técnico'!$K86)&gt;0,"En curso","Pendiente"))))</f>
        <v/>
      </c>
      <c r="M86" s="41">
        <f>IF('Cronograma Asistente Técnico'!$A86="","",'Cronograma Asistente Técnico'!$M86&amp;"")</f>
        <v/>
      </c>
    </row>
    <row r="87">
      <c r="A87" s="22">
        <f>IF('Cronograma Asistente Técnico'!$A87="","",'Cronograma Asistente Técnico'!$A87)</f>
        <v/>
      </c>
      <c r="B87" s="41">
        <f>IF('Cronograma Asistente Técnico'!$A87="","",'Cronograma Asistente Técnico'!$B87&amp;"")</f>
        <v/>
      </c>
      <c r="C87" s="41">
        <f>IF('Cronograma Asistente Técnico'!$A87="","",'Cronograma Asistente Técnico'!$C87&amp;"")</f>
        <v/>
      </c>
      <c r="D87" s="63">
        <f>IF(OR('Cronograma Asistente Técnico'!$A87="",'Cronograma Asistente Técnico'!$D87=""),"",'Cronograma Asistente Técnico'!$D87)</f>
        <v/>
      </c>
      <c r="E87" s="63">
        <f>IF(OR('Cronograma Asistente Técnico'!$A87="",'Cronograma Asistente Técnico'!$E87=""),"",'Cronograma Asistente Técnico'!$E87)</f>
        <v/>
      </c>
      <c r="F87" s="22">
        <f>IF(OR('Cronograma Asistente Técnico'!$A87="",NOT(ISNUMBER('Cronograma Asistente Técnico'!$E87))),"",IF('Cronograma Asistente Técnico'!$E87&lt;InicioCiclo,"Antes del ciclo",IF('Cronograma Asistente Técnico'!$E87&gt;=InicioCiclo+28,"Después del ciclo","Semana "&amp;(INT(('Cronograma Asistente Técnico'!$E87-InicioCiclo)/7)+1))))</f>
        <v/>
      </c>
      <c r="G87" s="20">
        <f>IF(OR('Cronograma Asistente Técnico'!$A87="",'Cronograma Asistente Técnico'!$G87=""),"",'Cronograma Asistente Técnico'!$G87)</f>
        <v/>
      </c>
      <c r="H87" s="20">
        <f>IF(OR('Cronograma Asistente Técnico'!$A87="",'Cronograma Asistente Técnico'!$H87=""),"",'Cronograma Asistente Técnico'!$H87)</f>
        <v/>
      </c>
      <c r="I87" s="20">
        <f>IF(OR('Cronograma Asistente Técnico'!$A87="",'Cronograma Asistente Técnico'!$I87=""),"",'Cronograma Asistente Técnico'!$I87)</f>
        <v/>
      </c>
      <c r="J87" s="20">
        <f>IF(OR('Cronograma Asistente Técnico'!$A87="",'Cronograma Asistente Técnico'!$J87=""),"",'Cronograma Asistente Técnico'!$J87)</f>
        <v/>
      </c>
      <c r="K87" s="20">
        <f>IF('Cronograma Asistente Técnico'!$A87="","",'Cronograma Asistente Técnico'!$K87)</f>
        <v/>
      </c>
      <c r="L87" s="22">
        <f>IF('Cronograma Asistente Técnico'!$A87="","",IF(N('Cronograma Asistente Técnico'!$K87)&gt;=1,"Completado",IF(AND(ISNUMBER('Cronograma Asistente Técnico'!$E87),'Cronograma Asistente Técnico'!$E87&lt;FechaRef),"Vencida",IF(N('Cronograma Asistente Técnico'!$K87)&gt;0,"En curso","Pendiente"))))</f>
        <v/>
      </c>
      <c r="M87" s="41">
        <f>IF('Cronograma Asistente Técnico'!$A87="","",'Cronograma Asistente Técnico'!$M87&amp;"")</f>
        <v/>
      </c>
    </row>
    <row r="88">
      <c r="A88" s="22">
        <f>IF('Cronograma Asistente Técnico'!$A88="","",'Cronograma Asistente Técnico'!$A88)</f>
        <v/>
      </c>
      <c r="B88" s="41">
        <f>IF('Cronograma Asistente Técnico'!$A88="","",'Cronograma Asistente Técnico'!$B88&amp;"")</f>
        <v/>
      </c>
      <c r="C88" s="41">
        <f>IF('Cronograma Asistente Técnico'!$A88="","",'Cronograma Asistente Técnico'!$C88&amp;"")</f>
        <v/>
      </c>
      <c r="D88" s="63">
        <f>IF(OR('Cronograma Asistente Técnico'!$A88="",'Cronograma Asistente Técnico'!$D88=""),"",'Cronograma Asistente Técnico'!$D88)</f>
        <v/>
      </c>
      <c r="E88" s="63">
        <f>IF(OR('Cronograma Asistente Técnico'!$A88="",'Cronograma Asistente Técnico'!$E88=""),"",'Cronograma Asistente Técnico'!$E88)</f>
        <v/>
      </c>
      <c r="F88" s="22">
        <f>IF(OR('Cronograma Asistente Técnico'!$A88="",NOT(ISNUMBER('Cronograma Asistente Técnico'!$E88))),"",IF('Cronograma Asistente Técnico'!$E88&lt;InicioCiclo,"Antes del ciclo",IF('Cronograma Asistente Técnico'!$E88&gt;=InicioCiclo+28,"Después del ciclo","Semana "&amp;(INT(('Cronograma Asistente Técnico'!$E88-InicioCiclo)/7)+1))))</f>
        <v/>
      </c>
      <c r="G88" s="20">
        <f>IF(OR('Cronograma Asistente Técnico'!$A88="",'Cronograma Asistente Técnico'!$G88=""),"",'Cronograma Asistente Técnico'!$G88)</f>
        <v/>
      </c>
      <c r="H88" s="20">
        <f>IF(OR('Cronograma Asistente Técnico'!$A88="",'Cronograma Asistente Técnico'!$H88=""),"",'Cronograma Asistente Técnico'!$H88)</f>
        <v/>
      </c>
      <c r="I88" s="20">
        <f>IF(OR('Cronograma Asistente Técnico'!$A88="",'Cronograma Asistente Técnico'!$I88=""),"",'Cronograma Asistente Técnico'!$I88)</f>
        <v/>
      </c>
      <c r="J88" s="20">
        <f>IF(OR('Cronograma Asistente Técnico'!$A88="",'Cronograma Asistente Técnico'!$J88=""),"",'Cronograma Asistente Técnico'!$J88)</f>
        <v/>
      </c>
      <c r="K88" s="20">
        <f>IF('Cronograma Asistente Técnico'!$A88="","",'Cronograma Asistente Técnico'!$K88)</f>
        <v/>
      </c>
      <c r="L88" s="22">
        <f>IF('Cronograma Asistente Técnico'!$A88="","",IF(N('Cronograma Asistente Técnico'!$K88)&gt;=1,"Completado",IF(AND(ISNUMBER('Cronograma Asistente Técnico'!$E88),'Cronograma Asistente Técnico'!$E88&lt;FechaRef),"Vencida",IF(N('Cronograma Asistente Técnico'!$K88)&gt;0,"En curso","Pendiente"))))</f>
        <v/>
      </c>
      <c r="M88" s="41">
        <f>IF('Cronograma Asistente Técnico'!$A88="","",'Cronograma Asistente Técnico'!$M88&amp;"")</f>
        <v/>
      </c>
    </row>
    <row r="89">
      <c r="A89" s="22">
        <f>IF('Cronograma Asistente Técnico'!$A89="","",'Cronograma Asistente Técnico'!$A89)</f>
        <v/>
      </c>
      <c r="B89" s="41">
        <f>IF('Cronograma Asistente Técnico'!$A89="","",'Cronograma Asistente Técnico'!$B89&amp;"")</f>
        <v/>
      </c>
      <c r="C89" s="41">
        <f>IF('Cronograma Asistente Técnico'!$A89="","",'Cronograma Asistente Técnico'!$C89&amp;"")</f>
        <v/>
      </c>
      <c r="D89" s="63">
        <f>IF(OR('Cronograma Asistente Técnico'!$A89="",'Cronograma Asistente Técnico'!$D89=""),"",'Cronograma Asistente Técnico'!$D89)</f>
        <v/>
      </c>
      <c r="E89" s="63">
        <f>IF(OR('Cronograma Asistente Técnico'!$A89="",'Cronograma Asistente Técnico'!$E89=""),"",'Cronograma Asistente Técnico'!$E89)</f>
        <v/>
      </c>
      <c r="F89" s="22">
        <f>IF(OR('Cronograma Asistente Técnico'!$A89="",NOT(ISNUMBER('Cronograma Asistente Técnico'!$E89))),"",IF('Cronograma Asistente Técnico'!$E89&lt;InicioCiclo,"Antes del ciclo",IF('Cronograma Asistente Técnico'!$E89&gt;=InicioCiclo+28,"Después del ciclo","Semana "&amp;(INT(('Cronograma Asistente Técnico'!$E89-InicioCiclo)/7)+1))))</f>
        <v/>
      </c>
      <c r="G89" s="20">
        <f>IF(OR('Cronograma Asistente Técnico'!$A89="",'Cronograma Asistente Técnico'!$G89=""),"",'Cronograma Asistente Técnico'!$G89)</f>
        <v/>
      </c>
      <c r="H89" s="20">
        <f>IF(OR('Cronograma Asistente Técnico'!$A89="",'Cronograma Asistente Técnico'!$H89=""),"",'Cronograma Asistente Técnico'!$H89)</f>
        <v/>
      </c>
      <c r="I89" s="20">
        <f>IF(OR('Cronograma Asistente Técnico'!$A89="",'Cronograma Asistente Técnico'!$I89=""),"",'Cronograma Asistente Técnico'!$I89)</f>
        <v/>
      </c>
      <c r="J89" s="20">
        <f>IF(OR('Cronograma Asistente Técnico'!$A89="",'Cronograma Asistente Técnico'!$J89=""),"",'Cronograma Asistente Técnico'!$J89)</f>
        <v/>
      </c>
      <c r="K89" s="20">
        <f>IF('Cronograma Asistente Técnico'!$A89="","",'Cronograma Asistente Técnico'!$K89)</f>
        <v/>
      </c>
      <c r="L89" s="22">
        <f>IF('Cronograma Asistente Técnico'!$A89="","",IF(N('Cronograma Asistente Técnico'!$K89)&gt;=1,"Completado",IF(AND(ISNUMBER('Cronograma Asistente Técnico'!$E89),'Cronograma Asistente Técnico'!$E89&lt;FechaRef),"Vencida",IF(N('Cronograma Asistente Técnico'!$K89)&gt;0,"En curso","Pendiente"))))</f>
        <v/>
      </c>
      <c r="M89" s="41">
        <f>IF('Cronograma Asistente Técnico'!$A89="","",'Cronograma Asistente Técnico'!$M89&amp;"")</f>
        <v/>
      </c>
    </row>
    <row r="90">
      <c r="A90" s="22">
        <f>IF('Cronograma Asistente Técnico'!$A90="","",'Cronograma Asistente Técnico'!$A90)</f>
        <v/>
      </c>
      <c r="B90" s="41">
        <f>IF('Cronograma Asistente Técnico'!$A90="","",'Cronograma Asistente Técnico'!$B90&amp;"")</f>
        <v/>
      </c>
      <c r="C90" s="41">
        <f>IF('Cronograma Asistente Técnico'!$A90="","",'Cronograma Asistente Técnico'!$C90&amp;"")</f>
        <v/>
      </c>
      <c r="D90" s="63">
        <f>IF(OR('Cronograma Asistente Técnico'!$A90="",'Cronograma Asistente Técnico'!$D90=""),"",'Cronograma Asistente Técnico'!$D90)</f>
        <v/>
      </c>
      <c r="E90" s="63">
        <f>IF(OR('Cronograma Asistente Técnico'!$A90="",'Cronograma Asistente Técnico'!$E90=""),"",'Cronograma Asistente Técnico'!$E90)</f>
        <v/>
      </c>
      <c r="F90" s="22">
        <f>IF(OR('Cronograma Asistente Técnico'!$A90="",NOT(ISNUMBER('Cronograma Asistente Técnico'!$E90))),"",IF('Cronograma Asistente Técnico'!$E90&lt;InicioCiclo,"Antes del ciclo",IF('Cronograma Asistente Técnico'!$E90&gt;=InicioCiclo+28,"Después del ciclo","Semana "&amp;(INT(('Cronograma Asistente Técnico'!$E90-InicioCiclo)/7)+1))))</f>
        <v/>
      </c>
      <c r="G90" s="20">
        <f>IF(OR('Cronograma Asistente Técnico'!$A90="",'Cronograma Asistente Técnico'!$G90=""),"",'Cronograma Asistente Técnico'!$G90)</f>
        <v/>
      </c>
      <c r="H90" s="20">
        <f>IF(OR('Cronograma Asistente Técnico'!$A90="",'Cronograma Asistente Técnico'!$H90=""),"",'Cronograma Asistente Técnico'!$H90)</f>
        <v/>
      </c>
      <c r="I90" s="20">
        <f>IF(OR('Cronograma Asistente Técnico'!$A90="",'Cronograma Asistente Técnico'!$I90=""),"",'Cronograma Asistente Técnico'!$I90)</f>
        <v/>
      </c>
      <c r="J90" s="20">
        <f>IF(OR('Cronograma Asistente Técnico'!$A90="",'Cronograma Asistente Técnico'!$J90=""),"",'Cronograma Asistente Técnico'!$J90)</f>
        <v/>
      </c>
      <c r="K90" s="20">
        <f>IF('Cronograma Asistente Técnico'!$A90="","",'Cronograma Asistente Técnico'!$K90)</f>
        <v/>
      </c>
      <c r="L90" s="22">
        <f>IF('Cronograma Asistente Técnico'!$A90="","",IF(N('Cronograma Asistente Técnico'!$K90)&gt;=1,"Completado",IF(AND(ISNUMBER('Cronograma Asistente Técnico'!$E90),'Cronograma Asistente Técnico'!$E90&lt;FechaRef),"Vencida",IF(N('Cronograma Asistente Técnico'!$K90)&gt;0,"En curso","Pendiente"))))</f>
        <v/>
      </c>
      <c r="M90" s="41">
        <f>IF('Cronograma Asistente Técnico'!$A90="","",'Cronograma Asistente Técnico'!$M90&amp;"")</f>
        <v/>
      </c>
    </row>
    <row r="91">
      <c r="A91" s="22">
        <f>IF('Cronograma Asistente Técnico'!$A91="","",'Cronograma Asistente Técnico'!$A91)</f>
        <v/>
      </c>
      <c r="B91" s="41">
        <f>IF('Cronograma Asistente Técnico'!$A91="","",'Cronograma Asistente Técnico'!$B91&amp;"")</f>
        <v/>
      </c>
      <c r="C91" s="41">
        <f>IF('Cronograma Asistente Técnico'!$A91="","",'Cronograma Asistente Técnico'!$C91&amp;"")</f>
        <v/>
      </c>
      <c r="D91" s="63">
        <f>IF(OR('Cronograma Asistente Técnico'!$A91="",'Cronograma Asistente Técnico'!$D91=""),"",'Cronograma Asistente Técnico'!$D91)</f>
        <v/>
      </c>
      <c r="E91" s="63">
        <f>IF(OR('Cronograma Asistente Técnico'!$A91="",'Cronograma Asistente Técnico'!$E91=""),"",'Cronograma Asistente Técnico'!$E91)</f>
        <v/>
      </c>
      <c r="F91" s="22">
        <f>IF(OR('Cronograma Asistente Técnico'!$A91="",NOT(ISNUMBER('Cronograma Asistente Técnico'!$E91))),"",IF('Cronograma Asistente Técnico'!$E91&lt;InicioCiclo,"Antes del ciclo",IF('Cronograma Asistente Técnico'!$E91&gt;=InicioCiclo+28,"Después del ciclo","Semana "&amp;(INT(('Cronograma Asistente Técnico'!$E91-InicioCiclo)/7)+1))))</f>
        <v/>
      </c>
      <c r="G91" s="20">
        <f>IF(OR('Cronograma Asistente Técnico'!$A91="",'Cronograma Asistente Técnico'!$G91=""),"",'Cronograma Asistente Técnico'!$G91)</f>
        <v/>
      </c>
      <c r="H91" s="20">
        <f>IF(OR('Cronograma Asistente Técnico'!$A91="",'Cronograma Asistente Técnico'!$H91=""),"",'Cronograma Asistente Técnico'!$H91)</f>
        <v/>
      </c>
      <c r="I91" s="20">
        <f>IF(OR('Cronograma Asistente Técnico'!$A91="",'Cronograma Asistente Técnico'!$I91=""),"",'Cronograma Asistente Técnico'!$I91)</f>
        <v/>
      </c>
      <c r="J91" s="20">
        <f>IF(OR('Cronograma Asistente Técnico'!$A91="",'Cronograma Asistente Técnico'!$J91=""),"",'Cronograma Asistente Técnico'!$J91)</f>
        <v/>
      </c>
      <c r="K91" s="20">
        <f>IF('Cronograma Asistente Técnico'!$A91="","",'Cronograma Asistente Técnico'!$K91)</f>
        <v/>
      </c>
      <c r="L91" s="22">
        <f>IF('Cronograma Asistente Técnico'!$A91="","",IF(N('Cronograma Asistente Técnico'!$K91)&gt;=1,"Completado",IF(AND(ISNUMBER('Cronograma Asistente Técnico'!$E91),'Cronograma Asistente Técnico'!$E91&lt;FechaRef),"Vencida",IF(N('Cronograma Asistente Técnico'!$K91)&gt;0,"En curso","Pendiente"))))</f>
        <v/>
      </c>
      <c r="M91" s="41">
        <f>IF('Cronograma Asistente Técnico'!$A91="","",'Cronograma Asistente Técnico'!$M91&amp;"")</f>
        <v/>
      </c>
    </row>
    <row r="92">
      <c r="A92" s="22">
        <f>IF('Cronograma Asistente Técnico'!$A92="","",'Cronograma Asistente Técnico'!$A92)</f>
        <v/>
      </c>
      <c r="B92" s="41">
        <f>IF('Cronograma Asistente Técnico'!$A92="","",'Cronograma Asistente Técnico'!$B92&amp;"")</f>
        <v/>
      </c>
      <c r="C92" s="41">
        <f>IF('Cronograma Asistente Técnico'!$A92="","",'Cronograma Asistente Técnico'!$C92&amp;"")</f>
        <v/>
      </c>
      <c r="D92" s="63">
        <f>IF(OR('Cronograma Asistente Técnico'!$A92="",'Cronograma Asistente Técnico'!$D92=""),"",'Cronograma Asistente Técnico'!$D92)</f>
        <v/>
      </c>
      <c r="E92" s="63">
        <f>IF(OR('Cronograma Asistente Técnico'!$A92="",'Cronograma Asistente Técnico'!$E92=""),"",'Cronograma Asistente Técnico'!$E92)</f>
        <v/>
      </c>
      <c r="F92" s="22">
        <f>IF(OR('Cronograma Asistente Técnico'!$A92="",NOT(ISNUMBER('Cronograma Asistente Técnico'!$E92))),"",IF('Cronograma Asistente Técnico'!$E92&lt;InicioCiclo,"Antes del ciclo",IF('Cronograma Asistente Técnico'!$E92&gt;=InicioCiclo+28,"Después del ciclo","Semana "&amp;(INT(('Cronograma Asistente Técnico'!$E92-InicioCiclo)/7)+1))))</f>
        <v/>
      </c>
      <c r="G92" s="20">
        <f>IF(OR('Cronograma Asistente Técnico'!$A92="",'Cronograma Asistente Técnico'!$G92=""),"",'Cronograma Asistente Técnico'!$G92)</f>
        <v/>
      </c>
      <c r="H92" s="20">
        <f>IF(OR('Cronograma Asistente Técnico'!$A92="",'Cronograma Asistente Técnico'!$H92=""),"",'Cronograma Asistente Técnico'!$H92)</f>
        <v/>
      </c>
      <c r="I92" s="20">
        <f>IF(OR('Cronograma Asistente Técnico'!$A92="",'Cronograma Asistente Técnico'!$I92=""),"",'Cronograma Asistente Técnico'!$I92)</f>
        <v/>
      </c>
      <c r="J92" s="20">
        <f>IF(OR('Cronograma Asistente Técnico'!$A92="",'Cronograma Asistente Técnico'!$J92=""),"",'Cronograma Asistente Técnico'!$J92)</f>
        <v/>
      </c>
      <c r="K92" s="20">
        <f>IF('Cronograma Asistente Técnico'!$A92="","",'Cronograma Asistente Técnico'!$K92)</f>
        <v/>
      </c>
      <c r="L92" s="22">
        <f>IF('Cronograma Asistente Técnico'!$A92="","",IF(N('Cronograma Asistente Técnico'!$K92)&gt;=1,"Completado",IF(AND(ISNUMBER('Cronograma Asistente Técnico'!$E92),'Cronograma Asistente Técnico'!$E92&lt;FechaRef),"Vencida",IF(N('Cronograma Asistente Técnico'!$K92)&gt;0,"En curso","Pendiente"))))</f>
        <v/>
      </c>
      <c r="M92" s="41">
        <f>IF('Cronograma Asistente Técnico'!$A92="","",'Cronograma Asistente Técnico'!$M92&amp;"")</f>
        <v/>
      </c>
    </row>
    <row r="93">
      <c r="A93" s="22">
        <f>IF('Cronograma Asistente Técnico'!$A93="","",'Cronograma Asistente Técnico'!$A93)</f>
        <v/>
      </c>
      <c r="B93" s="41">
        <f>IF('Cronograma Asistente Técnico'!$A93="","",'Cronograma Asistente Técnico'!$B93&amp;"")</f>
        <v/>
      </c>
      <c r="C93" s="41">
        <f>IF('Cronograma Asistente Técnico'!$A93="","",'Cronograma Asistente Técnico'!$C93&amp;"")</f>
        <v/>
      </c>
      <c r="D93" s="63">
        <f>IF(OR('Cronograma Asistente Técnico'!$A93="",'Cronograma Asistente Técnico'!$D93=""),"",'Cronograma Asistente Técnico'!$D93)</f>
        <v/>
      </c>
      <c r="E93" s="63">
        <f>IF(OR('Cronograma Asistente Técnico'!$A93="",'Cronograma Asistente Técnico'!$E93=""),"",'Cronograma Asistente Técnico'!$E93)</f>
        <v/>
      </c>
      <c r="F93" s="22">
        <f>IF(OR('Cronograma Asistente Técnico'!$A93="",NOT(ISNUMBER('Cronograma Asistente Técnico'!$E93))),"",IF('Cronograma Asistente Técnico'!$E93&lt;InicioCiclo,"Antes del ciclo",IF('Cronograma Asistente Técnico'!$E93&gt;=InicioCiclo+28,"Después del ciclo","Semana "&amp;(INT(('Cronograma Asistente Técnico'!$E93-InicioCiclo)/7)+1))))</f>
        <v/>
      </c>
      <c r="G93" s="20">
        <f>IF(OR('Cronograma Asistente Técnico'!$A93="",'Cronograma Asistente Técnico'!$G93=""),"",'Cronograma Asistente Técnico'!$G93)</f>
        <v/>
      </c>
      <c r="H93" s="20">
        <f>IF(OR('Cronograma Asistente Técnico'!$A93="",'Cronograma Asistente Técnico'!$H93=""),"",'Cronograma Asistente Técnico'!$H93)</f>
        <v/>
      </c>
      <c r="I93" s="20">
        <f>IF(OR('Cronograma Asistente Técnico'!$A93="",'Cronograma Asistente Técnico'!$I93=""),"",'Cronograma Asistente Técnico'!$I93)</f>
        <v/>
      </c>
      <c r="J93" s="20">
        <f>IF(OR('Cronograma Asistente Técnico'!$A93="",'Cronograma Asistente Técnico'!$J93=""),"",'Cronograma Asistente Técnico'!$J93)</f>
        <v/>
      </c>
      <c r="K93" s="20">
        <f>IF('Cronograma Asistente Técnico'!$A93="","",'Cronograma Asistente Técnico'!$K93)</f>
        <v/>
      </c>
      <c r="L93" s="22">
        <f>IF('Cronograma Asistente Técnico'!$A93="","",IF(N('Cronograma Asistente Técnico'!$K93)&gt;=1,"Completado",IF(AND(ISNUMBER('Cronograma Asistente Técnico'!$E93),'Cronograma Asistente Técnico'!$E93&lt;FechaRef),"Vencida",IF(N('Cronograma Asistente Técnico'!$K93)&gt;0,"En curso","Pendiente"))))</f>
        <v/>
      </c>
      <c r="M93" s="41">
        <f>IF('Cronograma Asistente Técnico'!$A93="","",'Cronograma Asistente Técnico'!$M93&amp;"")</f>
        <v/>
      </c>
    </row>
    <row r="94">
      <c r="A94" s="22">
        <f>IF('Cronograma Asistente Técnico'!$A94="","",'Cronograma Asistente Técnico'!$A94)</f>
        <v/>
      </c>
      <c r="B94" s="41">
        <f>IF('Cronograma Asistente Técnico'!$A94="","",'Cronograma Asistente Técnico'!$B94&amp;"")</f>
        <v/>
      </c>
      <c r="C94" s="41">
        <f>IF('Cronograma Asistente Técnico'!$A94="","",'Cronograma Asistente Técnico'!$C94&amp;"")</f>
        <v/>
      </c>
      <c r="D94" s="63">
        <f>IF(OR('Cronograma Asistente Técnico'!$A94="",'Cronograma Asistente Técnico'!$D94=""),"",'Cronograma Asistente Técnico'!$D94)</f>
        <v/>
      </c>
      <c r="E94" s="63">
        <f>IF(OR('Cronograma Asistente Técnico'!$A94="",'Cronograma Asistente Técnico'!$E94=""),"",'Cronograma Asistente Técnico'!$E94)</f>
        <v/>
      </c>
      <c r="F94" s="22">
        <f>IF(OR('Cronograma Asistente Técnico'!$A94="",NOT(ISNUMBER('Cronograma Asistente Técnico'!$E94))),"",IF('Cronograma Asistente Técnico'!$E94&lt;InicioCiclo,"Antes del ciclo",IF('Cronograma Asistente Técnico'!$E94&gt;=InicioCiclo+28,"Después del ciclo","Semana "&amp;(INT(('Cronograma Asistente Técnico'!$E94-InicioCiclo)/7)+1))))</f>
        <v/>
      </c>
      <c r="G94" s="20">
        <f>IF(OR('Cronograma Asistente Técnico'!$A94="",'Cronograma Asistente Técnico'!$G94=""),"",'Cronograma Asistente Técnico'!$G94)</f>
        <v/>
      </c>
      <c r="H94" s="20">
        <f>IF(OR('Cronograma Asistente Técnico'!$A94="",'Cronograma Asistente Técnico'!$H94=""),"",'Cronograma Asistente Técnico'!$H94)</f>
        <v/>
      </c>
      <c r="I94" s="20">
        <f>IF(OR('Cronograma Asistente Técnico'!$A94="",'Cronograma Asistente Técnico'!$I94=""),"",'Cronograma Asistente Técnico'!$I94)</f>
        <v/>
      </c>
      <c r="J94" s="20">
        <f>IF(OR('Cronograma Asistente Técnico'!$A94="",'Cronograma Asistente Técnico'!$J94=""),"",'Cronograma Asistente Técnico'!$J94)</f>
        <v/>
      </c>
      <c r="K94" s="20">
        <f>IF('Cronograma Asistente Técnico'!$A94="","",'Cronograma Asistente Técnico'!$K94)</f>
        <v/>
      </c>
      <c r="L94" s="22">
        <f>IF('Cronograma Asistente Técnico'!$A94="","",IF(N('Cronograma Asistente Técnico'!$K94)&gt;=1,"Completado",IF(AND(ISNUMBER('Cronograma Asistente Técnico'!$E94),'Cronograma Asistente Técnico'!$E94&lt;FechaRef),"Vencida",IF(N('Cronograma Asistente Técnico'!$K94)&gt;0,"En curso","Pendiente"))))</f>
        <v/>
      </c>
      <c r="M94" s="41">
        <f>IF('Cronograma Asistente Técnico'!$A94="","",'Cronograma Asistente Técnico'!$M94&amp;"")</f>
        <v/>
      </c>
    </row>
    <row r="95">
      <c r="A95" s="22">
        <f>IF('Cronograma Asistente Técnico'!$A95="","",'Cronograma Asistente Técnico'!$A95)</f>
        <v/>
      </c>
      <c r="B95" s="41">
        <f>IF('Cronograma Asistente Técnico'!$A95="","",'Cronograma Asistente Técnico'!$B95&amp;"")</f>
        <v/>
      </c>
      <c r="C95" s="41">
        <f>IF('Cronograma Asistente Técnico'!$A95="","",'Cronograma Asistente Técnico'!$C95&amp;"")</f>
        <v/>
      </c>
      <c r="D95" s="63">
        <f>IF(OR('Cronograma Asistente Técnico'!$A95="",'Cronograma Asistente Técnico'!$D95=""),"",'Cronograma Asistente Técnico'!$D95)</f>
        <v/>
      </c>
      <c r="E95" s="63">
        <f>IF(OR('Cronograma Asistente Técnico'!$A95="",'Cronograma Asistente Técnico'!$E95=""),"",'Cronograma Asistente Técnico'!$E95)</f>
        <v/>
      </c>
      <c r="F95" s="22">
        <f>IF(OR('Cronograma Asistente Técnico'!$A95="",NOT(ISNUMBER('Cronograma Asistente Técnico'!$E95))),"",IF('Cronograma Asistente Técnico'!$E95&lt;InicioCiclo,"Antes del ciclo",IF('Cronograma Asistente Técnico'!$E95&gt;=InicioCiclo+28,"Después del ciclo","Semana "&amp;(INT(('Cronograma Asistente Técnico'!$E95-InicioCiclo)/7)+1))))</f>
        <v/>
      </c>
      <c r="G95" s="20">
        <f>IF(OR('Cronograma Asistente Técnico'!$A95="",'Cronograma Asistente Técnico'!$G95=""),"",'Cronograma Asistente Técnico'!$G95)</f>
        <v/>
      </c>
      <c r="H95" s="20">
        <f>IF(OR('Cronograma Asistente Técnico'!$A95="",'Cronograma Asistente Técnico'!$H95=""),"",'Cronograma Asistente Técnico'!$H95)</f>
        <v/>
      </c>
      <c r="I95" s="20">
        <f>IF(OR('Cronograma Asistente Técnico'!$A95="",'Cronograma Asistente Técnico'!$I95=""),"",'Cronograma Asistente Técnico'!$I95)</f>
        <v/>
      </c>
      <c r="J95" s="20">
        <f>IF(OR('Cronograma Asistente Técnico'!$A95="",'Cronograma Asistente Técnico'!$J95=""),"",'Cronograma Asistente Técnico'!$J95)</f>
        <v/>
      </c>
      <c r="K95" s="20">
        <f>IF('Cronograma Asistente Técnico'!$A95="","",'Cronograma Asistente Técnico'!$K95)</f>
        <v/>
      </c>
      <c r="L95" s="22">
        <f>IF('Cronograma Asistente Técnico'!$A95="","",IF(N('Cronograma Asistente Técnico'!$K95)&gt;=1,"Completado",IF(AND(ISNUMBER('Cronograma Asistente Técnico'!$E95),'Cronograma Asistente Técnico'!$E95&lt;FechaRef),"Vencida",IF(N('Cronograma Asistente Técnico'!$K95)&gt;0,"En curso","Pendiente"))))</f>
        <v/>
      </c>
      <c r="M95" s="41">
        <f>IF('Cronograma Asistente Técnico'!$A95="","",'Cronograma Asistente Técnico'!$M95&amp;"")</f>
        <v/>
      </c>
    </row>
    <row r="96">
      <c r="A96" s="22">
        <f>IF('Cronograma Asistente Técnico'!$A96="","",'Cronograma Asistente Técnico'!$A96)</f>
        <v/>
      </c>
      <c r="B96" s="41">
        <f>IF('Cronograma Asistente Técnico'!$A96="","",'Cronograma Asistente Técnico'!$B96&amp;"")</f>
        <v/>
      </c>
      <c r="C96" s="41">
        <f>IF('Cronograma Asistente Técnico'!$A96="","",'Cronograma Asistente Técnico'!$C96&amp;"")</f>
        <v/>
      </c>
      <c r="D96" s="63">
        <f>IF(OR('Cronograma Asistente Técnico'!$A96="",'Cronograma Asistente Técnico'!$D96=""),"",'Cronograma Asistente Técnico'!$D96)</f>
        <v/>
      </c>
      <c r="E96" s="63">
        <f>IF(OR('Cronograma Asistente Técnico'!$A96="",'Cronograma Asistente Técnico'!$E96=""),"",'Cronograma Asistente Técnico'!$E96)</f>
        <v/>
      </c>
      <c r="F96" s="22">
        <f>IF(OR('Cronograma Asistente Técnico'!$A96="",NOT(ISNUMBER('Cronograma Asistente Técnico'!$E96))),"",IF('Cronograma Asistente Técnico'!$E96&lt;InicioCiclo,"Antes del ciclo",IF('Cronograma Asistente Técnico'!$E96&gt;=InicioCiclo+28,"Después del ciclo","Semana "&amp;(INT(('Cronograma Asistente Técnico'!$E96-InicioCiclo)/7)+1))))</f>
        <v/>
      </c>
      <c r="G96" s="20">
        <f>IF(OR('Cronograma Asistente Técnico'!$A96="",'Cronograma Asistente Técnico'!$G96=""),"",'Cronograma Asistente Técnico'!$G96)</f>
        <v/>
      </c>
      <c r="H96" s="20">
        <f>IF(OR('Cronograma Asistente Técnico'!$A96="",'Cronograma Asistente Técnico'!$H96=""),"",'Cronograma Asistente Técnico'!$H96)</f>
        <v/>
      </c>
      <c r="I96" s="20">
        <f>IF(OR('Cronograma Asistente Técnico'!$A96="",'Cronograma Asistente Técnico'!$I96=""),"",'Cronograma Asistente Técnico'!$I96)</f>
        <v/>
      </c>
      <c r="J96" s="20">
        <f>IF(OR('Cronograma Asistente Técnico'!$A96="",'Cronograma Asistente Técnico'!$J96=""),"",'Cronograma Asistente Técnico'!$J96)</f>
        <v/>
      </c>
      <c r="K96" s="20">
        <f>IF('Cronograma Asistente Técnico'!$A96="","",'Cronograma Asistente Técnico'!$K96)</f>
        <v/>
      </c>
      <c r="L96" s="22">
        <f>IF('Cronograma Asistente Técnico'!$A96="","",IF(N('Cronograma Asistente Técnico'!$K96)&gt;=1,"Completado",IF(AND(ISNUMBER('Cronograma Asistente Técnico'!$E96),'Cronograma Asistente Técnico'!$E96&lt;FechaRef),"Vencida",IF(N('Cronograma Asistente Técnico'!$K96)&gt;0,"En curso","Pendiente"))))</f>
        <v/>
      </c>
      <c r="M96" s="41">
        <f>IF('Cronograma Asistente Técnico'!$A96="","",'Cronograma Asistente Técnico'!$M96&amp;"")</f>
        <v/>
      </c>
    </row>
    <row r="97">
      <c r="A97" s="22">
        <f>IF('Cronograma Asistente Técnico'!$A97="","",'Cronograma Asistente Técnico'!$A97)</f>
        <v/>
      </c>
      <c r="B97" s="41">
        <f>IF('Cronograma Asistente Técnico'!$A97="","",'Cronograma Asistente Técnico'!$B97&amp;"")</f>
        <v/>
      </c>
      <c r="C97" s="41">
        <f>IF('Cronograma Asistente Técnico'!$A97="","",'Cronograma Asistente Técnico'!$C97&amp;"")</f>
        <v/>
      </c>
      <c r="D97" s="63">
        <f>IF(OR('Cronograma Asistente Técnico'!$A97="",'Cronograma Asistente Técnico'!$D97=""),"",'Cronograma Asistente Técnico'!$D97)</f>
        <v/>
      </c>
      <c r="E97" s="63">
        <f>IF(OR('Cronograma Asistente Técnico'!$A97="",'Cronograma Asistente Técnico'!$E97=""),"",'Cronograma Asistente Técnico'!$E97)</f>
        <v/>
      </c>
      <c r="F97" s="22">
        <f>IF(OR('Cronograma Asistente Técnico'!$A97="",NOT(ISNUMBER('Cronograma Asistente Técnico'!$E97))),"",IF('Cronograma Asistente Técnico'!$E97&lt;InicioCiclo,"Antes del ciclo",IF('Cronograma Asistente Técnico'!$E97&gt;=InicioCiclo+28,"Después del ciclo","Semana "&amp;(INT(('Cronograma Asistente Técnico'!$E97-InicioCiclo)/7)+1))))</f>
        <v/>
      </c>
      <c r="G97" s="20">
        <f>IF(OR('Cronograma Asistente Técnico'!$A97="",'Cronograma Asistente Técnico'!$G97=""),"",'Cronograma Asistente Técnico'!$G97)</f>
        <v/>
      </c>
      <c r="H97" s="20">
        <f>IF(OR('Cronograma Asistente Técnico'!$A97="",'Cronograma Asistente Técnico'!$H97=""),"",'Cronograma Asistente Técnico'!$H97)</f>
        <v/>
      </c>
      <c r="I97" s="20">
        <f>IF(OR('Cronograma Asistente Técnico'!$A97="",'Cronograma Asistente Técnico'!$I97=""),"",'Cronograma Asistente Técnico'!$I97)</f>
        <v/>
      </c>
      <c r="J97" s="20">
        <f>IF(OR('Cronograma Asistente Técnico'!$A97="",'Cronograma Asistente Técnico'!$J97=""),"",'Cronograma Asistente Técnico'!$J97)</f>
        <v/>
      </c>
      <c r="K97" s="20">
        <f>IF('Cronograma Asistente Técnico'!$A97="","",'Cronograma Asistente Técnico'!$K97)</f>
        <v/>
      </c>
      <c r="L97" s="22">
        <f>IF('Cronograma Asistente Técnico'!$A97="","",IF(N('Cronograma Asistente Técnico'!$K97)&gt;=1,"Completado",IF(AND(ISNUMBER('Cronograma Asistente Técnico'!$E97),'Cronograma Asistente Técnico'!$E97&lt;FechaRef),"Vencida",IF(N('Cronograma Asistente Técnico'!$K97)&gt;0,"En curso","Pendiente"))))</f>
        <v/>
      </c>
      <c r="M97" s="41">
        <f>IF('Cronograma Asistente Técnico'!$A97="","",'Cronograma Asistente Técnico'!$M97&amp;"")</f>
        <v/>
      </c>
    </row>
    <row r="98">
      <c r="A98" s="22">
        <f>IF('Cronograma Asistente Técnico'!$A98="","",'Cronograma Asistente Técnico'!$A98)</f>
        <v/>
      </c>
      <c r="B98" s="41">
        <f>IF('Cronograma Asistente Técnico'!$A98="","",'Cronograma Asistente Técnico'!$B98&amp;"")</f>
        <v/>
      </c>
      <c r="C98" s="41">
        <f>IF('Cronograma Asistente Técnico'!$A98="","",'Cronograma Asistente Técnico'!$C98&amp;"")</f>
        <v/>
      </c>
      <c r="D98" s="63">
        <f>IF(OR('Cronograma Asistente Técnico'!$A98="",'Cronograma Asistente Técnico'!$D98=""),"",'Cronograma Asistente Técnico'!$D98)</f>
        <v/>
      </c>
      <c r="E98" s="63">
        <f>IF(OR('Cronograma Asistente Técnico'!$A98="",'Cronograma Asistente Técnico'!$E98=""),"",'Cronograma Asistente Técnico'!$E98)</f>
        <v/>
      </c>
      <c r="F98" s="22">
        <f>IF(OR('Cronograma Asistente Técnico'!$A98="",NOT(ISNUMBER('Cronograma Asistente Técnico'!$E98))),"",IF('Cronograma Asistente Técnico'!$E98&lt;InicioCiclo,"Antes del ciclo",IF('Cronograma Asistente Técnico'!$E98&gt;=InicioCiclo+28,"Después del ciclo","Semana "&amp;(INT(('Cronograma Asistente Técnico'!$E98-InicioCiclo)/7)+1))))</f>
        <v/>
      </c>
      <c r="G98" s="20">
        <f>IF(OR('Cronograma Asistente Técnico'!$A98="",'Cronograma Asistente Técnico'!$G98=""),"",'Cronograma Asistente Técnico'!$G98)</f>
        <v/>
      </c>
      <c r="H98" s="20">
        <f>IF(OR('Cronograma Asistente Técnico'!$A98="",'Cronograma Asistente Técnico'!$H98=""),"",'Cronograma Asistente Técnico'!$H98)</f>
        <v/>
      </c>
      <c r="I98" s="20">
        <f>IF(OR('Cronograma Asistente Técnico'!$A98="",'Cronograma Asistente Técnico'!$I98=""),"",'Cronograma Asistente Técnico'!$I98)</f>
        <v/>
      </c>
      <c r="J98" s="20">
        <f>IF(OR('Cronograma Asistente Técnico'!$A98="",'Cronograma Asistente Técnico'!$J98=""),"",'Cronograma Asistente Técnico'!$J98)</f>
        <v/>
      </c>
      <c r="K98" s="20">
        <f>IF('Cronograma Asistente Técnico'!$A98="","",'Cronograma Asistente Técnico'!$K98)</f>
        <v/>
      </c>
      <c r="L98" s="22">
        <f>IF('Cronograma Asistente Técnico'!$A98="","",IF(N('Cronograma Asistente Técnico'!$K98)&gt;=1,"Completado",IF(AND(ISNUMBER('Cronograma Asistente Técnico'!$E98),'Cronograma Asistente Técnico'!$E98&lt;FechaRef),"Vencida",IF(N('Cronograma Asistente Técnico'!$K98)&gt;0,"En curso","Pendiente"))))</f>
        <v/>
      </c>
      <c r="M98" s="41">
        <f>IF('Cronograma Asistente Técnico'!$A98="","",'Cronograma Asistente Técnico'!$M98&amp;"")</f>
        <v/>
      </c>
    </row>
    <row r="99">
      <c r="A99" s="22">
        <f>IF('Cronograma Asistente Técnico'!$A99="","",'Cronograma Asistente Técnico'!$A99)</f>
        <v/>
      </c>
      <c r="B99" s="41">
        <f>IF('Cronograma Asistente Técnico'!$A99="","",'Cronograma Asistente Técnico'!$B99&amp;"")</f>
        <v/>
      </c>
      <c r="C99" s="41">
        <f>IF('Cronograma Asistente Técnico'!$A99="","",'Cronograma Asistente Técnico'!$C99&amp;"")</f>
        <v/>
      </c>
      <c r="D99" s="63">
        <f>IF(OR('Cronograma Asistente Técnico'!$A99="",'Cronograma Asistente Técnico'!$D99=""),"",'Cronograma Asistente Técnico'!$D99)</f>
        <v/>
      </c>
      <c r="E99" s="63">
        <f>IF(OR('Cronograma Asistente Técnico'!$A99="",'Cronograma Asistente Técnico'!$E99=""),"",'Cronograma Asistente Técnico'!$E99)</f>
        <v/>
      </c>
      <c r="F99" s="22">
        <f>IF(OR('Cronograma Asistente Técnico'!$A99="",NOT(ISNUMBER('Cronograma Asistente Técnico'!$E99))),"",IF('Cronograma Asistente Técnico'!$E99&lt;InicioCiclo,"Antes del ciclo",IF('Cronograma Asistente Técnico'!$E99&gt;=InicioCiclo+28,"Después del ciclo","Semana "&amp;(INT(('Cronograma Asistente Técnico'!$E99-InicioCiclo)/7)+1))))</f>
        <v/>
      </c>
      <c r="G99" s="20">
        <f>IF(OR('Cronograma Asistente Técnico'!$A99="",'Cronograma Asistente Técnico'!$G99=""),"",'Cronograma Asistente Técnico'!$G99)</f>
        <v/>
      </c>
      <c r="H99" s="20">
        <f>IF(OR('Cronograma Asistente Técnico'!$A99="",'Cronograma Asistente Técnico'!$H99=""),"",'Cronograma Asistente Técnico'!$H99)</f>
        <v/>
      </c>
      <c r="I99" s="20">
        <f>IF(OR('Cronograma Asistente Técnico'!$A99="",'Cronograma Asistente Técnico'!$I99=""),"",'Cronograma Asistente Técnico'!$I99)</f>
        <v/>
      </c>
      <c r="J99" s="20">
        <f>IF(OR('Cronograma Asistente Técnico'!$A99="",'Cronograma Asistente Técnico'!$J99=""),"",'Cronograma Asistente Técnico'!$J99)</f>
        <v/>
      </c>
      <c r="K99" s="20">
        <f>IF('Cronograma Asistente Técnico'!$A99="","",'Cronograma Asistente Técnico'!$K99)</f>
        <v/>
      </c>
      <c r="L99" s="22">
        <f>IF('Cronograma Asistente Técnico'!$A99="","",IF(N('Cronograma Asistente Técnico'!$K99)&gt;=1,"Completado",IF(AND(ISNUMBER('Cronograma Asistente Técnico'!$E99),'Cronograma Asistente Técnico'!$E99&lt;FechaRef),"Vencida",IF(N('Cronograma Asistente Técnico'!$K99)&gt;0,"En curso","Pendiente"))))</f>
        <v/>
      </c>
      <c r="M99" s="41">
        <f>IF('Cronograma Asistente Técnico'!$A99="","",'Cronograma Asistente Técnico'!$M99&amp;"")</f>
        <v/>
      </c>
    </row>
    <row r="100">
      <c r="A100" s="22">
        <f>IF('Cronograma Asistente Técnico'!$A100="","",'Cronograma Asistente Técnico'!$A100)</f>
        <v/>
      </c>
      <c r="B100" s="41">
        <f>IF('Cronograma Asistente Técnico'!$A100="","",'Cronograma Asistente Técnico'!$B100&amp;"")</f>
        <v/>
      </c>
      <c r="C100" s="41">
        <f>IF('Cronograma Asistente Técnico'!$A100="","",'Cronograma Asistente Técnico'!$C100&amp;"")</f>
        <v/>
      </c>
      <c r="D100" s="63">
        <f>IF(OR('Cronograma Asistente Técnico'!$A100="",'Cronograma Asistente Técnico'!$D100=""),"",'Cronograma Asistente Técnico'!$D100)</f>
        <v/>
      </c>
      <c r="E100" s="63">
        <f>IF(OR('Cronograma Asistente Técnico'!$A100="",'Cronograma Asistente Técnico'!$E100=""),"",'Cronograma Asistente Técnico'!$E100)</f>
        <v/>
      </c>
      <c r="F100" s="22">
        <f>IF(OR('Cronograma Asistente Técnico'!$A100="",NOT(ISNUMBER('Cronograma Asistente Técnico'!$E100))),"",IF('Cronograma Asistente Técnico'!$E100&lt;InicioCiclo,"Antes del ciclo",IF('Cronograma Asistente Técnico'!$E100&gt;=InicioCiclo+28,"Después del ciclo","Semana "&amp;(INT(('Cronograma Asistente Técnico'!$E100-InicioCiclo)/7)+1))))</f>
        <v/>
      </c>
      <c r="G100" s="20">
        <f>IF(OR('Cronograma Asistente Técnico'!$A100="",'Cronograma Asistente Técnico'!$G100=""),"",'Cronograma Asistente Técnico'!$G100)</f>
        <v/>
      </c>
      <c r="H100" s="20">
        <f>IF(OR('Cronograma Asistente Técnico'!$A100="",'Cronograma Asistente Técnico'!$H100=""),"",'Cronograma Asistente Técnico'!$H100)</f>
        <v/>
      </c>
      <c r="I100" s="20">
        <f>IF(OR('Cronograma Asistente Técnico'!$A100="",'Cronograma Asistente Técnico'!$I100=""),"",'Cronograma Asistente Técnico'!$I100)</f>
        <v/>
      </c>
      <c r="J100" s="20">
        <f>IF(OR('Cronograma Asistente Técnico'!$A100="",'Cronograma Asistente Técnico'!$J100=""),"",'Cronograma Asistente Técnico'!$J100)</f>
        <v/>
      </c>
      <c r="K100" s="20">
        <f>IF('Cronograma Asistente Técnico'!$A100="","",'Cronograma Asistente Técnico'!$K100)</f>
        <v/>
      </c>
      <c r="L100" s="22">
        <f>IF('Cronograma Asistente Técnico'!$A100="","",IF(N('Cronograma Asistente Técnico'!$K100)&gt;=1,"Completado",IF(AND(ISNUMBER('Cronograma Asistente Técnico'!$E100),'Cronograma Asistente Técnico'!$E100&lt;FechaRef),"Vencida",IF(N('Cronograma Asistente Técnico'!$K100)&gt;0,"En curso","Pendiente"))))</f>
        <v/>
      </c>
      <c r="M100" s="41">
        <f>IF('Cronograma Asistente Técnico'!$A100="","",'Cronograma Asistente Técnico'!$M100&amp;"")</f>
        <v/>
      </c>
    </row>
    <row r="101">
      <c r="A101" s="22">
        <f>IF('Cronograma Asistente Técnico'!$A101="","",'Cronograma Asistente Técnico'!$A101)</f>
        <v/>
      </c>
      <c r="B101" s="41">
        <f>IF('Cronograma Asistente Técnico'!$A101="","",'Cronograma Asistente Técnico'!$B101&amp;"")</f>
        <v/>
      </c>
      <c r="C101" s="41">
        <f>IF('Cronograma Asistente Técnico'!$A101="","",'Cronograma Asistente Técnico'!$C101&amp;"")</f>
        <v/>
      </c>
      <c r="D101" s="63">
        <f>IF(OR('Cronograma Asistente Técnico'!$A101="",'Cronograma Asistente Técnico'!$D101=""),"",'Cronograma Asistente Técnico'!$D101)</f>
        <v/>
      </c>
      <c r="E101" s="63">
        <f>IF(OR('Cronograma Asistente Técnico'!$A101="",'Cronograma Asistente Técnico'!$E101=""),"",'Cronograma Asistente Técnico'!$E101)</f>
        <v/>
      </c>
      <c r="F101" s="22">
        <f>IF(OR('Cronograma Asistente Técnico'!$A101="",NOT(ISNUMBER('Cronograma Asistente Técnico'!$E101))),"",IF('Cronograma Asistente Técnico'!$E101&lt;InicioCiclo,"Antes del ciclo",IF('Cronograma Asistente Técnico'!$E101&gt;=InicioCiclo+28,"Después del ciclo","Semana "&amp;(INT(('Cronograma Asistente Técnico'!$E101-InicioCiclo)/7)+1))))</f>
        <v/>
      </c>
      <c r="G101" s="20">
        <f>IF(OR('Cronograma Asistente Técnico'!$A101="",'Cronograma Asistente Técnico'!$G101=""),"",'Cronograma Asistente Técnico'!$G101)</f>
        <v/>
      </c>
      <c r="H101" s="20">
        <f>IF(OR('Cronograma Asistente Técnico'!$A101="",'Cronograma Asistente Técnico'!$H101=""),"",'Cronograma Asistente Técnico'!$H101)</f>
        <v/>
      </c>
      <c r="I101" s="20">
        <f>IF(OR('Cronograma Asistente Técnico'!$A101="",'Cronograma Asistente Técnico'!$I101=""),"",'Cronograma Asistente Técnico'!$I101)</f>
        <v/>
      </c>
      <c r="J101" s="20">
        <f>IF(OR('Cronograma Asistente Técnico'!$A101="",'Cronograma Asistente Técnico'!$J101=""),"",'Cronograma Asistente Técnico'!$J101)</f>
        <v/>
      </c>
      <c r="K101" s="20">
        <f>IF('Cronograma Asistente Técnico'!$A101="","",'Cronograma Asistente Técnico'!$K101)</f>
        <v/>
      </c>
      <c r="L101" s="22">
        <f>IF('Cronograma Asistente Técnico'!$A101="","",IF(N('Cronograma Asistente Técnico'!$K101)&gt;=1,"Completado",IF(AND(ISNUMBER('Cronograma Asistente Técnico'!$E101),'Cronograma Asistente Técnico'!$E101&lt;FechaRef),"Vencida",IF(N('Cronograma Asistente Técnico'!$K101)&gt;0,"En curso","Pendiente"))))</f>
        <v/>
      </c>
      <c r="M101" s="41">
        <f>IF('Cronograma Asistente Técnico'!$A101="","",'Cronograma Asistente Técnico'!$M101&amp;"")</f>
        <v/>
      </c>
    </row>
    <row r="102">
      <c r="A102" s="22">
        <f>IF('Cronograma Asistente Técnico'!$A102="","",'Cronograma Asistente Técnico'!$A102)</f>
        <v/>
      </c>
      <c r="B102" s="41">
        <f>IF('Cronograma Asistente Técnico'!$A102="","",'Cronograma Asistente Técnico'!$B102&amp;"")</f>
        <v/>
      </c>
      <c r="C102" s="41">
        <f>IF('Cronograma Asistente Técnico'!$A102="","",'Cronograma Asistente Técnico'!$C102&amp;"")</f>
        <v/>
      </c>
      <c r="D102" s="63">
        <f>IF(OR('Cronograma Asistente Técnico'!$A102="",'Cronograma Asistente Técnico'!$D102=""),"",'Cronograma Asistente Técnico'!$D102)</f>
        <v/>
      </c>
      <c r="E102" s="63">
        <f>IF(OR('Cronograma Asistente Técnico'!$A102="",'Cronograma Asistente Técnico'!$E102=""),"",'Cronograma Asistente Técnico'!$E102)</f>
        <v/>
      </c>
      <c r="F102" s="22">
        <f>IF(OR('Cronograma Asistente Técnico'!$A102="",NOT(ISNUMBER('Cronograma Asistente Técnico'!$E102))),"",IF('Cronograma Asistente Técnico'!$E102&lt;InicioCiclo,"Antes del ciclo",IF('Cronograma Asistente Técnico'!$E102&gt;=InicioCiclo+28,"Después del ciclo","Semana "&amp;(INT(('Cronograma Asistente Técnico'!$E102-InicioCiclo)/7)+1))))</f>
        <v/>
      </c>
      <c r="G102" s="20">
        <f>IF(OR('Cronograma Asistente Técnico'!$A102="",'Cronograma Asistente Técnico'!$G102=""),"",'Cronograma Asistente Técnico'!$G102)</f>
        <v/>
      </c>
      <c r="H102" s="20">
        <f>IF(OR('Cronograma Asistente Técnico'!$A102="",'Cronograma Asistente Técnico'!$H102=""),"",'Cronograma Asistente Técnico'!$H102)</f>
        <v/>
      </c>
      <c r="I102" s="20">
        <f>IF(OR('Cronograma Asistente Técnico'!$A102="",'Cronograma Asistente Técnico'!$I102=""),"",'Cronograma Asistente Técnico'!$I102)</f>
        <v/>
      </c>
      <c r="J102" s="20">
        <f>IF(OR('Cronograma Asistente Técnico'!$A102="",'Cronograma Asistente Técnico'!$J102=""),"",'Cronograma Asistente Técnico'!$J102)</f>
        <v/>
      </c>
      <c r="K102" s="20">
        <f>IF('Cronograma Asistente Técnico'!$A102="","",'Cronograma Asistente Técnico'!$K102)</f>
        <v/>
      </c>
      <c r="L102" s="22">
        <f>IF('Cronograma Asistente Técnico'!$A102="","",IF(N('Cronograma Asistente Técnico'!$K102)&gt;=1,"Completado",IF(AND(ISNUMBER('Cronograma Asistente Técnico'!$E102),'Cronograma Asistente Técnico'!$E102&lt;FechaRef),"Vencida",IF(N('Cronograma Asistente Técnico'!$K102)&gt;0,"En curso","Pendiente"))))</f>
        <v/>
      </c>
      <c r="M102" s="41">
        <f>IF('Cronograma Asistente Técnico'!$A102="","",'Cronograma Asistente Técnico'!$M102&amp;"")</f>
        <v/>
      </c>
    </row>
    <row r="103">
      <c r="A103" s="22">
        <f>IF('Cronograma Asistente Técnico'!$A103="","",'Cronograma Asistente Técnico'!$A103)</f>
        <v/>
      </c>
      <c r="B103" s="41">
        <f>IF('Cronograma Asistente Técnico'!$A103="","",'Cronograma Asistente Técnico'!$B103&amp;"")</f>
        <v/>
      </c>
      <c r="C103" s="41">
        <f>IF('Cronograma Asistente Técnico'!$A103="","",'Cronograma Asistente Técnico'!$C103&amp;"")</f>
        <v/>
      </c>
      <c r="D103" s="63">
        <f>IF(OR('Cronograma Asistente Técnico'!$A103="",'Cronograma Asistente Técnico'!$D103=""),"",'Cronograma Asistente Técnico'!$D103)</f>
        <v/>
      </c>
      <c r="E103" s="63">
        <f>IF(OR('Cronograma Asistente Técnico'!$A103="",'Cronograma Asistente Técnico'!$E103=""),"",'Cronograma Asistente Técnico'!$E103)</f>
        <v/>
      </c>
      <c r="F103" s="22">
        <f>IF(OR('Cronograma Asistente Técnico'!$A103="",NOT(ISNUMBER('Cronograma Asistente Técnico'!$E103))),"",IF('Cronograma Asistente Técnico'!$E103&lt;InicioCiclo,"Antes del ciclo",IF('Cronograma Asistente Técnico'!$E103&gt;=InicioCiclo+28,"Después del ciclo","Semana "&amp;(INT(('Cronograma Asistente Técnico'!$E103-InicioCiclo)/7)+1))))</f>
        <v/>
      </c>
      <c r="G103" s="20">
        <f>IF(OR('Cronograma Asistente Técnico'!$A103="",'Cronograma Asistente Técnico'!$G103=""),"",'Cronograma Asistente Técnico'!$G103)</f>
        <v/>
      </c>
      <c r="H103" s="20">
        <f>IF(OR('Cronograma Asistente Técnico'!$A103="",'Cronograma Asistente Técnico'!$H103=""),"",'Cronograma Asistente Técnico'!$H103)</f>
        <v/>
      </c>
      <c r="I103" s="20">
        <f>IF(OR('Cronograma Asistente Técnico'!$A103="",'Cronograma Asistente Técnico'!$I103=""),"",'Cronograma Asistente Técnico'!$I103)</f>
        <v/>
      </c>
      <c r="J103" s="20">
        <f>IF(OR('Cronograma Asistente Técnico'!$A103="",'Cronograma Asistente Técnico'!$J103=""),"",'Cronograma Asistente Técnico'!$J103)</f>
        <v/>
      </c>
      <c r="K103" s="20">
        <f>IF('Cronograma Asistente Técnico'!$A103="","",'Cronograma Asistente Técnico'!$K103)</f>
        <v/>
      </c>
      <c r="L103" s="22">
        <f>IF('Cronograma Asistente Técnico'!$A103="","",IF(N('Cronograma Asistente Técnico'!$K103)&gt;=1,"Completado",IF(AND(ISNUMBER('Cronograma Asistente Técnico'!$E103),'Cronograma Asistente Técnico'!$E103&lt;FechaRef),"Vencida",IF(N('Cronograma Asistente Técnico'!$K103)&gt;0,"En curso","Pendiente"))))</f>
        <v/>
      </c>
      <c r="M103" s="41">
        <f>IF('Cronograma Asistente Técnico'!$A103="","",'Cronograma Asistente Técnico'!$M103&amp;"")</f>
        <v/>
      </c>
    </row>
    <row r="104">
      <c r="A104" s="22">
        <f>IF('Cronograma Asistente Técnico'!$A104="","",'Cronograma Asistente Técnico'!$A104)</f>
        <v/>
      </c>
      <c r="B104" s="41">
        <f>IF('Cronograma Asistente Técnico'!$A104="","",'Cronograma Asistente Técnico'!$B104&amp;"")</f>
        <v/>
      </c>
      <c r="C104" s="41">
        <f>IF('Cronograma Asistente Técnico'!$A104="","",'Cronograma Asistente Técnico'!$C104&amp;"")</f>
        <v/>
      </c>
      <c r="D104" s="63">
        <f>IF(OR('Cronograma Asistente Técnico'!$A104="",'Cronograma Asistente Técnico'!$D104=""),"",'Cronograma Asistente Técnico'!$D104)</f>
        <v/>
      </c>
      <c r="E104" s="63">
        <f>IF(OR('Cronograma Asistente Técnico'!$A104="",'Cronograma Asistente Técnico'!$E104=""),"",'Cronograma Asistente Técnico'!$E104)</f>
        <v/>
      </c>
      <c r="F104" s="22">
        <f>IF(OR('Cronograma Asistente Técnico'!$A104="",NOT(ISNUMBER('Cronograma Asistente Técnico'!$E104))),"",IF('Cronograma Asistente Técnico'!$E104&lt;InicioCiclo,"Antes del ciclo",IF('Cronograma Asistente Técnico'!$E104&gt;=InicioCiclo+28,"Después del ciclo","Semana "&amp;(INT(('Cronograma Asistente Técnico'!$E104-InicioCiclo)/7)+1))))</f>
        <v/>
      </c>
      <c r="G104" s="20">
        <f>IF(OR('Cronograma Asistente Técnico'!$A104="",'Cronograma Asistente Técnico'!$G104=""),"",'Cronograma Asistente Técnico'!$G104)</f>
        <v/>
      </c>
      <c r="H104" s="20">
        <f>IF(OR('Cronograma Asistente Técnico'!$A104="",'Cronograma Asistente Técnico'!$H104=""),"",'Cronograma Asistente Técnico'!$H104)</f>
        <v/>
      </c>
      <c r="I104" s="20">
        <f>IF(OR('Cronograma Asistente Técnico'!$A104="",'Cronograma Asistente Técnico'!$I104=""),"",'Cronograma Asistente Técnico'!$I104)</f>
        <v/>
      </c>
      <c r="J104" s="20">
        <f>IF(OR('Cronograma Asistente Técnico'!$A104="",'Cronograma Asistente Técnico'!$J104=""),"",'Cronograma Asistente Técnico'!$J104)</f>
        <v/>
      </c>
      <c r="K104" s="20">
        <f>IF('Cronograma Asistente Técnico'!$A104="","",'Cronograma Asistente Técnico'!$K104)</f>
        <v/>
      </c>
      <c r="L104" s="22">
        <f>IF('Cronograma Asistente Técnico'!$A104="","",IF(N('Cronograma Asistente Técnico'!$K104)&gt;=1,"Completado",IF(AND(ISNUMBER('Cronograma Asistente Técnico'!$E104),'Cronograma Asistente Técnico'!$E104&lt;FechaRef),"Vencida",IF(N('Cronograma Asistente Técnico'!$K104)&gt;0,"En curso","Pendiente"))))</f>
        <v/>
      </c>
      <c r="M104" s="41">
        <f>IF('Cronograma Asistente Técnico'!$A104="","",'Cronograma Asistente Técnico'!$M104&amp;"")</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G5:J104">
    <cfRule type="expression" priority="1" dxfId="6" stopIfTrue="1">
      <formula>AND(AND(ISNUMBER($D5),ISNUMBER($E5),$D5&lt;=InicioCiclo+7*(COLUMN(G5)-7)+6,$E5&gt;=InicioCiclo+7*(COLUMN(G5)-7)),$L5="Vencida")</formula>
    </cfRule>
    <cfRule type="expression" priority="2" dxfId="12">
      <formula>AND(ISNUMBER($D5),ISNUMBER($E5),$D5&lt;=InicioCiclo+7*(COLUMN(G5)-7)+6,$E5&gt;=InicioCiclo+7*(COLUMN(G5)-7))</formula>
    </cfRule>
  </conditionalFormatting>
  <conditionalFormatting sqref="L5:L104">
    <cfRule type="expression" priority="3" dxfId="0">
      <formula>$L5="Completado"</formula>
    </cfRule>
    <cfRule type="expression" priority="4" dxfId="6">
      <formula>$L5="Vencida"</formula>
    </cfRule>
    <cfRule type="expression" priority="5" dxfId="4">
      <formula>$L5="En curso"</formula>
    </cfRule>
    <cfRule type="expression" priority="6" dxfId="5">
      <formula>$L5="Pendiente"</formula>
    </cfRule>
  </conditionalFormatting>
  <conditionalFormatting sqref="F5:F104">
    <cfRule type="expression" priority="7" dxfId="1">
      <formula>$F5="Semana "&amp;SemanaActual</formula>
    </cfRule>
  </conditionalFormatting>
  <conditionalFormatting sqref="K5:K104">
    <cfRule type="dataBar" priority="8">
      <dataBar showValue="1">
        <cfvo type="num" val="0"/>
        <cfvo type="num" val="1"/>
        <color rgb="005B9BD5"/>
      </dataBar>
    </cfRule>
  </conditionalFormatting>
  <conditionalFormatting sqref="G4:J4">
    <cfRule type="expression" priority="9" dxfId="1">
      <formula>COLUMN(G4)-6=SemanaActual</formula>
    </cfRule>
  </conditionalFormatting>
  <conditionalFormatting sqref="G3:J3">
    <cfRule type="expression" priority="10" dxfId="1">
      <formula>COLUMN(G3)-6=SemanaActual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fitToPage="1"/>
  </sheetPr>
  <dimension ref="B1:B62"/>
  <sheetViews>
    <sheetView showGridLines="0" zoomScale="90" workbookViewId="0">
      <selection activeCell="A1" sqref="A1"/>
    </sheetView>
  </sheetViews>
  <sheetFormatPr baseColWidth="8" defaultRowHeight="15"/>
  <cols>
    <col width="3" customWidth="1" min="1" max="1"/>
    <col width="120" customWidth="1" min="2" max="2"/>
  </cols>
  <sheetData>
    <row r="1" ht="28" customHeight="1">
      <c r="B1" s="70" t="inlineStr">
        <is>
          <t>Instrucciones – cómo usar este archivo</t>
        </is>
      </c>
    </row>
    <row r="3" ht="20" customHeight="1">
      <c r="B3" s="71" t="inlineStr">
        <is>
          <t>¿Para qué sirve este archivo?</t>
        </is>
      </c>
    </row>
    <row r="4" ht="45" customHeight="1">
      <c r="B4" s="72" t="inlineStr">
        <is>
          <t>Sirve para planificar y dar seguimiento, cada mes, al trabajo de los cuatro puestos del área: Riesgo Operacional, Riesgo Normativo, Riesgo Financiero y Asistente Técnico de Riesgo. Cada mes se divide en 4 semanas y la meta es llegar al 100% al terminar la Semana 4.</t>
        </is>
      </c>
    </row>
    <row r="6" ht="20" customHeight="1">
      <c r="B6" s="71" t="inlineStr">
        <is>
          <t>Las hojas del archivo</t>
        </is>
      </c>
    </row>
    <row r="7" ht="15" customHeight="1">
      <c r="B7" s="72" t="inlineStr">
        <is>
          <t>• Dashboard - Consolidado: el resumen de todo. NO se llena: se actualiza solo.</t>
        </is>
      </c>
    </row>
    <row r="8" ht="30" customHeight="1">
      <c r="B8" s="72" t="inlineStr">
        <is>
          <t>• Cronograma (una por puesto, con el color del puesto): aquí cada responsable anota sus actividades principales del mes, su peso y su avance de cada semana.</t>
        </is>
      </c>
    </row>
    <row r="9" ht="30" customHeight="1">
      <c r="B9" s="72" t="inlineStr">
        <is>
          <t>• Actividades (una por puesto, al lado de su cronograma): se llena SOLA con lo que se escribe en el Cronograma. Muestra cada actividad en su semana, como una línea de tiempo. No se escribe nada en ella.</t>
        </is>
      </c>
    </row>
    <row r="10" ht="30" customHeight="1">
      <c r="B10" s="72" t="inlineStr">
        <is>
          <t>• Configuración: el mes, la semana y la fecha de corte. Se calculan SOLOS con la fecha de hoy; normalmente no hay que tocar nada.</t>
        </is>
      </c>
    </row>
    <row r="11" ht="30" customHeight="1">
      <c r="B11" s="72" t="inlineStr">
        <is>
          <t>• Colores de las celdas: AMARILLO = usted escribe aquí. GRIS = se calcula solo (está protegido). Cada puesto tiene su propio color: azul (Operacional), morado (Normativo), verde (Financiero) y naranja (Asistente Técnico).</t>
        </is>
      </c>
    </row>
    <row r="13" ht="20" customHeight="1">
      <c r="B13" s="71" t="inlineStr">
        <is>
          <t>Cómo llenar su hoja «Cronograma» (paso a paso)</t>
        </is>
      </c>
    </row>
    <row r="14" ht="15" customHeight="1">
      <c r="B14" s="72" t="inlineStr">
        <is>
          <t>1) Abra la pestaña «Cronograma» de SU puesto.</t>
        </is>
      </c>
    </row>
    <row r="15" ht="30" customHeight="1">
      <c r="B15" s="72" t="inlineStr">
        <is>
          <t>2) En una fila nueva escriba: nombre de la actividad (Macro Actividad), Responsable, Fecha de inicio y Fecha límite. El N° (1, 2, 3…) se llena solo.</t>
        </is>
      </c>
    </row>
    <row r="16" ht="30" customHeight="1">
      <c r="B16" s="72" t="inlineStr">
        <is>
          <t>3) Peso (%): qué tanto vale esa actividad dentro de su puesto. Todas las actividades de su hoja deben sumar 100%. Ejemplo: Actividad 1 = 40%, Actividad 2 = 35%, Actividad 3 = 25%. Arriba de la tabla verá si ya suman 100%.</t>
        </is>
      </c>
    </row>
    <row r="17" ht="45" customHeight="1">
      <c r="B17" s="72" t="inlineStr">
        <is>
          <t>4) Cada viernes escriba en la columna de esa semana el avance TOTAL logrado hasta ese día (no lo que avanzó solo esa semana). Ejemplo: Semana 1 = 20%, Semana 2 = 45%, Semana 3 = 75%, Semana 4 = 100%. Deje en blanco las semanas que aún no llegan.</t>
        </is>
      </c>
    </row>
    <row r="18" ht="15" customHeight="1">
      <c r="B18" s="72" t="inlineStr">
        <is>
          <t>5) El «% de Avance Total Actual» y el «Estado» (Pendiente, En curso, Completado) se calculan solos.</t>
        </is>
      </c>
    </row>
    <row r="19" ht="30" customHeight="1">
      <c r="B19" s="72" t="inlineStr">
        <is>
          <t>6) Observaciones: si una actividad se atrasa o no se cumplió, escriba aquí el motivo y la nueva fecha. Si una actividad vence sin cumplirse y no tiene observación, el archivo se lo recordará.</t>
        </is>
      </c>
    </row>
    <row r="21" ht="20" customHeight="1">
      <c r="B21" s="71" t="inlineStr">
        <is>
          <t>¿Qué es la columna «Revisión automática (alertas)»?</t>
        </is>
      </c>
    </row>
    <row r="22" ht="60" customHeight="1">
      <c r="B22" s="72" t="inlineStr">
        <is>
          <t>Es un revisor automático: el archivo revisa cada fila y le avisa si algo falta o está mal. «✔ OK» significa que todo está bien. «⚠» significa que hay algo que corregir y le dice qué es, por ejemplo: «Sin responsable», «Sin fecha límite», «Pesos del puesto suman 90%», «Avance semanal decreciente» (escribió un % menor que la semana anterior) o «Vencida» (pasó la fecha límite y no llegó al 100%).</t>
        </is>
      </c>
    </row>
    <row r="23" ht="15" customHeight="1">
      <c r="B23" s="72" t="inlineStr">
        <is>
          <t>No hay que escribir nada en esa columna. Solo corrija lo que indica y el aviso desaparece.</t>
        </is>
      </c>
    </row>
    <row r="25" ht="20" customHeight="1">
      <c r="B25" s="71" t="inlineStr">
        <is>
          <t>La hoja «Actividades» (automática)</t>
        </is>
      </c>
    </row>
    <row r="26" ht="15" customHeight="1">
      <c r="B26" s="72" t="inlineStr">
        <is>
          <t>1) No hay que llenarla: copia sola las actividades del Cronograma del mismo puesto, en el mismo orden.</t>
        </is>
      </c>
    </row>
    <row r="27" ht="30" customHeight="1">
      <c r="B27" s="72" t="inlineStr">
        <is>
          <t>2) «Semana de entrega» indica en qué semana del mes cae la fecha límite de cada actividad (la semana actual se resalta en amarillo).</t>
        </is>
      </c>
    </row>
    <row r="28" ht="45" customHeight="1">
      <c r="B28" s="72" t="inlineStr">
        <is>
          <t>3) Las columnas Semana 1 a 4 muestran una barra del color del puesto en las semanas en que la actividad está programada (de la fecha de inicio a la fecha límite) y, dentro, el avance anotado esa semana. Si la actividad está vencida, la barra se pone naranja.</t>
        </is>
      </c>
    </row>
    <row r="29" ht="30" customHeight="1">
      <c r="B29" s="72" t="inlineStr">
        <is>
          <t>4) Estado: «Completado» (100%), «Vencida» (pasó la fecha límite sin llegar al 100%), «En curso» o «Pendiente». Las observaciones también se copian del Cronograma.</t>
        </is>
      </c>
    </row>
    <row r="30" ht="15" customHeight="1">
      <c r="B30" s="72" t="inlineStr">
        <is>
          <t>5) Para cambiar algo, corríjalo en el Cronograma: esta hoja se actualiza al instante.</t>
        </is>
      </c>
    </row>
    <row r="32" ht="20" customHeight="1">
      <c r="B32" s="71" t="inlineStr">
        <is>
          <t>El Dashboard (resumen automático)</t>
        </is>
      </c>
    </row>
    <row r="33" ht="30" customHeight="1">
      <c r="B33" s="72" t="inlineStr">
        <is>
          <t>• Muestra el avance de cada puesto y del área, cuántas actividades están completadas, en curso, pendientes o vencidas, y el avance de cada semana.</t>
        </is>
      </c>
    </row>
    <row r="34" ht="30" customHeight="1">
      <c r="B34" s="72" t="inlineStr">
        <is>
          <t>• Avance del puesto = suma de (peso × avance) de sus actividades. Avance del área = promedio de los 4 puestos (todos valen igual).</t>
        </is>
      </c>
    </row>
    <row r="35" ht="30" customHeight="1">
      <c r="B35" s="72" t="inlineStr">
        <is>
          <t>• Si un puesto llega al 100% antes de la Semana 4 aparece «¡Enhorabuena, completado anticipadamente!». Si llega en la Semana 4: «Completado».</t>
        </is>
      </c>
    </row>
    <row r="36" ht="30" customHeight="1">
      <c r="B36" s="72" t="inlineStr">
        <is>
          <t>• Si un puesto no tiene actividades o sus pesos no suman 100%, el avance del área aparece como «No definitivo» hasta que se corrija.</t>
        </is>
      </c>
    </row>
    <row r="37" ht="15" customHeight="1">
      <c r="B37" s="72" t="inlineStr">
        <is>
          <t>• Haga clic en el nombre de un puesto para ir a su hoja.</t>
        </is>
      </c>
    </row>
    <row r="39" ht="20" customHeight="1">
      <c r="B39" s="71" t="inlineStr">
        <is>
          <t>Cada mes: cómo empezar un mes nuevo</t>
        </is>
      </c>
    </row>
    <row r="40" ht="30" customHeight="1">
      <c r="B40" s="72" t="inlineStr">
        <is>
          <t>1) Al terminar el mes, guarde una copia del archivo con el nombre del mes (Archivo &gt; Guardar una copia, ej. «Cronograma Riesgos – Octubre 2026»). Esa copia queda como histórico.</t>
        </is>
      </c>
    </row>
    <row r="41" ht="45" customHeight="1">
      <c r="B41" s="72" t="inlineStr">
        <is>
          <t>2) En el archivo de trabajo borre lo de las celdas amarillas del Cronograma que no se repite: avances semanales, fechas y observaciones (puede dejar las actividades que se repiten cada mes). Seleccione las celdas y presione Suprimir. Las hojas «Actividades» se limpian solas.</t>
        </is>
      </c>
    </row>
    <row r="42" ht="30" customHeight="1">
      <c r="B42" s="72" t="inlineStr">
        <is>
          <t>3) Listo: el mes, la fecha de inicio (primer lunes del mes), la semana actual y las semanas de cada actividad se actualizan solos con la fecha de hoy.</t>
        </is>
      </c>
    </row>
    <row r="43" ht="30" customHeight="1">
      <c r="B43" s="72" t="inlineStr">
        <is>
          <t>4) Si necesita preparar o revisar otro mes, en Configuración escriba cualquier fecha de ese mes en «Mes del ciclo». Para volver al modo automático, borre lo escrito y vuelva a escribir =FECHA(AÑO(HOY());MES(HOY());1).</t>
        </is>
      </c>
    </row>
    <row r="45" ht="20" customHeight="1">
      <c r="B45" s="71" t="inlineStr">
        <is>
          <t>Compartir el archivo con el equipo</t>
        </is>
      </c>
    </row>
    <row r="46" ht="15" customHeight="1">
      <c r="B46" s="72" t="inlineStr">
        <is>
          <t>1) Suba el archivo a OneDrive o SharePoint del área.</t>
        </is>
      </c>
    </row>
    <row r="47" ht="30" customHeight="1">
      <c r="B47" s="72" t="inlineStr">
        <is>
          <t>2) Botón Compartir &gt; invite a los cuatro responsables con permiso de edición, y a la jefatura con permiso de solo lectura.</t>
        </is>
      </c>
    </row>
    <row r="48" ht="30" customHeight="1">
      <c r="B48" s="72" t="inlineStr">
        <is>
          <t>3) Todos pueden trabajar al mismo tiempo, cada quien en su hoja (Excel en la Web o Microsoft 365, con Autoguardado activado).</t>
        </is>
      </c>
    </row>
    <row r="49" ht="30" customHeight="1">
      <c r="B49" s="72" t="inlineStr">
        <is>
          <t>4) Si alguien borra algo por error: Archivo &gt; Información &gt; Historial de versiones permite recuperar una versión anterior y ver quién cambió qué.</t>
        </is>
      </c>
    </row>
    <row r="51" ht="20" customHeight="1">
      <c r="B51" s="71" t="inlineStr">
        <is>
          <t>Protección</t>
        </is>
      </c>
    </row>
    <row r="52" ht="30" customHeight="1">
      <c r="B52" s="72" t="inlineStr">
        <is>
          <t>Las celdas grises (fórmulas) están protegidas para que nadie las borre por accidente; las amarillas se pueden editar. Las hojas están protegidas sin contraseña.</t>
        </is>
      </c>
    </row>
    <row r="53" ht="30" customHeight="1">
      <c r="B53" s="72" t="inlineStr">
        <is>
          <t>Para poner contraseña: Revisar &gt; Desproteger hoja y luego Revisar &gt; Proteger hoja; marque «Seleccionar celdas desbloqueadas», «Usar Autofiltro» y «Ordenar», y escriba la contraseña.</t>
        </is>
      </c>
    </row>
    <row r="54" ht="60" customHeight="1">
      <c r="B54" s="72" t="inlineStr">
        <is>
          <t>Importante: separar por hojas ordena el trabajo, pero en un archivo compartido cualquier persona con permiso de edición podría escribir en la hoja de otro puesto. Si se necesita impedirlo por completo, se usan cuatro archivos (uno por puesto) y este archivo los une con Power Query (Datos &gt; Obtener datos &gt; Desde SharePoint/carpeta, una consulta por tabla tblAct_XX, con «Actualizar al abrir»).</t>
        </is>
      </c>
    </row>
    <row r="56" ht="20" customHeight="1">
      <c r="B56" s="71" t="inlineStr">
        <is>
          <t>Necesito más filas</t>
        </is>
      </c>
    </row>
    <row r="57" ht="45" customHeight="1">
      <c r="B57" s="72" t="inlineStr">
        <is>
          <t>Cada Cronograma trae 100 filas (y su hoja Actividades refleja esas 100). Si necesita más: Revisar &gt; Desproteger hoja, colóquese en la última celda de la tabla y presione Tab; las fórmulas se copian solas. Luego vuelva a proteger la hoja. Las filas nuevas después de la 100 se cuentan en el Dashboard, pero no aparecen en la hoja Actividades.</t>
        </is>
      </c>
    </row>
    <row r="59" ht="20" customHeight="1">
      <c r="B59" s="71" t="inlineStr">
        <is>
          <t>Notas técnicas</t>
        </is>
      </c>
    </row>
    <row r="60" ht="30" customHeight="1">
      <c r="B60" s="72" t="inlineStr">
        <is>
          <t>• Archivo .xlsx sin macros, para Microsoft 365 en español (escritorio y Web). Las fórmulas se ven en español (BUSCAR, SI.ERROR, SUMAPRODUCTO, HOY…).</t>
        </is>
      </c>
    </row>
    <row r="61" ht="15" customHeight="1">
      <c r="B61" s="72" t="inlineStr">
        <is>
          <t>• Fórmula del avance actual: =SI.ERROR(BUSCAR(2;1/(H5:K5&lt;&gt;"");H5:K5);0) → toma el último avance semanal escrito.</t>
        </is>
      </c>
    </row>
    <row r="62" ht="30" customHeight="1">
      <c r="B62" s="72" t="inlineStr">
        <is>
          <t>• Semana actual = ENTERO((fecha de corte − fecha de inicio) / 7) + 1, entre 1 y 4. Puede forzarse con «Semana manual» en Configuración.</t>
        </is>
      </c>
    </row>
  </sheetData>
  <sheetProtection selectLockedCells="0" selectUnlockedCells="0" sheet="1" objects="0" insertRows="1" insertHyperlinks="1" autoFilter="1" scenarios="0" formatColumns="1" deleteColumns="1" insertColumns="1" pivotTables="1" deleteRows="1" formatCells="1" formatRows="1" sort="1"/>
  <mergeCells count="1">
    <mergeCell ref="B1"/>
  </mergeCells>
  <pageMargins left="0.75" right="0.75" top="1" bottom="1" header="0.5" footer="0.5"/>
  <pageSetup orientation="portrait" fitToHeight="0" fitToWidth="1"/>
</worksheet>
</file>

<file path=xl/worksheets/sheet11.xml><?xml version="1.0" encoding="utf-8"?>
<worksheet xmlns="http://schemas.openxmlformats.org/spreadsheetml/2006/main">
  <sheetPr>
    <outlinePr summaryBelow="1" summaryRight="1"/>
    <pageSetUpPr fitToPage="1"/>
  </sheetPr>
  <dimension ref="B1:D52"/>
  <sheetViews>
    <sheetView showGridLines="0" zoomScale="90" workbookViewId="0">
      <pane ySplit="3" topLeftCell="A4" activePane="bottomLeft" state="frozen"/>
      <selection pane="bottomLeft" activeCell="A1" sqref="A1"/>
    </sheetView>
  </sheetViews>
  <sheetFormatPr baseColWidth="8" defaultRowHeight="15"/>
  <cols>
    <col width="3" customWidth="1" min="1" max="1"/>
    <col width="46" customWidth="1" min="2" max="2"/>
    <col width="18" customWidth="1" min="3" max="3"/>
    <col width="70" customWidth="1" min="4" max="4"/>
  </cols>
  <sheetData>
    <row r="1" ht="28" customHeight="1">
      <c r="B1" s="70" t="inlineStr">
        <is>
          <t>Configuración del ciclo mensual</t>
        </is>
      </c>
      <c r="C1" s="70" t="n"/>
      <c r="D1" s="70" t="n"/>
    </row>
    <row r="2">
      <c r="B2" s="73" t="inlineStr">
        <is>
          <t>Todo se calcula solo a partir de la fecha de hoy. Celdas amarillas = puede escribir encima si necesita fijar otro valor; celdas grises = automáticas.</t>
        </is>
      </c>
    </row>
    <row r="3">
      <c r="B3" s="7" t="inlineStr">
        <is>
          <t>Parámetro</t>
        </is>
      </c>
      <c r="C3" s="7" t="inlineStr">
        <is>
          <t>Valor</t>
        </is>
      </c>
      <c r="D3" s="7" t="inlineStr">
        <is>
          <t>Uso / nota</t>
        </is>
      </c>
    </row>
    <row r="4" ht="30" customHeight="1">
      <c r="B4" s="74" t="inlineStr">
        <is>
          <t>Mes del ciclo</t>
        </is>
      </c>
      <c r="C4" s="75">
        <f>DATE(YEAR(TODAY()),MONTH(TODAY()),1)</f>
        <v/>
      </c>
      <c r="D4" s="44" t="inlineStr">
        <is>
          <t>AUTOMÁTICO: mes actual. Para fijar un mes escriba cualquier fecha de ese mes (ej. 01/11/2026).</t>
        </is>
      </c>
    </row>
    <row r="5" ht="30" customHeight="1">
      <c r="B5" s="74" t="inlineStr">
        <is>
          <t>Fecha de inicio del ciclo (lunes de la Semana 1)</t>
        </is>
      </c>
      <c r="C5" s="76">
        <f>MesCiclo+MOD(2-WEEKDAY(MesCiclo),7)</f>
        <v/>
      </c>
      <c r="D5" s="44" t="inlineStr">
        <is>
          <t>AUTOMÁTICO: primer lunes del mes. Puede escribir otra fecha. Define en qué semana cae cada actividad en las hojas «Actividades».</t>
        </is>
      </c>
    </row>
    <row r="6" ht="30" customHeight="1">
      <c r="B6" s="74" t="inlineStr">
        <is>
          <t>Fecha de corte</t>
        </is>
      </c>
      <c r="C6" s="76">
        <f>TODAY()</f>
        <v/>
      </c>
      <c r="D6" s="44" t="inlineStr">
        <is>
          <t>AUTOMÁTICO: hoy. Puede escribir una fecha fija para emitir un reporte de corte. Determina actividades vencidas.</t>
        </is>
      </c>
    </row>
    <row r="7" ht="30" customHeight="1">
      <c r="B7" s="74" t="inlineStr">
        <is>
          <t>Semana actual del ciclo (1 a 4)</t>
        </is>
      </c>
      <c r="C7" s="77">
        <f>IF(SemanaManual&lt;&gt;"",SemanaManual,MIN(4,MAX(1,INT((FechaRef-InicioCiclo)/7)+1)))</f>
        <v/>
      </c>
      <c r="D7" s="44" t="inlineStr">
        <is>
          <t>AUTOMÁTICA: se calcula con la fecha de inicio y la fecha de corte. Controla los mensajes de finalización anticipada.</t>
        </is>
      </c>
    </row>
    <row r="8" ht="30" customHeight="1">
      <c r="B8" s="74" t="inlineStr">
        <is>
          <t>Semana manual (opcional)</t>
        </is>
      </c>
      <c r="C8" s="78" t="n"/>
      <c r="D8" s="44" t="inlineStr">
        <is>
          <t>Déjela VACÍA para usar la semana automática. Escriba 1–4 solo si necesita forzar otra semana.</t>
        </is>
      </c>
    </row>
    <row r="9" ht="30" customHeight="1">
      <c r="B9" s="74" t="inlineStr">
        <is>
          <t>Días de anticipación para alerta «próxima a vencer»</t>
        </is>
      </c>
      <c r="C9" s="78" t="n">
        <v>3</v>
      </c>
      <c r="D9" s="44" t="inlineStr">
        <is>
          <t>Actividades no completadas cuya fecha límite cae dentro de este número de días se señalan en ámbar.</t>
        </is>
      </c>
    </row>
    <row r="10" ht="30" customHeight="1">
      <c r="B10" s="74" t="inlineStr">
        <is>
          <t>¿Observación obligatoria si una actividad vence sin cumplirse?</t>
        </is>
      </c>
      <c r="C10" s="79" t="inlineStr">
        <is>
          <t>Sí</t>
        </is>
      </c>
      <c r="D10" s="44" t="inlineStr">
        <is>
          <t>Si es «Sí», una actividad vencida sin texto en Observaciones genera alerta (explicar por qué no se cumplió).</t>
        </is>
      </c>
    </row>
    <row r="11" ht="30" customHeight="1">
      <c r="B11" s="74" t="inlineStr">
        <is>
          <t>Meta final del ciclo</t>
        </is>
      </c>
      <c r="C11" s="80" t="n">
        <v>1</v>
      </c>
      <c r="D11" s="44" t="inlineStr">
        <is>
          <t>Meta de cumplimiento al cierre de la Semana 4.</t>
        </is>
      </c>
    </row>
    <row r="13">
      <c r="B13" s="81" t="inlineStr">
        <is>
          <t>Plan de referencia (avance esperado acumulado por semana) – supuesto editable</t>
        </is>
      </c>
      <c r="C13" s="81" t="n"/>
      <c r="D13" s="81" t="n"/>
    </row>
    <row r="14">
      <c r="B14" s="82" t="inlineStr">
        <is>
          <t>Semana 1</t>
        </is>
      </c>
      <c r="C14" s="83" t="n">
        <v>0.25</v>
      </c>
      <c r="D14" s="84" t="inlineStr">
        <is>
          <t>Referencia lineal solo para comparación visual; no afecta el cálculo del avance real.</t>
        </is>
      </c>
    </row>
    <row r="15">
      <c r="B15" s="82" t="inlineStr">
        <is>
          <t>Semana 2</t>
        </is>
      </c>
      <c r="C15" s="83" t="n">
        <v>0.5</v>
      </c>
      <c r="D15" s="84" t="inlineStr">
        <is>
          <t>Referencia lineal solo para comparación visual; no afecta el cálculo del avance real.</t>
        </is>
      </c>
    </row>
    <row r="16">
      <c r="B16" s="82" t="inlineStr">
        <is>
          <t>Semana 3</t>
        </is>
      </c>
      <c r="C16" s="83" t="n">
        <v>0.75</v>
      </c>
      <c r="D16" s="84" t="inlineStr">
        <is>
          <t>Referencia lineal solo para comparación visual; no afecta el cálculo del avance real.</t>
        </is>
      </c>
    </row>
    <row r="17">
      <c r="B17" s="82" t="inlineStr">
        <is>
          <t>Semana 4</t>
        </is>
      </c>
      <c r="C17" s="83" t="n">
        <v>1</v>
      </c>
      <c r="D17" s="84" t="inlineStr">
        <is>
          <t>Referencia lineal solo para comparación visual; no afecta el cálculo del avance real.</t>
        </is>
      </c>
    </row>
    <row r="19">
      <c r="B19" s="85" t="inlineStr">
        <is>
          <t>Listas desplegables (no editar sin actualizar las fórmulas)</t>
        </is>
      </c>
      <c r="C19" s="85" t="n"/>
      <c r="D19" s="85" t="n"/>
    </row>
    <row r="20">
      <c r="B20" s="86" t="inlineStr">
        <is>
          <t>Áreas / Puestos</t>
        </is>
      </c>
    </row>
    <row r="21">
      <c r="B21" s="87" t="inlineStr">
        <is>
          <t>Riesgo Operacional</t>
        </is>
      </c>
    </row>
    <row r="22">
      <c r="B22" s="87" t="inlineStr">
        <is>
          <t>Riesgo Normativo</t>
        </is>
      </c>
    </row>
    <row r="23">
      <c r="B23" s="87" t="inlineStr">
        <is>
          <t>Riesgo Financiero</t>
        </is>
      </c>
    </row>
    <row r="24">
      <c r="B24" s="87" t="inlineStr">
        <is>
          <t>Asistente Técnico de Riesgo</t>
        </is>
      </c>
    </row>
    <row r="26">
      <c r="B26" s="86" t="inlineStr">
        <is>
          <t>Estados</t>
        </is>
      </c>
    </row>
    <row r="27">
      <c r="B27" s="87" t="inlineStr">
        <is>
          <t>Pendiente</t>
        </is>
      </c>
    </row>
    <row r="28">
      <c r="B28" s="87" t="inlineStr">
        <is>
          <t>En curso</t>
        </is>
      </c>
    </row>
    <row r="29">
      <c r="B29" s="87" t="inlineStr">
        <is>
          <t>Completado</t>
        </is>
      </c>
    </row>
    <row r="31">
      <c r="B31" s="86" t="inlineStr">
        <is>
          <t>Semanas</t>
        </is>
      </c>
    </row>
    <row r="32">
      <c r="B32" s="87" t="inlineStr">
        <is>
          <t>Semana 1</t>
        </is>
      </c>
    </row>
    <row r="33">
      <c r="B33" s="87" t="inlineStr">
        <is>
          <t>Semana 2</t>
        </is>
      </c>
    </row>
    <row r="34">
      <c r="B34" s="87" t="inlineStr">
        <is>
          <t>Semana 3</t>
        </is>
      </c>
    </row>
    <row r="35">
      <c r="B35" s="87" t="inlineStr">
        <is>
          <t>Semana 4</t>
        </is>
      </c>
    </row>
    <row r="37">
      <c r="B37" s="86" t="inlineStr">
        <is>
          <t>Sí / No</t>
        </is>
      </c>
    </row>
    <row r="38">
      <c r="B38" s="87" t="inlineStr">
        <is>
          <t>Sí</t>
        </is>
      </c>
    </row>
    <row r="39">
      <c r="B39" s="87" t="inlineStr">
        <is>
          <t>No</t>
        </is>
      </c>
    </row>
    <row r="42">
      <c r="B42" s="85" t="inlineStr">
        <is>
          <t>Metodología de cálculo (documentación)</t>
        </is>
      </c>
      <c r="C42" s="85" t="n"/>
      <c r="D42" s="85" t="n"/>
    </row>
    <row r="43" ht="30" customHeight="1">
      <c r="B43" s="88" t="inlineStr">
        <is>
          <t>1. Avance de una actividad = último avance semanal acumulado registrado (Semana 4 → 1), ignorando semanas vacías. Los avances semanales NO se suman.</t>
        </is>
      </c>
      <c r="C43" s="88" t="n"/>
      <c r="D43" s="88" t="n"/>
    </row>
    <row r="44" ht="30" customHeight="1">
      <c r="B44" s="88" t="inlineStr">
        <is>
          <t>2. Estado automático: 0% = Pendiente; &gt;0% y &lt;100% = En curso; 100% = Completado.</t>
        </is>
      </c>
      <c r="C44" s="88" t="n"/>
      <c r="D44" s="88" t="n"/>
    </row>
    <row r="45" ht="30" customHeight="1">
      <c r="B45" s="88" t="inlineStr">
        <is>
          <t>3. Avance ponderado del puesto = Σ (peso de la actividad × avance actual). Solo es válido si el puesto tiene ≥1 actividad, ningún peso vacío o fuera de 0–100% y los pesos suman 100% (tolerancia ±0,01%).</t>
        </is>
      </c>
      <c r="C45" s="88" t="n"/>
      <c r="D45" s="88" t="n"/>
    </row>
    <row r="46" ht="30" customHeight="1">
      <c r="B46" s="88" t="inlineStr">
        <is>
          <t>4. Avance general del proyecto = promedio simple de los 4 puestos (cada puesto pesa 25%, sin importar cuántas actividades tenga). Si algún puesto no es válido, el Dashboard muestra «No definitivo» y un valor provisional rotulado como tal.</t>
        </is>
      </c>
      <c r="C46" s="88" t="n"/>
      <c r="D46" s="88" t="n"/>
    </row>
    <row r="47" ht="30" customHeight="1">
      <c r="B47" s="88" t="inlineStr">
        <is>
          <t>5. Avance semanal acumulado (Semana n) = Σ peso × último avance registrado hasta la Semana n. Incremento semanal = acumulado Semana n − acumulado Semana n−1.</t>
        </is>
      </c>
      <c r="C47" s="88" t="n"/>
      <c r="D47" s="88" t="n"/>
    </row>
    <row r="48" ht="30" customHeight="1">
      <c r="B48" s="88" t="inlineStr">
        <is>
          <t>6. «¡Enhorabuena, completado anticipadamente!»: el puesto (o el proyecto) es válido, llega al 100% y la semana en que lo alcanzó (la menor entre la primera semana con 100% registrada y la Semana actual) es anterior a la Semana 4. Si lo alcanza en la Semana 4: «Completado». Si no: «En ejecución».</t>
        </is>
      </c>
      <c r="C48" s="88" t="n"/>
      <c r="D48" s="88" t="n"/>
    </row>
    <row r="49" ht="30" customHeight="1">
      <c r="B49" s="88" t="inlineStr">
        <is>
          <t>7. Una semana se muestra en el seguimiento si es ≤ Semana actual o si ya tiene algún avance registrado.</t>
        </is>
      </c>
      <c r="C49" s="88" t="n"/>
      <c r="D49" s="88" t="n"/>
    </row>
    <row r="50" ht="30" customHeight="1">
      <c r="B50" s="88" t="inlineStr">
        <is>
          <t>8. Cada puesto tiene su propia hoja «Cronograma» y su hoja «Actividades» semanales. El Dashboard consolida los cuatro cronogramas (filas 5 a 1000) y las cuatro hojas de actividades (filas 5 a 500).</t>
        </is>
      </c>
      <c r="C50" s="88" t="n"/>
      <c r="D50" s="88" t="n"/>
    </row>
    <row r="51" ht="30" customHeight="1">
      <c r="B51" s="88" t="inlineStr">
        <is>
          <t>9. Semana actual = ENTERO((fecha de corte − fecha de inicio) / 7) + 1, limitada entre 1 y 4, salvo que se escriba una semana manual.</t>
        </is>
      </c>
      <c r="C51" s="88" t="n"/>
      <c r="D51" s="88" t="n"/>
    </row>
    <row r="52" ht="30" customHeight="1">
      <c r="B52" s="88" t="inlineStr">
        <is>
          <t>10. Hojas «Actividades»: se llenan solas desde el Cronograma del puesto. Semana de entrega = semana en que cae la fecha límite. Estado: Completado (100%), Vencida (pasó la fecha límite sin llegar a 100%), En curso o Pendiente.</t>
        </is>
      </c>
      <c r="C52" s="88" t="n"/>
      <c r="D52" s="88" t="n"/>
    </row>
  </sheetData>
  <sheetProtection selectLockedCells="0" selectUnlockedCells="0" sheet="1" objects="0" insertRows="1" insertHyperlinks="1" autoFilter="1" scenarios="0" formatColumns="0" deleteColumns="1" insertColumns="1" pivotTables="1" deleteRows="1" formatCells="1" formatRows="1" sort="1"/>
  <mergeCells count="14">
    <mergeCell ref="B42:D42"/>
    <mergeCell ref="B19:D19"/>
    <mergeCell ref="B45:D45"/>
    <mergeCell ref="B46:D46"/>
    <mergeCell ref="B1:D1"/>
    <mergeCell ref="B49:D49"/>
    <mergeCell ref="B50:D50"/>
    <mergeCell ref="B13:D13"/>
    <mergeCell ref="B52:D52"/>
    <mergeCell ref="B44:D44"/>
    <mergeCell ref="B43:D43"/>
    <mergeCell ref="B51:D51"/>
    <mergeCell ref="B47:D47"/>
    <mergeCell ref="B48:D48"/>
  </mergeCells>
  <dataValidations count="4">
    <dataValidation sqref="C4 C5 C6" showDropDown="0" showInputMessage="0" showErrorMessage="1" allowBlank="0" error="Ingrese una fecha válida (dd/mm/aaaa)." type="date" operator="greaterThan">
      <formula1>36526</formula1>
    </dataValidation>
    <dataValidation sqref="C8" showDropDown="0" showInputMessage="0" showErrorMessage="1" allowBlank="1" errorTitle="Semana no válida" error="Ingrese un número entero entre 1 y 4, o deje vacío para la semana automática." type="whole" operator="between">
      <formula1>1</formula1>
      <formula2>4</formula2>
    </dataValidation>
    <dataValidation sqref="C9" showDropDown="0" showInputMessage="0" showErrorMessage="1" allowBlank="0" error="Ingrese un número de días entre 0 y 30." type="whole" operator="between">
      <formula1>0</formula1>
      <formula2>30</formula2>
    </dataValidation>
    <dataValidation sqref="C10" showDropDown="0" showInputMessage="0" showErrorMessage="1" allowBlank="0" type="list">
      <formula1>ListaSiNo</formula1>
    </dataValidation>
  </dataValidations>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sheetPr>
  <dimension ref="A1:T13"/>
  <sheetViews>
    <sheetView showGridLines="0" zoomScale="90"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c r="A1" s="89" t="inlineStr">
        <is>
          <t>Hoja auxiliar OCULTA: cálculos intermedios por puesto (cada fila lee la hoja de cronograma de su puesto) que alimentan el Dashboard. No editar. Ver metodología en Configuración.</t>
        </is>
      </c>
    </row>
    <row r="3">
      <c r="A3" s="90" t="inlineStr">
        <is>
          <t>Puesto</t>
        </is>
      </c>
      <c r="B3" s="90" t="inlineStr">
        <is>
          <t>N° actividades</t>
        </is>
      </c>
      <c r="C3" s="90" t="inlineStr">
        <is>
          <t>Suma de pesos</t>
        </is>
      </c>
      <c r="D3" s="90" t="inlineStr">
        <is>
          <t>Pesos vacíos o inválidos</t>
        </is>
      </c>
      <c r="E3" s="90" t="inlineStr">
        <is>
          <t>Configuración válida</t>
        </is>
      </c>
      <c r="F3" s="90" t="inlineStr">
        <is>
          <t>Avance ponderado actual</t>
        </is>
      </c>
      <c r="G3" s="90" t="inlineStr">
        <is>
          <t>Acum. Semana 1</t>
        </is>
      </c>
      <c r="H3" s="90" t="inlineStr">
        <is>
          <t>Acum. Semana 2</t>
        </is>
      </c>
      <c r="I3" s="90" t="inlineStr">
        <is>
          <t>Acum. Semana 3</t>
        </is>
      </c>
      <c r="J3" s="90" t="inlineStr">
        <is>
          <t>Acum. Semana 4</t>
        </is>
      </c>
      <c r="K3" s="90" t="inlineStr">
        <is>
          <t>Primera semana con 100%</t>
        </is>
      </c>
      <c r="L3" s="90" t="inlineStr">
        <is>
          <t>Completado (100%)</t>
        </is>
      </c>
      <c r="M3" s="90" t="inlineStr">
        <is>
          <t>Completado anticipadamente</t>
        </is>
      </c>
      <c r="N3" s="90" t="inlineStr">
        <is>
          <t>Completadas</t>
        </is>
      </c>
      <c r="O3" s="90" t="inlineStr">
        <is>
          <t>En curso</t>
        </is>
      </c>
      <c r="P3" s="90" t="inlineStr">
        <is>
          <t>Pendientes</t>
        </is>
      </c>
      <c r="Q3" s="90" t="inlineStr">
        <is>
          <t>Vencidas</t>
        </is>
      </c>
      <c r="R3" s="90" t="inlineStr">
        <is>
          <t>Con alertas</t>
        </is>
      </c>
      <c r="S3" s="90" t="inlineStr">
        <is>
          <t>Próximas a vencer</t>
        </is>
      </c>
      <c r="T3" s="90" t="inlineStr">
        <is>
          <t>Hoja de cronograma</t>
        </is>
      </c>
    </row>
    <row r="4">
      <c r="A4">
        <f>INDEX(ListaPuestos,1)</f>
        <v/>
      </c>
      <c r="B4">
        <f>COUNTIF(rValid_RO,"?*")</f>
        <v/>
      </c>
      <c r="C4" s="91">
        <f>SUM(rPeso_RO)</f>
        <v/>
      </c>
      <c r="D4" s="91">
        <f>COUNTIFS(rValid_RO,"?*",rPeso_RO,"")+COUNTIF(rPeso_RO,"&lt;=0")+COUNTIF(rPeso_RO,"&gt;1")</f>
        <v/>
      </c>
      <c r="E4">
        <f>AND(B4&gt;0,D4=0,ABS(C4-1)&lt;=0.0001)</f>
        <v/>
      </c>
      <c r="F4" s="91">
        <f>IFERROR(SUMPRODUCT(rPeso_RO,rAvance_RO),0)</f>
        <v/>
      </c>
      <c r="G4" s="91">
        <f>IFERROR(SUMPRODUCT(rPeso_RO*rS1_RO),0)</f>
        <v/>
      </c>
      <c r="H4" s="91">
        <f>IFERROR(SUMPRODUCT(rPeso_RO*(rS2_RO+(rS2_RO="")*rS1_RO)),0)</f>
        <v/>
      </c>
      <c r="I4" s="91">
        <f>IFERROR(SUMPRODUCT(rPeso_RO*(rS3_RO+(rS3_RO="")*(rS2_RO+(rS2_RO="")*rS1_RO))),0)</f>
        <v/>
      </c>
      <c r="J4" s="91">
        <f>IFERROR(SUMPRODUCT(rPeso_RO*(rS4_RO+(rS4_RO="")*(rS3_RO+(rS3_RO="")*(rS2_RO+(rS2_RO="")*rS1_RO)))),0)</f>
        <v/>
      </c>
      <c r="K4">
        <f>IF(ROUND(G4,4)&gt;=1,1,IF(ROUND(H4,4)&gt;=1,2,IF(ROUND(I4,4)&gt;=1,3,IF(ROUND(J4,4)&gt;=1,4,""))))</f>
        <v/>
      </c>
      <c r="L4">
        <f>AND(E4,ROUND(F4,4)&gt;=1)</f>
        <v/>
      </c>
      <c r="M4">
        <f>AND(L4,MIN(IF(K4="",4,K4),SemanaActual)&lt;4)</f>
        <v/>
      </c>
      <c r="N4">
        <f>COUNTIF(rEstado_RO,"Completado")</f>
        <v/>
      </c>
      <c r="O4">
        <f>COUNTIF(rEstado_RO,"En curso")</f>
        <v/>
      </c>
      <c r="P4">
        <f>COUNTIF(rEstado_RO,"Pendiente")</f>
        <v/>
      </c>
      <c r="Q4">
        <f>SUMPRODUCT(--ISNUMBER(SEARCH("Vencida",rValid_RO)))</f>
        <v/>
      </c>
      <c r="R4">
        <f>SUMPRODUCT(--(LEFT(rValid_RO,1)="⚠"))</f>
        <v/>
      </c>
      <c r="S4">
        <f>COUNTIFS(rFLim_RO,"&gt;="&amp;FechaRef,rFLim_RO,"&lt;="&amp;(FechaRef+DiasAlerta),rAvance_RO,"&lt;1")</f>
        <v/>
      </c>
      <c r="T4" t="inlineStr">
        <is>
          <t>Cronograma R. Operacional</t>
        </is>
      </c>
    </row>
    <row r="5">
      <c r="A5">
        <f>INDEX(ListaPuestos,2)</f>
        <v/>
      </c>
      <c r="B5">
        <f>COUNTIF(rValid_RN,"?*")</f>
        <v/>
      </c>
      <c r="C5" s="91">
        <f>SUM(rPeso_RN)</f>
        <v/>
      </c>
      <c r="D5" s="91">
        <f>COUNTIFS(rValid_RN,"?*",rPeso_RN,"")+COUNTIF(rPeso_RN,"&lt;=0")+COUNTIF(rPeso_RN,"&gt;1")</f>
        <v/>
      </c>
      <c r="E5">
        <f>AND(B5&gt;0,D5=0,ABS(C5-1)&lt;=0.0001)</f>
        <v/>
      </c>
      <c r="F5" s="91">
        <f>IFERROR(SUMPRODUCT(rPeso_RN,rAvance_RN),0)</f>
        <v/>
      </c>
      <c r="G5" s="91">
        <f>IFERROR(SUMPRODUCT(rPeso_RN*rS1_RN),0)</f>
        <v/>
      </c>
      <c r="H5" s="91">
        <f>IFERROR(SUMPRODUCT(rPeso_RN*(rS2_RN+(rS2_RN="")*rS1_RN)),0)</f>
        <v/>
      </c>
      <c r="I5" s="91">
        <f>IFERROR(SUMPRODUCT(rPeso_RN*(rS3_RN+(rS3_RN="")*(rS2_RN+(rS2_RN="")*rS1_RN))),0)</f>
        <v/>
      </c>
      <c r="J5" s="91">
        <f>IFERROR(SUMPRODUCT(rPeso_RN*(rS4_RN+(rS4_RN="")*(rS3_RN+(rS3_RN="")*(rS2_RN+(rS2_RN="")*rS1_RN)))),0)</f>
        <v/>
      </c>
      <c r="K5">
        <f>IF(ROUND(G5,4)&gt;=1,1,IF(ROUND(H5,4)&gt;=1,2,IF(ROUND(I5,4)&gt;=1,3,IF(ROUND(J5,4)&gt;=1,4,""))))</f>
        <v/>
      </c>
      <c r="L5">
        <f>AND(E5,ROUND(F5,4)&gt;=1)</f>
        <v/>
      </c>
      <c r="M5">
        <f>AND(L5,MIN(IF(K5="",4,K5),SemanaActual)&lt;4)</f>
        <v/>
      </c>
      <c r="N5">
        <f>COUNTIF(rEstado_RN,"Completado")</f>
        <v/>
      </c>
      <c r="O5">
        <f>COUNTIF(rEstado_RN,"En curso")</f>
        <v/>
      </c>
      <c r="P5">
        <f>COUNTIF(rEstado_RN,"Pendiente")</f>
        <v/>
      </c>
      <c r="Q5">
        <f>SUMPRODUCT(--ISNUMBER(SEARCH("Vencida",rValid_RN)))</f>
        <v/>
      </c>
      <c r="R5">
        <f>SUMPRODUCT(--(LEFT(rValid_RN,1)="⚠"))</f>
        <v/>
      </c>
      <c r="S5">
        <f>COUNTIFS(rFLim_RN,"&gt;="&amp;FechaRef,rFLim_RN,"&lt;="&amp;(FechaRef+DiasAlerta),rAvance_RN,"&lt;1")</f>
        <v/>
      </c>
      <c r="T5" t="inlineStr">
        <is>
          <t>Cronograma R. Normativo</t>
        </is>
      </c>
    </row>
    <row r="6">
      <c r="A6">
        <f>INDEX(ListaPuestos,3)</f>
        <v/>
      </c>
      <c r="B6">
        <f>COUNTIF(rValid_RF,"?*")</f>
        <v/>
      </c>
      <c r="C6" s="91">
        <f>SUM(rPeso_RF)</f>
        <v/>
      </c>
      <c r="D6" s="91">
        <f>COUNTIFS(rValid_RF,"?*",rPeso_RF,"")+COUNTIF(rPeso_RF,"&lt;=0")+COUNTIF(rPeso_RF,"&gt;1")</f>
        <v/>
      </c>
      <c r="E6">
        <f>AND(B6&gt;0,D6=0,ABS(C6-1)&lt;=0.0001)</f>
        <v/>
      </c>
      <c r="F6" s="91">
        <f>IFERROR(SUMPRODUCT(rPeso_RF,rAvance_RF),0)</f>
        <v/>
      </c>
      <c r="G6" s="91">
        <f>IFERROR(SUMPRODUCT(rPeso_RF*rS1_RF),0)</f>
        <v/>
      </c>
      <c r="H6" s="91">
        <f>IFERROR(SUMPRODUCT(rPeso_RF*(rS2_RF+(rS2_RF="")*rS1_RF)),0)</f>
        <v/>
      </c>
      <c r="I6" s="91">
        <f>IFERROR(SUMPRODUCT(rPeso_RF*(rS3_RF+(rS3_RF="")*(rS2_RF+(rS2_RF="")*rS1_RF))),0)</f>
        <v/>
      </c>
      <c r="J6" s="91">
        <f>IFERROR(SUMPRODUCT(rPeso_RF*(rS4_RF+(rS4_RF="")*(rS3_RF+(rS3_RF="")*(rS2_RF+(rS2_RF="")*rS1_RF)))),0)</f>
        <v/>
      </c>
      <c r="K6">
        <f>IF(ROUND(G6,4)&gt;=1,1,IF(ROUND(H6,4)&gt;=1,2,IF(ROUND(I6,4)&gt;=1,3,IF(ROUND(J6,4)&gt;=1,4,""))))</f>
        <v/>
      </c>
      <c r="L6">
        <f>AND(E6,ROUND(F6,4)&gt;=1)</f>
        <v/>
      </c>
      <c r="M6">
        <f>AND(L6,MIN(IF(K6="",4,K6),SemanaActual)&lt;4)</f>
        <v/>
      </c>
      <c r="N6">
        <f>COUNTIF(rEstado_RF,"Completado")</f>
        <v/>
      </c>
      <c r="O6">
        <f>COUNTIF(rEstado_RF,"En curso")</f>
        <v/>
      </c>
      <c r="P6">
        <f>COUNTIF(rEstado_RF,"Pendiente")</f>
        <v/>
      </c>
      <c r="Q6">
        <f>SUMPRODUCT(--ISNUMBER(SEARCH("Vencida",rValid_RF)))</f>
        <v/>
      </c>
      <c r="R6">
        <f>SUMPRODUCT(--(LEFT(rValid_RF,1)="⚠"))</f>
        <v/>
      </c>
      <c r="S6">
        <f>COUNTIFS(rFLim_RF,"&gt;="&amp;FechaRef,rFLim_RF,"&lt;="&amp;(FechaRef+DiasAlerta),rAvance_RF,"&lt;1")</f>
        <v/>
      </c>
      <c r="T6" t="inlineStr">
        <is>
          <t>Cronograma R. Financiero</t>
        </is>
      </c>
    </row>
    <row r="7">
      <c r="A7">
        <f>INDEX(ListaPuestos,4)</f>
        <v/>
      </c>
      <c r="B7">
        <f>COUNTIF(rValid_ATR,"?*")</f>
        <v/>
      </c>
      <c r="C7" s="91">
        <f>SUM(rPeso_ATR)</f>
        <v/>
      </c>
      <c r="D7" s="91">
        <f>COUNTIFS(rValid_ATR,"?*",rPeso_ATR,"")+COUNTIF(rPeso_ATR,"&lt;=0")+COUNTIF(rPeso_ATR,"&gt;1")</f>
        <v/>
      </c>
      <c r="E7">
        <f>AND(B7&gt;0,D7=0,ABS(C7-1)&lt;=0.0001)</f>
        <v/>
      </c>
      <c r="F7" s="91">
        <f>IFERROR(SUMPRODUCT(rPeso_ATR,rAvance_ATR),0)</f>
        <v/>
      </c>
      <c r="G7" s="91">
        <f>IFERROR(SUMPRODUCT(rPeso_ATR*rS1_ATR),0)</f>
        <v/>
      </c>
      <c r="H7" s="91">
        <f>IFERROR(SUMPRODUCT(rPeso_ATR*(rS2_ATR+(rS2_ATR="")*rS1_ATR)),0)</f>
        <v/>
      </c>
      <c r="I7" s="91">
        <f>IFERROR(SUMPRODUCT(rPeso_ATR*(rS3_ATR+(rS3_ATR="")*(rS2_ATR+(rS2_ATR="")*rS1_ATR))),0)</f>
        <v/>
      </c>
      <c r="J7" s="91">
        <f>IFERROR(SUMPRODUCT(rPeso_ATR*(rS4_ATR+(rS4_ATR="")*(rS3_ATR+(rS3_ATR="")*(rS2_ATR+(rS2_ATR="")*rS1_ATR)))),0)</f>
        <v/>
      </c>
      <c r="K7">
        <f>IF(ROUND(G7,4)&gt;=1,1,IF(ROUND(H7,4)&gt;=1,2,IF(ROUND(I7,4)&gt;=1,3,IF(ROUND(J7,4)&gt;=1,4,""))))</f>
        <v/>
      </c>
      <c r="L7">
        <f>AND(E7,ROUND(F7,4)&gt;=1)</f>
        <v/>
      </c>
      <c r="M7">
        <f>AND(L7,MIN(IF(K7="",4,K7),SemanaActual)&lt;4)</f>
        <v/>
      </c>
      <c r="N7">
        <f>COUNTIF(rEstado_ATR,"Completado")</f>
        <v/>
      </c>
      <c r="O7">
        <f>COUNTIF(rEstado_ATR,"En curso")</f>
        <v/>
      </c>
      <c r="P7">
        <f>COUNTIF(rEstado_ATR,"Pendiente")</f>
        <v/>
      </c>
      <c r="Q7">
        <f>SUMPRODUCT(--ISNUMBER(SEARCH("Vencida",rValid_ATR)))</f>
        <v/>
      </c>
      <c r="R7">
        <f>SUMPRODUCT(--(LEFT(rValid_ATR,1)="⚠"))</f>
        <v/>
      </c>
      <c r="S7">
        <f>COUNTIFS(rFLim_ATR,"&gt;="&amp;FechaRef,rFLim_ATR,"&lt;="&amp;(FechaRef+DiasAlerta),rAvance_ATR,"&lt;1")</f>
        <v/>
      </c>
      <c r="T7" t="inlineStr">
        <is>
          <t>Cronograma Asistente Técnico</t>
        </is>
      </c>
    </row>
    <row r="8">
      <c r="A8" t="inlineStr">
        <is>
          <t>Proyecto (promedio de 4 puestos)</t>
        </is>
      </c>
      <c r="B8">
        <f>SUM(B4:B7)</f>
        <v/>
      </c>
      <c r="C8" s="92">
        <f>COUNTIF(E4:E7,TRUE)</f>
        <v/>
      </c>
      <c r="D8" s="91">
        <f>IF(C8&gt;0,SUMPRODUCT(F4:F7*(E4:E7=TRUE))/C8,"")</f>
        <v/>
      </c>
      <c r="E8">
        <f>AND(E4,E5,E6,E7)</f>
        <v/>
      </c>
      <c r="F8" s="91">
        <f>IF(E8,AVERAGE(F4:F7),"")</f>
        <v/>
      </c>
      <c r="G8" s="91">
        <f>IF($E$8,AVERAGE(G4:G7),"")</f>
        <v/>
      </c>
      <c r="H8" s="91">
        <f>IF($E$8,AVERAGE(H4:H7),"")</f>
        <v/>
      </c>
      <c r="I8" s="91">
        <f>IF($E$8,AVERAGE(I4:I7),"")</f>
        <v/>
      </c>
      <c r="J8" s="91">
        <f>IF($E$8,AVERAGE(J4:J7),"")</f>
        <v/>
      </c>
      <c r="K8">
        <f>IF(NOT(E8),"",IF(ROUND(G8,4)&gt;=1,1,IF(ROUND(H8,4)&gt;=1,2,IF(ROUND(I8,4)&gt;=1,3,IF(ROUND(J8,4)&gt;=1,4,"")))))</f>
        <v/>
      </c>
      <c r="L8">
        <f>AND(E8,ROUND(N(F8),4)&gt;=1)</f>
        <v/>
      </c>
      <c r="M8">
        <f>AND(L8,MIN(IF(K8="",4,K8),SemanaActual)&lt;4)</f>
        <v/>
      </c>
      <c r="N8">
        <f>SUM(N4:N7)</f>
        <v/>
      </c>
      <c r="O8">
        <f>SUM(O4:O7)</f>
        <v/>
      </c>
      <c r="P8">
        <f>SUM(P4:P7)</f>
        <v/>
      </c>
      <c r="Q8">
        <f>SUM(Q4:Q7)</f>
        <v/>
      </c>
      <c r="R8">
        <f>SUM(R4:R7)</f>
        <v/>
      </c>
      <c r="S8">
        <f>SUM(S4:S7)</f>
        <v/>
      </c>
    </row>
    <row r="9">
      <c r="A9" s="93" t="inlineStr">
        <is>
          <t>Fila 8: C = n° puestos válidos; D = avance provisional (promedio solo de puestos válidos).</t>
        </is>
      </c>
    </row>
    <row r="10">
      <c r="A10" t="inlineStr">
        <is>
          <t>Semana visible en seguimiento</t>
        </is>
      </c>
      <c r="G10">
        <f>OR(1&lt;=SemanaActual,(COUNT(rS1_RO)+COUNT(rS1_RN)+COUNT(rS1_RF)+COUNT(rS1_ATR))&gt;0)</f>
        <v/>
      </c>
      <c r="H10">
        <f>OR(2&lt;=SemanaActual,(COUNT(rS2_RO)+COUNT(rS2_RN)+COUNT(rS2_RF)+COUNT(rS2_ATR))&gt;0)</f>
        <v/>
      </c>
      <c r="I10">
        <f>OR(3&lt;=SemanaActual,(COUNT(rS3_RO)+COUNT(rS3_RN)+COUNT(rS3_RF)+COUNT(rS3_ATR))&gt;0)</f>
        <v/>
      </c>
      <c r="J10">
        <f>OR(4&lt;=SemanaActual,(COUNT(rS4_RO)+COUNT(rS4_RN)+COUNT(rS4_RF)+COUNT(rS4_ATR))&gt;0)</f>
        <v/>
      </c>
    </row>
    <row r="11">
      <c r="A11" t="inlineStr">
        <is>
          <t>Total registros</t>
        </is>
      </c>
      <c r="B11">
        <f>B8</f>
        <v/>
      </c>
    </row>
    <row r="12">
      <c r="A12" t="inlineStr">
        <is>
          <t>Puestos al 100%</t>
        </is>
      </c>
      <c r="B12">
        <f>COUNTIF(L4:L7,TRUE)</f>
        <v/>
      </c>
    </row>
    <row r="13">
      <c r="A13" t="inlineStr">
        <is>
          <t>Próximas a vencer</t>
        </is>
      </c>
      <c r="B13">
        <f>S8</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2026-10-09T16:52:31Z</dcterms:created>
  <dcterms:modified xmlns:dcterms="http://purl.org/dc/terms/" xmlns:xsi="http://www.w3.org/2001/XMLSchema-instance" xsi:type="dcterms:W3CDTF">2026-10-09T16:52:32Z</dcterms:modified>
</cp:coreProperties>
</file>