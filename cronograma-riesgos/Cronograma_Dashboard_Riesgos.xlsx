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Cronograma R. Operacional" sheetId="2" state="visible" r:id="rId2"/>
    <sheet xmlns:r="http://schemas.openxmlformats.org/officeDocument/2006/relationships" name="Actividades R. Operacional" sheetId="3" state="visible" r:id="rId3"/>
    <sheet xmlns:r="http://schemas.openxmlformats.org/officeDocument/2006/relationships" name="Cronograma R. Normativo" sheetId="4" state="visible" r:id="rId4"/>
    <sheet xmlns:r="http://schemas.openxmlformats.org/officeDocument/2006/relationships" name="Actividades R. Normativo" sheetId="5" state="visible" r:id="rId5"/>
    <sheet xmlns:r="http://schemas.openxmlformats.org/officeDocument/2006/relationships" name="Cronograma R. Financiero" sheetId="6" state="visible" r:id="rId6"/>
    <sheet xmlns:r="http://schemas.openxmlformats.org/officeDocument/2006/relationships" name="Actividades R. Financiero" sheetId="7" state="visible" r:id="rId7"/>
    <sheet xmlns:r="http://schemas.openxmlformats.org/officeDocument/2006/relationships" name="Cronograma Asistente Técnico" sheetId="8" state="visible" r:id="rId8"/>
    <sheet xmlns:r="http://schemas.openxmlformats.org/officeDocument/2006/relationships" name="Actividades Asistente Técnico" sheetId="9" state="visible" r:id="rId9"/>
    <sheet xmlns:r="http://schemas.openxmlformats.org/officeDocument/2006/relationships" name="Instrucciones" sheetId="10" state="visible" r:id="rId10"/>
    <sheet xmlns:r="http://schemas.openxmlformats.org/officeDocument/2006/relationships" name="Configuración" sheetId="11" state="visible" r:id="rId11"/>
    <sheet xmlns:r="http://schemas.openxmlformats.org/officeDocument/2006/relationships" name="Calculos" sheetId="12" state="hidden" r:id="rId12"/>
  </sheets>
  <definedNames>
    <definedName name="MesCiclo">'Configuración'!$C$4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PlanRef">'Configuración'!$C$14:$C$17</definedName>
    <definedName name="ListaPuestos">'Configuración'!$B$21:$B$24</definedName>
    <definedName name="ListaEstados">'Configuración'!$B$27:$B$29</definedName>
    <definedName name="ListaSemanas">'Configuración'!$B$32:$B$35</definedName>
    <definedName name="ListaSiNo">'Configuración'!$B$38:$B$39</definedName>
    <definedName name="rFLim_RO">'Cronograma R. Operacional'!$E$5:$E$1000</definedName>
    <definedName name="rPeso_RO">'Cronograma R. Operacional'!$F$5:$F$1000</definedName>
    <definedName name="rS1_RO">'Cronograma R. Operacional'!$G$5:$G$1000</definedName>
    <definedName name="rS2_RO">'Cronograma R. Operacional'!$H$5:$H$1000</definedName>
    <definedName name="rS3_RO">'Cronograma R. Operacional'!$I$5:$I$1000</definedName>
    <definedName name="rS4_RO">'Cronograma R. Operacional'!$J$5:$J$1000</definedName>
    <definedName name="rAvance_RO">'Cronograma R. Operacional'!$K$5:$K$1000</definedName>
    <definedName name="rEstado_RO">'Cronograma R. Operacional'!$L$5:$L$1000</definedName>
    <definedName name="rValid_RO">'Cronograma R. Operacional'!$N$5:$N$1000</definedName>
    <definedName name="rFLim_RN">'Cronograma R. Normativo'!$E$5:$E$1000</definedName>
    <definedName name="rPeso_RN">'Cronograma R. Normativo'!$F$5:$F$1000</definedName>
    <definedName name="rS1_RN">'Cronograma R. Normativo'!$G$5:$G$1000</definedName>
    <definedName name="rS2_RN">'Cronograma R. Normativo'!$H$5:$H$1000</definedName>
    <definedName name="rS3_RN">'Cronograma R. Normativo'!$I$5:$I$1000</definedName>
    <definedName name="rS4_RN">'Cronograma R. Normativo'!$J$5:$J$1000</definedName>
    <definedName name="rAvance_RN">'Cronograma R. Normativo'!$K$5:$K$1000</definedName>
    <definedName name="rEstado_RN">'Cronograma R. Normativo'!$L$5:$L$1000</definedName>
    <definedName name="rValid_RN">'Cronograma R. Normativo'!$N$5:$N$1000</definedName>
    <definedName name="rFLim_RF">'Cronograma R. Financiero'!$E$5:$E$1000</definedName>
    <definedName name="rPeso_RF">'Cronograma R. Financiero'!$F$5:$F$1000</definedName>
    <definedName name="rS1_RF">'Cronograma R. Financiero'!$G$5:$G$1000</definedName>
    <definedName name="rS2_RF">'Cronograma R. Financiero'!$H$5:$H$1000</definedName>
    <definedName name="rS3_RF">'Cronograma R. Financiero'!$I$5:$I$1000</definedName>
    <definedName name="rS4_RF">'Cronograma R. Financiero'!$J$5:$J$1000</definedName>
    <definedName name="rAvance_RF">'Cronograma R. Financiero'!$K$5:$K$1000</definedName>
    <definedName name="rEstado_RF">'Cronograma R. Financiero'!$L$5:$L$1000</definedName>
    <definedName name="rValid_RF">'Cronograma R. Financiero'!$N$5:$N$1000</definedName>
    <definedName name="rFLim_ATR">'Cronograma Asistente Técnico'!$E$5:$E$1000</definedName>
    <definedName name="rPeso_ATR">'Cronograma Asistente Técnico'!$F$5:$F$1000</definedName>
    <definedName name="rS1_ATR">'Cronograma Asistente Técnico'!$G$5:$G$1000</definedName>
    <definedName name="rS2_ATR">'Cronograma Asistente Técnico'!$H$5:$H$1000</definedName>
    <definedName name="rS3_ATR">'Cronograma Asistente Técnico'!$I$5:$I$1000</definedName>
    <definedName name="rS4_ATR">'Cronograma Asistente Técnico'!$J$5:$J$1000</definedName>
    <definedName name="rAvance_ATR">'Cronograma Asistente Técnico'!$K$5:$K$1000</definedName>
    <definedName name="rEstado_ATR">'Cronograma Asistente Técnico'!$L$5:$L$1000</definedName>
    <definedName name="rValid_ATR">'Cronograma Asistente Técnico'!$N$5:$N$1000</definedName>
    <definedName name="hSemana_RO">'Actividades R. Operacional'!$B$5:$B$500</definedName>
    <definedName name="hFechaObj_RO">'Actividades R. Operacional'!$C$5:$C$500</definedName>
    <definedName name="hEstado_RO">'Actividades R. Operacional'!$G$5:$G$500</definedName>
    <definedName name="hSemana_RN">'Actividades R. Normativo'!$B$5:$B$500</definedName>
    <definedName name="hFechaObj_RN">'Actividades R. Normativo'!$C$5:$C$500</definedName>
    <definedName name="hEstado_RN">'Actividades R. Normativo'!$G$5:$G$500</definedName>
    <definedName name="hSemana_RF">'Actividades R. Financiero'!$B$5:$B$500</definedName>
    <definedName name="hFechaObj_RF">'Actividades R. Financiero'!$C$5:$C$500</definedName>
    <definedName name="hEstado_RF">'Actividades R. Financiero'!$G$5:$G$500</definedName>
    <definedName name="hSemana_ATR">'Actividades Asistente Técnico'!$B$5:$B$500</definedName>
    <definedName name="hFechaObj_ATR">'Actividades Asistente Técnico'!$C$5:$C$500</definedName>
    <definedName name="hEstado_ATR">'Actividades Asistente Técnico'!$G$5:$G$500</definedName>
    <definedName name="_xlnm.Print_Titles" localSheetId="0">'Dashboard - Consolidado'!$1:$2</definedName>
    <definedName name="_xlnm.Print_Area" localSheetId="0">'Dashboard - Consolidado'!$A$1:$N$74</definedName>
    <definedName name="_xlnm.Print_Titles" localSheetId="1">'Cronograma R. Operacional'!$4:$4</definedName>
    <definedName name="_xlnm.Print_Area" localSheetId="1">'Cronograma R. Operacional'!$A$1:$N$104</definedName>
    <definedName name="_xlnm.Print_Titles" localSheetId="2">'Actividades R. Operacional'!$4:$4</definedName>
    <definedName name="_xlnm.Print_Area" localSheetId="2">'Actividades R. Operacional'!$A$1:$J$24</definedName>
    <definedName name="_xlnm.Print_Titles" localSheetId="3">'Cronograma R. Normativo'!$4:$4</definedName>
    <definedName name="_xlnm.Print_Area" localSheetId="3">'Cronograma R. Normativo'!$A$1:$N$104</definedName>
    <definedName name="_xlnm.Print_Titles" localSheetId="4">'Actividades R. Normativo'!$4:$4</definedName>
    <definedName name="_xlnm.Print_Area" localSheetId="4">'Actividades R. Normativo'!$A$1:$J$24</definedName>
    <definedName name="_xlnm.Print_Titles" localSheetId="5">'Cronograma R. Financiero'!$4:$4</definedName>
    <definedName name="_xlnm.Print_Area" localSheetId="5">'Cronograma R. Financiero'!$A$1:$N$104</definedName>
    <definedName name="_xlnm.Print_Titles" localSheetId="6">'Actividades R. Financiero'!$4:$4</definedName>
    <definedName name="_xlnm.Print_Area" localSheetId="6">'Actividades R. Financiero'!$A$1:$J$24</definedName>
    <definedName name="_xlnm.Print_Titles" localSheetId="7">'Cronograma Asistente Técnico'!$4:$4</definedName>
    <definedName name="_xlnm.Print_Area" localSheetId="7">'Cronograma Asistente Técnico'!$A$1:$N$104</definedName>
    <definedName name="_xlnm.Print_Titles" localSheetId="8">'Actividades Asistente Técnico'!$4:$4</definedName>
    <definedName name="_xlnm.Print_Area" localSheetId="8">'Actividades Asistente Técnico'!$A$1:$J$24</definedName>
  </definedNames>
  <calcPr calcId="124519" fullCalcOnLoad="1"/>
</workbook>
</file>

<file path=xl/styles.xml><?xml version="1.0" encoding="utf-8"?>
<styleSheet xmlns="http://schemas.openxmlformats.org/spreadsheetml/2006/main">
  <numFmts count="7">
    <numFmt numFmtId="164" formatCode="[$-440A]mmmm yyyy"/>
    <numFmt numFmtId="165" formatCode="dd/mm/yyyy"/>
    <numFmt numFmtId="166" formatCode="&quot;Semana &quot;0"/>
    <numFmt numFmtId="167" formatCode="0.0%"/>
    <numFmt numFmtId="168" formatCode="0&quot; de 4&quot;"/>
    <numFmt numFmtId="169" formatCode="0%;;&quot;&quot;"/>
    <numFmt numFmtId="170" formatCode="+0%;-0%;0%"/>
  </numFmts>
  <fonts count="27">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F3864"/>
      <sz val="9"/>
    </font>
    <font>
      <name val="Arial"/>
      <b val="1"/>
      <color rgb="001A1A1A"/>
      <sz val="9"/>
    </font>
    <font>
      <name val="Arial"/>
      <b val="1"/>
      <color rgb="007F6000"/>
      <sz val="9"/>
    </font>
    <font>
      <name val="Arial"/>
      <i val="1"/>
      <color rgb="001A1A1A"/>
      <sz val="8"/>
    </font>
    <font>
      <name val="Arial"/>
      <b val="1"/>
      <color rgb="00FFFFFF"/>
      <sz val="9"/>
    </font>
    <font>
      <name val="Arial"/>
      <b val="1"/>
      <color rgb="00FFFFFF"/>
      <sz val="16"/>
    </font>
    <font>
      <name val="Arial"/>
      <b val="1"/>
      <color rgb="001F3864"/>
      <sz val="11"/>
    </font>
    <font>
      <name val="Arial"/>
      <i val="1"/>
      <color rgb="001F3864"/>
      <sz val="8"/>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2">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FFF7D6"/>
        <bgColor rgb="00FFF7D6"/>
      </patternFill>
    </fill>
    <fill>
      <patternFill patternType="solid">
        <fgColor rgb="00F2F2F2"/>
        <bgColor rgb="00F2F2F2"/>
      </patternFill>
    </fill>
    <fill>
      <patternFill patternType="solid">
        <fgColor rgb="00DDEBF7"/>
        <bgColor rgb="00DDEBF7"/>
      </patternFill>
    </fill>
    <fill>
      <patternFill patternType="solid">
        <fgColor rgb="007030A0"/>
        <bgColor rgb="007030A0"/>
      </patternFill>
    </fill>
    <fill>
      <patternFill patternType="solid">
        <fgColor rgb="00548235"/>
        <bgColor rgb="00548235"/>
      </patternFill>
    </fill>
    <fill>
      <patternFill patternType="solid">
        <fgColor rgb="00C55A11"/>
        <bgColor rgb="00C55A11"/>
      </patternFill>
    </fill>
    <fill>
      <patternFill patternType="solid">
        <fgColor rgb="00FFF2CC"/>
        <bgColor rgb="00FFF2CC"/>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92">
    <xf numFmtId="0" fontId="0" fillId="0" borderId="0" pivotButton="0" quotePrefix="0" xfId="0"/>
    <xf numFmtId="0" fontId="16" fillId="2" borderId="0" applyAlignment="1" pivotButton="0" quotePrefix="0" xfId="0">
      <alignment horizontal="left" vertical="center" wrapText="1"/>
    </xf>
    <xf numFmtId="0" fontId="5" fillId="0" borderId="0" applyAlignment="1" pivotButton="0" quotePrefix="0" xfId="0">
      <alignment horizontal="right" vertical="center"/>
    </xf>
    <xf numFmtId="164" fontId="17" fillId="6" borderId="1" applyAlignment="1" pivotButton="0" quotePrefix="0" xfId="0">
      <alignment horizontal="center" vertical="center" wrapText="1"/>
    </xf>
    <xf numFmtId="168" fontId="17" fillId="6" borderId="1" applyAlignment="1" pivotButton="0" quotePrefix="0" xfId="0">
      <alignment horizontal="center" vertical="center" wrapText="1"/>
    </xf>
    <xf numFmtId="165" fontId="17" fillId="6" borderId="1" applyAlignment="1" pivotButton="0" quotePrefix="0" xfId="0">
      <alignment horizontal="center" vertical="center" wrapText="1"/>
    </xf>
    <xf numFmtId="0" fontId="18"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19" fillId="11" borderId="1" applyAlignment="1" pivotButton="0" quotePrefix="0" xfId="0">
      <alignment horizontal="center" vertical="center" wrapText="1"/>
    </xf>
    <xf numFmtId="0" fontId="19" fillId="11" borderId="1" applyAlignment="1" pivotButton="0" quotePrefix="0" xfId="0">
      <alignment horizontal="center" vertical="center" wrapText="1"/>
    </xf>
    <xf numFmtId="1" fontId="19" fillId="11" borderId="1" applyAlignment="1" pivotButton="0" quotePrefix="0" xfId="0">
      <alignment horizontal="center" vertical="center" wrapText="1"/>
    </xf>
    <xf numFmtId="0" fontId="9" fillId="6" borderId="1" applyAlignment="1" pivotButton="0" quotePrefix="0" xfId="0">
      <alignment horizontal="center" vertical="center" wrapText="1"/>
    </xf>
    <xf numFmtId="168" fontId="19" fillId="11"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7" fillId="0" borderId="1" applyAlignment="1" pivotButton="0" quotePrefix="0" xfId="0">
      <alignment horizontal="center" vertical="center" wrapText="1"/>
    </xf>
    <xf numFmtId="0" fontId="20" fillId="2" borderId="0" applyAlignment="1" pivotButton="0" quotePrefix="0" xfId="0">
      <alignment horizontal="left" vertical="center" wrapText="1"/>
    </xf>
    <xf numFmtId="0" fontId="0" fillId="0" borderId="1" pivotButton="0" quotePrefix="0" xfId="0"/>
    <xf numFmtId="0" fontId="3" fillId="3" borderId="1" applyAlignment="1" pivotButton="0" quotePrefix="0" xfId="0">
      <alignment horizontal="left" vertical="center" wrapText="1"/>
    </xf>
    <xf numFmtId="9" fontId="8" fillId="0" borderId="1" applyAlignment="1" pivotButton="0" quotePrefix="0" xfId="0">
      <alignment horizontal="center" vertical="center" wrapText="1"/>
    </xf>
    <xf numFmtId="169" fontId="21"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7" borderId="1" applyAlignment="1" pivotButton="0" quotePrefix="0" xfId="0">
      <alignment horizontal="left" vertical="center" wrapText="1"/>
    </xf>
    <xf numFmtId="0" fontId="3" fillId="8" borderId="1" applyAlignment="1" pivotButton="0" quotePrefix="0" xfId="0">
      <alignment horizontal="left" vertical="center" wrapText="1"/>
    </xf>
    <xf numFmtId="0" fontId="3" fillId="9" borderId="1" applyAlignment="1" pivotButton="0" quotePrefix="0" xfId="0">
      <alignment horizontal="left" vertical="center" wrapText="1"/>
    </xf>
    <xf numFmtId="0" fontId="5" fillId="6" borderId="1" applyAlignment="1" pivotButton="0" quotePrefix="0" xfId="0">
      <alignment horizontal="left" vertical="center" wrapText="1"/>
    </xf>
    <xf numFmtId="9" fontId="5" fillId="6" borderId="1" applyAlignment="1" pivotButton="0" quotePrefix="0" xfId="0">
      <alignment horizontal="center" vertical="center" wrapText="1"/>
    </xf>
    <xf numFmtId="169" fontId="22"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15" fillId="3" borderId="1" applyAlignment="1" pivotButton="0" quotePrefix="0" xfId="0">
      <alignment horizontal="center" vertical="center" wrapText="1"/>
    </xf>
    <xf numFmtId="0" fontId="11" fillId="6" borderId="1" applyAlignment="1" pivotButton="0" quotePrefix="0" xfId="0">
      <alignment horizontal="center" vertical="center" wrapText="1"/>
    </xf>
    <xf numFmtId="170" fontId="8" fillId="0" borderId="1" applyAlignment="1" pivotButton="0" quotePrefix="0" xfId="0">
      <alignment horizontal="center" vertical="center" wrapText="1"/>
    </xf>
    <xf numFmtId="170" fontId="5" fillId="6" borderId="1" applyAlignment="1" pivotButton="0" quotePrefix="0" xfId="0">
      <alignment horizontal="center" vertical="center" wrapText="1"/>
    </xf>
    <xf numFmtId="0" fontId="23" fillId="11" borderId="1" applyAlignment="1" pivotButton="0" quotePrefix="0" xfId="0">
      <alignment horizontal="left" vertical="center" wrapText="1"/>
    </xf>
    <xf numFmtId="9" fontId="23" fillId="11" borderId="1" applyAlignment="1" pivotButton="0" quotePrefix="0" xfId="0">
      <alignment horizontal="center" vertical="center" wrapText="1"/>
    </xf>
    <xf numFmtId="170" fontId="5" fillId="11" borderId="1" applyAlignment="1" pivotButton="0" quotePrefix="0" xfId="0">
      <alignment horizontal="center" vertical="center" wrapText="1"/>
    </xf>
    <xf numFmtId="0" fontId="5" fillId="11" borderId="1" applyAlignment="1" pivotButton="0" quotePrefix="0" xfId="0">
      <alignment horizontal="center" vertical="center" wrapText="1"/>
    </xf>
    <xf numFmtId="0" fontId="24" fillId="11" borderId="1" applyAlignment="1" pivotButton="0" quotePrefix="0" xfId="0">
      <alignment horizontal="left" vertical="center" wrapText="1"/>
    </xf>
    <xf numFmtId="9" fontId="24" fillId="11" borderId="1" applyAlignment="1" pivotButton="0" quotePrefix="0" xfId="0">
      <alignment horizontal="center" vertical="center" wrapText="1"/>
    </xf>
    <xf numFmtId="0" fontId="25"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 fillId="3" borderId="0" applyAlignment="1" pivotButton="0" quotePrefix="0" xfId="0">
      <alignment horizontal="left" vertical="center" wrapText="1"/>
    </xf>
    <xf numFmtId="0" fontId="9" fillId="6"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0" borderId="0" applyAlignment="1" pivotButton="0" quotePrefix="0" xfId="0">
      <alignment horizontal="right" vertical="center"/>
    </xf>
    <xf numFmtId="167" fontId="5" fillId="0" borderId="1" applyAlignment="1" pivotButton="0" quotePrefix="0" xfId="0">
      <alignment horizontal="center" vertical="center" wrapText="1"/>
    </xf>
    <xf numFmtId="0" fontId="12"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167"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6" fillId="5" borderId="1" applyAlignment="1" pivotButton="0" quotePrefix="0" xfId="0">
      <alignment horizontal="left" vertical="center" wrapText="1"/>
    </xf>
    <xf numFmtId="0" fontId="13" fillId="10" borderId="0" applyAlignment="1" pivotButton="0" quotePrefix="0" xfId="0">
      <alignment horizontal="left" vertical="center" wrapText="1"/>
    </xf>
    <xf numFmtId="0" fontId="14" fillId="0" borderId="0" pivotButton="0" quotePrefix="0" xfId="0"/>
    <xf numFmtId="0" fontId="8" fillId="4" borderId="1" applyAlignment="1" applyProtection="1" pivotButton="0" quotePrefix="0" xfId="0">
      <alignment horizontal="center" vertical="center" wrapText="1"/>
      <protection locked="0" hidden="0"/>
    </xf>
    <xf numFmtId="0" fontId="1" fillId="7" borderId="0" applyAlignment="1" pivotButton="0" quotePrefix="0" xfId="0">
      <alignment horizontal="left" vertical="center" wrapText="1"/>
    </xf>
    <xf numFmtId="0" fontId="3" fillId="7" borderId="1" applyAlignment="1" pivotButton="0" quotePrefix="0" xfId="0">
      <alignment horizontal="center" vertical="center" wrapText="1"/>
    </xf>
    <xf numFmtId="0" fontId="1" fillId="8" borderId="0" applyAlignment="1" pivotButton="0" quotePrefix="0" xfId="0">
      <alignment horizontal="left" vertical="center" wrapText="1"/>
    </xf>
    <xf numFmtId="0" fontId="3" fillId="8" borderId="1" applyAlignment="1" pivotButton="0" quotePrefix="0" xfId="0">
      <alignment horizontal="center" vertical="center" wrapText="1"/>
    </xf>
    <xf numFmtId="0" fontId="1" fillId="9" borderId="0" applyAlignment="1" pivotButton="0" quotePrefix="0" xfId="0">
      <alignment horizontal="left" vertical="center" wrapText="1"/>
    </xf>
    <xf numFmtId="0" fontId="3" fillId="9" borderId="1" applyAlignment="1" pivotButton="0" quotePrefix="0" xfId="0">
      <alignment horizontal="center" vertical="center" wrapText="1"/>
    </xf>
    <xf numFmtId="0" fontId="1" fillId="2" borderId="0" applyAlignment="1" pivotButton="0" quotePrefix="0" xfId="0">
      <alignment horizontal="left" vertical="center" wrapText="1"/>
    </xf>
    <xf numFmtId="0" fontId="26"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2" fillId="0" borderId="0" pivotButton="0" quotePrefix="0" xfId="0"/>
    <xf numFmtId="0" fontId="15" fillId="2" borderId="0" applyAlignment="1" pivotButton="0" quotePrefix="0" xfId="0">
      <alignment horizontal="center" vertical="center" wrapText="1"/>
    </xf>
    <xf numFmtId="167" fontId="0" fillId="0" borderId="0" pivotButton="0" quotePrefix="0" xfId="0"/>
    <xf numFmtId="1" fontId="0" fillId="0" borderId="0" pivotButton="0" quotePrefix="0" xfId="0"/>
  </cellXfs>
  <cellStyles count="1">
    <cellStyle name="Normal" xfId="0" builtinId="0" hidden="0"/>
  </cellStyles>
  <dxfs count="9">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0061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Avance ponderado por puesto</a:t>
            </a:r>
          </a:p>
        </rich>
      </tx>
    </title>
    <plotArea>
      <barChart>
        <barDir val="bar"/>
        <grouping val="clustered"/>
        <ser>
          <idx val="0"/>
          <order val="0"/>
          <spPr>
            <a:solidFill xmlns:a="http://schemas.openxmlformats.org/drawingml/2006/main">
              <a:srgbClr val="2E75B6"/>
            </a:solidFill>
            <a:ln xmlns:a="http://schemas.openxmlformats.org/drawingml/2006/main">
              <a:prstDash val="solid"/>
            </a:ln>
          </spPr>
          <dPt>
            <idx val="0"/>
            <spPr>
              <a:solidFill xmlns:a="http://schemas.openxmlformats.org/drawingml/2006/main">
                <a:srgbClr val="2E75B6"/>
              </a:solidFill>
              <a:ln xmlns:a="http://schemas.openxmlformats.org/drawingml/2006/main">
                <a:solidFill>
                  <a:srgbClr val="2E75B6"/>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C55A11"/>
              </a:solidFill>
              <a:ln xmlns:a="http://schemas.openxmlformats.org/drawingml/2006/main">
                <a:solidFill>
                  <a:srgbClr val="C55A11"/>
                </a:solidFill>
                <a:prstDash val="solid"/>
              </a:ln>
            </spPr>
          </dPt>
          <cat>
            <numRef>
              <f>'Dashboard - Consolidado'!$B$16:$B$19</f>
            </numRef>
          </cat>
          <val>
            <numRef>
              <f>'Dashboard - Consolidado'!$D$16:$D$19</f>
            </numRef>
          </val>
        </ser>
        <dLbls>
          <numFmt formatCode="0%"/>
          <showLegendKey val="0"/>
          <showVal val="1"/>
          <showCatName val="0"/>
          <showSerName val="0"/>
          <showPercent val="0"/>
        </dLbls>
        <gapWidth val="15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general acumulado vs plan de referencia</a:t>
            </a:r>
          </a:p>
        </rich>
      </tx>
    </title>
    <plotArea>
      <barChart>
        <barDir val="col"/>
        <grouping val="clustered"/>
        <ser>
          <idx val="0"/>
          <order val="0"/>
          <tx>
            <strRef>
              <f>'Dashboard - Consolidado'!B29</f>
            </strRef>
          </tx>
          <spPr>
            <a:solidFill xmlns:a="http://schemas.openxmlformats.org/drawingml/2006/main">
              <a:srgbClr val="1F3864"/>
            </a:solidFill>
            <a:ln xmlns:a="http://schemas.openxmlformats.org/drawingml/2006/main">
              <a:prstDash val="solid"/>
            </a:ln>
          </spPr>
          <cat>
            <numRef>
              <f>'Dashboard - Consolidado'!$C$24:$F$24</f>
            </numRef>
          </cat>
          <val>
            <numRef>
              <f>'Dashboard - Consolidado'!$C$29:$F$29</f>
            </numRef>
          </val>
        </ser>
        <ser>
          <idx val="1"/>
          <order val="1"/>
          <tx>
            <strRef>
              <f>'Dashboard - Consolidado'!B30</f>
            </strRef>
          </tx>
          <spPr>
            <a:solidFill xmlns:a="http://schemas.openxmlformats.org/drawingml/2006/main">
              <a:srgbClr val="BFBFBF"/>
            </a:solidFill>
            <a:ln xmlns:a="http://schemas.openxmlformats.org/drawingml/2006/main">
              <a:prstDash val="solid"/>
            </a:ln>
          </spPr>
          <cat>
            <numRef>
              <f>'Dashboard - Consolidado'!$C$24:$F$24</f>
            </numRef>
          </cat>
          <val>
            <numRef>
              <f>'Dashboard - Consolidado'!$C$30:$F$30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34</row>
      <rowOff>0</rowOff>
    </from>
    <ext cx="5580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34</row>
      <rowOff>0</rowOff>
    </from>
    <ext cx="6300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blAct_RO" displayName="tblAct_RO" ref="A4:N104" headerRowCount="1">
  <autoFilter ref="A4:N104"/>
  <tableColumns count="14">
    <tableColumn id="1" name="N°">
      <calculatedColumnFormula>IF(NOT((COUNTA(tblAct_RO[[#This Row],[Macro Actividad]:[Avance Semana 4 (%)]])+COUNTA(tblAct_RO[[#This Row],[Observaciones]]))&gt;0),"",COUNTIF(INDEX(tblAct_RO[Estado],1):tblAct_RO[[#This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IF(NOT((COUNTA(tblAct_RO[[#This Row],[Macro Actividad]:[Avance Semana 4 (%)]])+COUNTA(tblAct_RO[[#This Row],[Observaciones]]))&gt;0),"",IFERROR(LOOKUP(2,1/(tblAct_RO[[#This Row],[Avance Semana 1 (%)]:[Avance Semana 4 (%)]]&lt;&gt;""),tblAct_RO[[#This Row],[Avance Semana 1 (%)]:[Avance Semana 4 (%)]]),0))</calculatedColumnFormula>
    </tableColumn>
    <tableColumn id="12" name="Estado">
      <calculatedColumnFormula>IF(tblAct_RO[[#This Row],[% de Avance Total Actual]]="","",IF(tblAct_RO[[#This Row],[% de Avance Total Actual]]&gt;=1,"Completado",IF(tblAct_RO[[#This Row],[% de Avance Total Actual]]&gt;0,"En curso","Pendiente")))</calculatedColumnFormula>
    </tableColumn>
    <tableColumn id="13" name="Observaciones"/>
    <tableColumn id="14" name="Revisión automática (alertas)">
      <calculatedColumnFormula>IF(NOT((COUNTA(tblAct_RO[[#This Row],[Macro Actividad]:[Avance Semana 4 (%)]])+COUNTA(tblAct_RO[[#This Row],[Observaciones]]))&gt;0),"",IF((IF(tblAct_RO[[#This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","")&amp;IF(ABS(SUM($F$5:$F$1000)-1)&gt;0.0001,"Pesos del puesto suman "&amp;TEXT(SUM($F$5:$F$1000),"0%")&amp;"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 OK","⚠ "&amp;LEFT(IF(tblAct_RO[[#This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","")&amp;IF(ABS(SUM($F$5:$F$1000)-1)&gt;0.0001,"Pesos del puesto suman "&amp;TEXT(SUM($F$5:$F$1000),"0%")&amp;"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",""),LEN(IF(tblAct_RO[[#This Row],[Macro Actividad]]="","Macroactividad vacía"&amp;" · ","")&amp;IF(tblAct_RO[[#This Row],[Responsable]]="","Sin responsable"&amp;" · ","")&amp;IF(tblAct_RO[[#This Row],[Fecha de inicio]]="","Sin fecha de inicio"&amp;" · ","")&amp;IF(tblAct_RO[[#This Row],[Fecha límite]]="","Sin fecha límite"&amp;" · ","")&amp;IF(OR(AND(tblAct_RO[[#This Row],[Fecha de inicio]]&lt;&gt;"",NOT(ISNUMBER(tblAct_RO[[#This Row],[Fecha de inicio]]))),AND(tblAct_RO[[#This Row],[Fecha límite]]&lt;&gt;"",NOT(ISNUMBER(tblAct_RO[[#This Row],[Fecha límite]])))),"Fecha no válida"&amp;" · ","")&amp;IF(AND(ISNUMBER(tblAct_RO[[#This Row],[Fecha de inicio]]),ISNUMBER(tblAct_RO[[#This Row],[Fecha límite]]),tblAct_RO[[#This Row],[Fecha de inicio]]&gt;tblAct_RO[[#This Row],[Fecha límite]]),"Inicio posterior a fecha límite"&amp;" · ","")&amp;IF(tblAct_RO[[#This Row],[Peso de actividad (%)]]="","Peso vacío"&amp;" · ","")&amp;IF(AND(tblAct_RO[[#This Row],[Peso de actividad (%)]]&lt;&gt;"",OR(NOT(ISNUMBER(tblAct_RO[[#This Row],[Peso de actividad (%)]])),tblAct_RO[[#This Row],[Peso de actividad (%)]]&lt;=0,tblAct_RO[[#This Row],[Peso de actividad (%)]]&gt;1)),"Peso fuera de rango"&amp;" · ","")&amp;IF(ABS(SUM($F$5:$F$1000)-1)&gt;0.0001,"Pesos del puesto suman "&amp;TEXT(SUM($F$5:$F$1000),"0%")&amp;" · ","")&amp;IF((COUNTIF(tblAct_RO[[#This Row],[Avance Semana 1 (%)]:[Avance Semana 4 (%)]],"&gt;1")+COUNTIF(tblAct_RO[[#This Row],[Avance Semana 1 (%)]:[Avance Semana 4 (%)]],"&lt;0")+COUNTA(tblAct_RO[[#This Row],[Avance Semana 1 (%)]:[Avance Semana 4 (%)]])-COUNT(tblAct_RO[[#This Row],[Avance Semana 1 (%)]:[Avance Semana 4 (%)]]))&gt;0,"Avance fuera de rango 0-100%"&amp;" · ","")&amp;IF(OR(AND(tblAct_RO[[#This Row],[Avance Semana 2 (%)]]&lt;&gt;"",tblAct_RO[[#This Row],[Avance Semana 2 (%)]]&lt;tblAct_RO[[#This Row],[Avance Semana 1 (%)]]),AND(tblAct_RO[[#This Row],[Avance Semana 3 (%)]]&lt;&gt;"",tblAct_RO[[#This Row],[Avance Semana 3 (%)]]&lt;MAX(tblAct_RO[[#This Row],[Avance Semana 1 (%)]:[Avance Semana 2 (%)]])),AND(tblAct_RO[[#This Row],[Avance Semana 4 (%)]]&lt;&gt;"",tblAct_RO[[#This Row],[Avance Semana 4 (%)]]&lt;MAX(tblAct_RO[[#This Row],[Avance Semana 1 (%)]:[Avance Semana 3 (%)]]))),"Avance semanal decreciente"&amp;" · ","")&amp;IF(AND(ISNUMBER(tblAct_RO[[#This Row],[Fecha límite]]),tblAct_RO[[#This Row],[Fecha límite]]&lt;FechaRef,N(tblAct_RO[[#This Row],[% de Avance Total Actual]])&lt;1),"Vencida"&amp;" · ","")&amp;IF(AND(ObsObligatoria="Sí",ISNUMBER(tblAct_RO[[#This Row],[Fecha límite]]),tblAct_RO[[#This Row],[Fecha límite]]&lt;FechaRef,N(tblAct_RO[[#This Row],[% de Avance Total Actual]])&lt;1,tblAct_RO[[#This Row],[Observaciones]]=""),"Vencida sin observación"&amp;" · ",""))-3)))</calculatedColumnFormula>
    </tableColumn>
  </tableColumns>
  <tableStyleInfo name="TableStyleLight1" showRowStripes="0"/>
</table>
</file>

<file path=xl/tables/table2.xml><?xml version="1.0" encoding="utf-8"?>
<table xmlns="http://schemas.openxmlformats.org/spreadsheetml/2006/main" id="2" name="tblSem_RO" displayName="tblSem_RO" ref="A4:J24" headerRowCount="1">
  <autoFilter ref="A4:J24"/>
  <tableColumns count="10">
    <tableColumn id="1" name="N°"/>
    <tableColumn id="2" name="Semana"/>
    <tableColumn id="3" name="Fecha objetivo"/>
    <tableColumn id="4" name="Actividad / Entregable"/>
    <tableColumn id="5" name="Criterio de aceptación"/>
    <tableColumn id="6" name="Responsable"/>
    <tableColumn id="7" name="Estado"/>
    <tableColumn id="8" name="Fecha real de cumplimiento"/>
    <tableColumn id="9" name="Evidencia / Enlace"/>
    <tableColumn id="10" name="Observaciones"/>
  </tableColumns>
  <tableStyleInfo name="TableStyleLight1" showRowStripes="0"/>
</table>
</file>

<file path=xl/tables/table3.xml><?xml version="1.0" encoding="utf-8"?>
<table xmlns="http://schemas.openxmlformats.org/spreadsheetml/2006/main" id="3" name="tblAct_RN" displayName="tblAct_RN" ref="A4:N104" headerRowCount="1">
  <autoFilter ref="A4:N104"/>
  <tableColumns count="14">
    <tableColumn id="1" name="N°">
      <calculatedColumnFormula>IF(NOT((COUNTA(tblAct_RN[[#This Row],[Macro Actividad]:[Avance Semana 4 (%)]])+COUNTA(tblAct_RN[[#This Row],[Observaciones]]))&gt;0),"",COUNTIF(INDEX(tblAct_RN[Estado],1):tblAct_RN[[#This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IF(NOT((COUNTA(tblAct_RN[[#This Row],[Macro Actividad]:[Avance Semana 4 (%)]])+COUNTA(tblAct_RN[[#This Row],[Observaciones]]))&gt;0),"",IFERROR(LOOKUP(2,1/(tblAct_RN[[#This Row],[Avance Semana 1 (%)]:[Avance Semana 4 (%)]]&lt;&gt;""),tblAct_RN[[#This Row],[Avance Semana 1 (%)]:[Avance Semana 4 (%)]]),0))</calculatedColumnFormula>
    </tableColumn>
    <tableColumn id="12" name="Estado">
      <calculatedColumnFormula>IF(tblAct_RN[[#This Row],[% de Avance Total Actual]]="","",IF(tblAct_RN[[#This Row],[% de Avance Total Actual]]&gt;=1,"Completado",IF(tblAct_RN[[#This Row],[% de Avance Total Actual]]&gt;0,"En curso","Pendiente")))</calculatedColumnFormula>
    </tableColumn>
    <tableColumn id="13" name="Observaciones"/>
    <tableColumn id="14" name="Revisión automática (alertas)">
      <calculatedColumnFormula>IF(NOT((COUNTA(tblAct_RN[[#This Row],[Macro Actividad]:[Avance Semana 4 (%)]])+COUNTA(tblAct_RN[[#This Row],[Observaciones]]))&gt;0),"",IF((IF(tblAct_RN[[#This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","")&amp;IF(ABS(SUM($F$5:$F$1000)-1)&gt;0.0001,"Pesos del puesto suman "&amp;TEXT(SUM($F$5:$F$1000),"0%")&amp;"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 OK","⚠ "&amp;LEFT(IF(tblAct_RN[[#This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","")&amp;IF(ABS(SUM($F$5:$F$1000)-1)&gt;0.0001,"Pesos del puesto suman "&amp;TEXT(SUM($F$5:$F$1000),"0%")&amp;"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",""),LEN(IF(tblAct_RN[[#This Row],[Macro Actividad]]="","Macroactividad vacía"&amp;" · ","")&amp;IF(tblAct_RN[[#This Row],[Responsable]]="","Sin responsable"&amp;" · ","")&amp;IF(tblAct_RN[[#This Row],[Fecha de inicio]]="","Sin fecha de inicio"&amp;" · ","")&amp;IF(tblAct_RN[[#This Row],[Fecha límite]]="","Sin fecha límite"&amp;" · ","")&amp;IF(OR(AND(tblAct_RN[[#This Row],[Fecha de inicio]]&lt;&gt;"",NOT(ISNUMBER(tblAct_RN[[#This Row],[Fecha de inicio]]))),AND(tblAct_RN[[#This Row],[Fecha límite]]&lt;&gt;"",NOT(ISNUMBER(tblAct_RN[[#This Row],[Fecha límite]])))),"Fecha no válida"&amp;" · ","")&amp;IF(AND(ISNUMBER(tblAct_RN[[#This Row],[Fecha de inicio]]),ISNUMBER(tblAct_RN[[#This Row],[Fecha límite]]),tblAct_RN[[#This Row],[Fecha de inicio]]&gt;tblAct_RN[[#This Row],[Fecha límite]]),"Inicio posterior a fecha límite"&amp;" · ","")&amp;IF(tblAct_RN[[#This Row],[Peso de actividad (%)]]="","Peso vacío"&amp;" · ","")&amp;IF(AND(tblAct_RN[[#This Row],[Peso de actividad (%)]]&lt;&gt;"",OR(NOT(ISNUMBER(tblAct_RN[[#This Row],[Peso de actividad (%)]])),tblAct_RN[[#This Row],[Peso de actividad (%)]]&lt;=0,tblAct_RN[[#This Row],[Peso de actividad (%)]]&gt;1)),"Peso fuera de rango"&amp;" · ","")&amp;IF(ABS(SUM($F$5:$F$1000)-1)&gt;0.0001,"Pesos del puesto suman "&amp;TEXT(SUM($F$5:$F$1000),"0%")&amp;" · ","")&amp;IF((COUNTIF(tblAct_RN[[#This Row],[Avance Semana 1 (%)]:[Avance Semana 4 (%)]],"&gt;1")+COUNTIF(tblAct_RN[[#This Row],[Avance Semana 1 (%)]:[Avance Semana 4 (%)]],"&lt;0")+COUNTA(tblAct_RN[[#This Row],[Avance Semana 1 (%)]:[Avance Semana 4 (%)]])-COUNT(tblAct_RN[[#This Row],[Avance Semana 1 (%)]:[Avance Semana 4 (%)]]))&gt;0,"Avance fuera de rango 0-100%"&amp;" · ","")&amp;IF(OR(AND(tblAct_RN[[#This Row],[Avance Semana 2 (%)]]&lt;&gt;"",tblAct_RN[[#This Row],[Avance Semana 2 (%)]]&lt;tblAct_RN[[#This Row],[Avance Semana 1 (%)]]),AND(tblAct_RN[[#This Row],[Avance Semana 3 (%)]]&lt;&gt;"",tblAct_RN[[#This Row],[Avance Semana 3 (%)]]&lt;MAX(tblAct_RN[[#This Row],[Avance Semana 1 (%)]:[Avance Semana 2 (%)]])),AND(tblAct_RN[[#This Row],[Avance Semana 4 (%)]]&lt;&gt;"",tblAct_RN[[#This Row],[Avance Semana 4 (%)]]&lt;MAX(tblAct_RN[[#This Row],[Avance Semana 1 (%)]:[Avance Semana 3 (%)]]))),"Avance semanal decreciente"&amp;" · ","")&amp;IF(AND(ISNUMBER(tblAct_RN[[#This Row],[Fecha límite]]),tblAct_RN[[#This Row],[Fecha límite]]&lt;FechaRef,N(tblAct_RN[[#This Row],[% de Avance Total Actual]])&lt;1),"Vencida"&amp;" · ","")&amp;IF(AND(ObsObligatoria="Sí",ISNUMBER(tblAct_RN[[#This Row],[Fecha límite]]),tblAct_RN[[#This Row],[Fecha límite]]&lt;FechaRef,N(tblAct_RN[[#This Row],[% de Avance Total Actual]])&lt;1,tblAct_RN[[#This Row],[Observaciones]]=""),"Vencida sin observación"&amp;" · ",""))-3)))</calculatedColumnFormula>
    </tableColumn>
  </tableColumns>
  <tableStyleInfo name="TableStyleLight1" showRowStripes="0"/>
</table>
</file>

<file path=xl/tables/table4.xml><?xml version="1.0" encoding="utf-8"?>
<table xmlns="http://schemas.openxmlformats.org/spreadsheetml/2006/main" id="4" name="tblSem_RN" displayName="tblSem_RN" ref="A4:J24" headerRowCount="1">
  <autoFilter ref="A4:J24"/>
  <tableColumns count="10">
    <tableColumn id="1" name="N°"/>
    <tableColumn id="2" name="Semana"/>
    <tableColumn id="3" name="Fecha objetivo"/>
    <tableColumn id="4" name="Actividad / Entregable"/>
    <tableColumn id="5" name="Criterio de aceptación"/>
    <tableColumn id="6" name="Responsable"/>
    <tableColumn id="7" name="Estado"/>
    <tableColumn id="8" name="Fecha real de cumplimiento"/>
    <tableColumn id="9" name="Evidencia / Enlace"/>
    <tableColumn id="10" name="Observaciones"/>
  </tableColumns>
  <tableStyleInfo name="TableStyleLight1" showRowStripes="0"/>
</table>
</file>

<file path=xl/tables/table5.xml><?xml version="1.0" encoding="utf-8"?>
<table xmlns="http://schemas.openxmlformats.org/spreadsheetml/2006/main" id="5" name="tblAct_RF" displayName="tblAct_RF" ref="A4:N104" headerRowCount="1">
  <autoFilter ref="A4:N104"/>
  <tableColumns count="14">
    <tableColumn id="1" name="N°">
      <calculatedColumnFormula>IF(NOT((COUNTA(tblAct_RF[[#This Row],[Macro Actividad]:[Avance Semana 4 (%)]])+COUNTA(tblAct_RF[[#This Row],[Observaciones]]))&gt;0),"",COUNTIF(INDEX(tblAct_RF[Estado],1):tblAct_RF[[#This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IF(NOT((COUNTA(tblAct_RF[[#This Row],[Macro Actividad]:[Avance Semana 4 (%)]])+COUNTA(tblAct_RF[[#This Row],[Observaciones]]))&gt;0),"",IFERROR(LOOKUP(2,1/(tblAct_RF[[#This Row],[Avance Semana 1 (%)]:[Avance Semana 4 (%)]]&lt;&gt;""),tblAct_RF[[#This Row],[Avance Semana 1 (%)]:[Avance Semana 4 (%)]]),0))</calculatedColumnFormula>
    </tableColumn>
    <tableColumn id="12" name="Estado">
      <calculatedColumnFormula>IF(tblAct_RF[[#This Row],[% de Avance Total Actual]]="","",IF(tblAct_RF[[#This Row],[% de Avance Total Actual]]&gt;=1,"Completado",IF(tblAct_RF[[#This Row],[% de Avance Total Actual]]&gt;0,"En curso","Pendiente")))</calculatedColumnFormula>
    </tableColumn>
    <tableColumn id="13" name="Observaciones"/>
    <tableColumn id="14" name="Revisión automática (alertas)">
      <calculatedColumnFormula>IF(NOT((COUNTA(tblAct_RF[[#This Row],[Macro Actividad]:[Avance Semana 4 (%)]])+COUNTA(tblAct_RF[[#This Row],[Observaciones]]))&gt;0),"",IF((IF(tblAct_RF[[#This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","")&amp;IF(ABS(SUM($F$5:$F$1000)-1)&gt;0.0001,"Pesos del puesto suman "&amp;TEXT(SUM($F$5:$F$1000),"0%")&amp;"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 OK","⚠ "&amp;LEFT(IF(tblAct_RF[[#This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","")&amp;IF(ABS(SUM($F$5:$F$1000)-1)&gt;0.0001,"Pesos del puesto suman "&amp;TEXT(SUM($F$5:$F$1000),"0%")&amp;"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",""),LEN(IF(tblAct_RF[[#This Row],[Macro Actividad]]="","Macroactividad vacía"&amp;" · ","")&amp;IF(tblAct_RF[[#This Row],[Responsable]]="","Sin responsable"&amp;" · ","")&amp;IF(tblAct_RF[[#This Row],[Fecha de inicio]]="","Sin fecha de inicio"&amp;" · ","")&amp;IF(tblAct_RF[[#This Row],[Fecha límite]]="","Sin fecha límite"&amp;" · ","")&amp;IF(OR(AND(tblAct_RF[[#This Row],[Fecha de inicio]]&lt;&gt;"",NOT(ISNUMBER(tblAct_RF[[#This Row],[Fecha de inicio]]))),AND(tblAct_RF[[#This Row],[Fecha límite]]&lt;&gt;"",NOT(ISNUMBER(tblAct_RF[[#This Row],[Fecha límite]])))),"Fecha no válida"&amp;" · ","")&amp;IF(AND(ISNUMBER(tblAct_RF[[#This Row],[Fecha de inicio]]),ISNUMBER(tblAct_RF[[#This Row],[Fecha límite]]),tblAct_RF[[#This Row],[Fecha de inicio]]&gt;tblAct_RF[[#This Row],[Fecha límite]]),"Inicio posterior a fecha límite"&amp;" · ","")&amp;IF(tblAct_RF[[#This Row],[Peso de actividad (%)]]="","Peso vacío"&amp;" · ","")&amp;IF(AND(tblAct_RF[[#This Row],[Peso de actividad (%)]]&lt;&gt;"",OR(NOT(ISNUMBER(tblAct_RF[[#This Row],[Peso de actividad (%)]])),tblAct_RF[[#This Row],[Peso de actividad (%)]]&lt;=0,tblAct_RF[[#This Row],[Peso de actividad (%)]]&gt;1)),"Peso fuera de rango"&amp;" · ","")&amp;IF(ABS(SUM($F$5:$F$1000)-1)&gt;0.0001,"Pesos del puesto suman "&amp;TEXT(SUM($F$5:$F$1000),"0%")&amp;" · ","")&amp;IF((COUNTIF(tblAct_RF[[#This Row],[Avance Semana 1 (%)]:[Avance Semana 4 (%)]],"&gt;1")+COUNTIF(tblAct_RF[[#This Row],[Avance Semana 1 (%)]:[Avance Semana 4 (%)]],"&lt;0")+COUNTA(tblAct_RF[[#This Row],[Avance Semana 1 (%)]:[Avance Semana 4 (%)]])-COUNT(tblAct_RF[[#This Row],[Avance Semana 1 (%)]:[Avance Semana 4 (%)]]))&gt;0,"Avance fuera de rango 0-100%"&amp;" · ","")&amp;IF(OR(AND(tblAct_RF[[#This Row],[Avance Semana 2 (%)]]&lt;&gt;"",tblAct_RF[[#This Row],[Avance Semana 2 (%)]]&lt;tblAct_RF[[#This Row],[Avance Semana 1 (%)]]),AND(tblAct_RF[[#This Row],[Avance Semana 3 (%)]]&lt;&gt;"",tblAct_RF[[#This Row],[Avance Semana 3 (%)]]&lt;MAX(tblAct_RF[[#This Row],[Avance Semana 1 (%)]:[Avance Semana 2 (%)]])),AND(tblAct_RF[[#This Row],[Avance Semana 4 (%)]]&lt;&gt;"",tblAct_RF[[#This Row],[Avance Semana 4 (%)]]&lt;MAX(tblAct_RF[[#This Row],[Avance Semana 1 (%)]:[Avance Semana 3 (%)]]))),"Avance semanal decreciente"&amp;" · ","")&amp;IF(AND(ISNUMBER(tblAct_RF[[#This Row],[Fecha límite]]),tblAct_RF[[#This Row],[Fecha límite]]&lt;FechaRef,N(tblAct_RF[[#This Row],[% de Avance Total Actual]])&lt;1),"Vencida"&amp;" · ","")&amp;IF(AND(ObsObligatoria="Sí",ISNUMBER(tblAct_RF[[#This Row],[Fecha límite]]),tblAct_RF[[#This Row],[Fecha límite]]&lt;FechaRef,N(tblAct_RF[[#This Row],[% de Avance Total Actual]])&lt;1,tblAct_RF[[#This Row],[Observaciones]]=""),"Vencida sin observación"&amp;" · ",""))-3)))</calculatedColumnFormula>
    </tableColumn>
  </tableColumns>
  <tableStyleInfo name="TableStyleLight1" showRowStripes="0"/>
</table>
</file>

<file path=xl/tables/table6.xml><?xml version="1.0" encoding="utf-8"?>
<table xmlns="http://schemas.openxmlformats.org/spreadsheetml/2006/main" id="6" name="tblSem_RF" displayName="tblSem_RF" ref="A4:J24" headerRowCount="1">
  <autoFilter ref="A4:J24"/>
  <tableColumns count="10">
    <tableColumn id="1" name="N°"/>
    <tableColumn id="2" name="Semana"/>
    <tableColumn id="3" name="Fecha objetivo"/>
    <tableColumn id="4" name="Actividad / Entregable"/>
    <tableColumn id="5" name="Criterio de aceptación"/>
    <tableColumn id="6" name="Responsable"/>
    <tableColumn id="7" name="Estado"/>
    <tableColumn id="8" name="Fecha real de cumplimiento"/>
    <tableColumn id="9" name="Evidencia / Enlace"/>
    <tableColumn id="10" name="Observaciones"/>
  </tableColumns>
  <tableStyleInfo name="TableStyleLight1" showRowStripes="0"/>
</table>
</file>

<file path=xl/tables/table7.xml><?xml version="1.0" encoding="utf-8"?>
<table xmlns="http://schemas.openxmlformats.org/spreadsheetml/2006/main" id="7" name="tblAct_ATR" displayName="tblAct_ATR" ref="A4:N104" headerRowCount="1">
  <autoFilter ref="A4:N104"/>
  <tableColumns count="14">
    <tableColumn id="1" name="N°">
      <calculatedColumnFormula>IF(NOT((COUNTA(tblAct_ATR[[#This Row],[Macro Actividad]:[Avance Semana 4 (%)]])+COUNTA(tblAct_ATR[[#This Row],[Observaciones]]))&gt;0),"",COUNTIF(INDEX(tblAct_ATR[Estado],1):tblAct_ATR[[#This Row],[Estado]],"?*"))</calculatedColumnFormula>
    </tableColumn>
    <tableColumn id="2" name="Macro Actividad"/>
    <tableColumn id="3" name="Responsable"/>
    <tableColumn id="4" name="Fecha de inicio"/>
    <tableColumn id="5" name="Fecha límite"/>
    <tableColumn id="6" name="Peso de actividad (%)"/>
    <tableColumn id="7" name="Avance Semana 1 (%)"/>
    <tableColumn id="8" name="Avance Semana 2 (%)"/>
    <tableColumn id="9" name="Avance Semana 3 (%)"/>
    <tableColumn id="10" name="Avance Semana 4 (%)"/>
    <tableColumn id="11" name="% de Avance Total Actual">
      <calculatedColumnFormula>IF(NOT((COUNTA(tblAct_ATR[[#This Row],[Macro Actividad]:[Avance Semana 4 (%)]])+COUNTA(tblAct_ATR[[#This Row],[Observaciones]]))&gt;0),"",IFERROR(LOOKUP(2,1/(tblAct_ATR[[#This Row],[Avance Semana 1 (%)]:[Avance Semana 4 (%)]]&lt;&gt;""),tblAct_ATR[[#This Row],[Avance Semana 1 (%)]:[Avance Semana 4 (%)]]),0))</calculatedColumnFormula>
    </tableColumn>
    <tableColumn id="12" name="Estado">
      <calculatedColumnFormula>IF(tblAct_ATR[[#This Row],[% de Avance Total Actual]]="","",IF(tblAct_ATR[[#This Row],[% de Avance Total Actual]]&gt;=1,"Completado",IF(tblAct_ATR[[#This Row],[% de Avance Total Actual]]&gt;0,"En curso","Pendiente")))</calculatedColumnFormula>
    </tableColumn>
    <tableColumn id="13" name="Observaciones"/>
    <tableColumn id="14" name="Revisión automática (alertas)">
      <calculatedColumnFormula>IF(NOT((COUNTA(tblAct_ATR[[#This Row],[Macro Actividad]:[Avance Semana 4 (%)]])+COUNTA(tblAct_ATR[[#This Row],[Observaciones]]))&gt;0),"",IF((IF(tblAct_ATR[[#This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","")&amp;IF(ABS(SUM($F$5:$F$1000)-1)&gt;0.0001,"Pesos del puesto suman "&amp;TEXT(SUM($F$5:$F$1000),"0%")&amp;"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 OK","⚠ "&amp;LEFT(IF(tblAct_ATR[[#This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","")&amp;IF(ABS(SUM($F$5:$F$1000)-1)&gt;0.0001,"Pesos del puesto suman "&amp;TEXT(SUM($F$5:$F$1000),"0%")&amp;"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",""),LEN(IF(tblAct_ATR[[#This Row],[Macro Actividad]]="","Macroactividad vacía"&amp;" · ","")&amp;IF(tblAct_ATR[[#This Row],[Responsable]]="","Sin responsable"&amp;" · ","")&amp;IF(tblAct_ATR[[#This Row],[Fecha de inicio]]="","Sin fecha de inicio"&amp;" · ","")&amp;IF(tblAct_ATR[[#This Row],[Fecha límite]]="","Sin fecha límite"&amp;" · ","")&amp;IF(OR(AND(tblAct_ATR[[#This Row],[Fecha de inicio]]&lt;&gt;"",NOT(ISNUMBER(tblAct_ATR[[#This Row],[Fecha de inicio]]))),AND(tblAct_ATR[[#This Row],[Fecha límite]]&lt;&gt;"",NOT(ISNUMBER(tblAct_ATR[[#This Row],[Fecha límite]])))),"Fecha no válida"&amp;" · ","")&amp;IF(AND(ISNUMBER(tblAct_ATR[[#This Row],[Fecha de inicio]]),ISNUMBER(tblAct_ATR[[#This Row],[Fecha límite]]),tblAct_ATR[[#This Row],[Fecha de inicio]]&gt;tblAct_ATR[[#This Row],[Fecha límite]]),"Inicio posterior a fecha límite"&amp;" · ","")&amp;IF(tblAct_ATR[[#This Row],[Peso de actividad (%)]]="","Peso vacío"&amp;" · ","")&amp;IF(AND(tblAct_ATR[[#This Row],[Peso de actividad (%)]]&lt;&gt;"",OR(NOT(ISNUMBER(tblAct_ATR[[#This Row],[Peso de actividad (%)]])),tblAct_ATR[[#This Row],[Peso de actividad (%)]]&lt;=0,tblAct_ATR[[#This Row],[Peso de actividad (%)]]&gt;1)),"Peso fuera de rango"&amp;" · ","")&amp;IF(ABS(SUM($F$5:$F$1000)-1)&gt;0.0001,"Pesos del puesto suman "&amp;TEXT(SUM($F$5:$F$1000),"0%")&amp;" · ","")&amp;IF((COUNTIF(tblAct_ATR[[#This Row],[Avance Semana 1 (%)]:[Avance Semana 4 (%)]],"&gt;1")+COUNTIF(tblAct_ATR[[#This Row],[Avance Semana 1 (%)]:[Avance Semana 4 (%)]],"&lt;0")+COUNTA(tblAct_ATR[[#This Row],[Avance Semana 1 (%)]:[Avance Semana 4 (%)]])-COUNT(tblAct_ATR[[#This Row],[Avance Semana 1 (%)]:[Avance Semana 4 (%)]]))&gt;0,"Avance fuera de rango 0-100%"&amp;" · ","")&amp;IF(OR(AND(tblAct_ATR[[#This Row],[Avance Semana 2 (%)]]&lt;&gt;"",tblAct_ATR[[#This Row],[Avance Semana 2 (%)]]&lt;tblAct_ATR[[#This Row],[Avance Semana 1 (%)]]),AND(tblAct_ATR[[#This Row],[Avance Semana 3 (%)]]&lt;&gt;"",tblAct_ATR[[#This Row],[Avance Semana 3 (%)]]&lt;MAX(tblAct_ATR[[#This Row],[Avance Semana 1 (%)]:[Avance Semana 2 (%)]])),AND(tblAct_ATR[[#This Row],[Avance Semana 4 (%)]]&lt;&gt;"",tblAct_ATR[[#This Row],[Avance Semana 4 (%)]]&lt;MAX(tblAct_ATR[[#This Row],[Avance Semana 1 (%)]:[Avance Semana 3 (%)]]))),"Avance semanal decreciente"&amp;" · ","")&amp;IF(AND(ISNUMBER(tblAct_ATR[[#This Row],[Fecha límite]]),tblAct_ATR[[#This Row],[Fecha límite]]&lt;FechaRef,N(tblAct_ATR[[#This Row],[% de Avance Total Actual]])&lt;1),"Vencida"&amp;" · ","")&amp;IF(AND(ObsObligatoria="Sí",ISNUMBER(tblAct_ATR[[#This Row],[Fecha límite]]),tblAct_ATR[[#This Row],[Fecha límite]]&lt;FechaRef,N(tblAct_ATR[[#This Row],[% de Avance Total Actual]])&lt;1,tblAct_ATR[[#This Row],[Observaciones]]=""),"Vencida sin observación"&amp;" · ",""))-3)))</calculatedColumnFormula>
    </tableColumn>
  </tableColumns>
  <tableStyleInfo name="TableStyleLight1" showRowStripes="0"/>
</table>
</file>

<file path=xl/tables/table8.xml><?xml version="1.0" encoding="utf-8"?>
<table xmlns="http://schemas.openxmlformats.org/spreadsheetml/2006/main" id="8" name="tblSem_ATR" displayName="tblSem_ATR" ref="A4:J24" headerRowCount="1">
  <autoFilter ref="A4:J24"/>
  <tableColumns count="10">
    <tableColumn id="1" name="N°"/>
    <tableColumn id="2" name="Semana"/>
    <tableColumn id="3" name="Fecha objetivo"/>
    <tableColumn id="4" name="Actividad / Entregable"/>
    <tableColumn id="5" name="Criterio de aceptación"/>
    <tableColumn id="6" name="Responsable"/>
    <tableColumn id="7" name="Estado"/>
    <tableColumn id="8" name="Fecha real de cumplimiento"/>
    <tableColumn id="9" name="Evidencia / Enlace"/>
    <tableColumn id="10"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drawing" Target="/xl/drawings/drawing1.xml" Id="rId9"/></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fitToPage="1"/>
  </sheetPr>
  <dimension ref="B1:M73"/>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5"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del proyecto</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t="inlineStr">
        <is>
          <t>En los 4 cronogramas</t>
        </is>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Cada puesto registra sus actividades y pesos en su hoja «Cronograma …».",IF(NOT('Calculos'!$E$8),"⚠ Avance global NO definitivo: "&amp;(4-'Calculos'!$C$8)&amp;" puesto(s) sin actividades válidas o con pesos que no suman 100%.",IF('Calculos'!$M$8,"Proyecto: ¡Enhorabuena, completado anticipadamente!",IF('Calculos'!$L$8,"Proyecto completado: meta del 100% alcanzada.","Proyecto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suman "&amp;TEXT('Calculos'!C4,"0%")&amp;IF('Calculos'!D4&gt;0," / "&amp;'Calculos'!D4&amp;" vacío(s)",""),IF('Calculos'!L4,"Completado",IF('Calculos'!F4&gt;0,"En curso","Pendiente"))))</f>
        <v/>
      </c>
      <c r="L16" s="22">
        <f>IF('Calculos'!B4=0,"⚠ Registrar actividades",IF(NOT('Calculos'!E4),"⚠ Configurar ponderación al 100%",IF('Calculos'!M4,"¡Enhorabuena, completado anticipadamente!",IF('Calculos'!L4,"Completado","En ejecución"))))</f>
        <v/>
      </c>
      <c r="M16" s="22" t="n"/>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suman "&amp;TEXT('Calculos'!C5,"0%")&amp;IF('Calculos'!D5&gt;0," / "&amp;'Calculos'!D5&amp;" vacío(s)",""),IF('Calculos'!L5,"Completado",IF('Calculos'!F5&gt;0,"En curso","Pendiente"))))</f>
        <v/>
      </c>
      <c r="L17" s="22">
        <f>IF('Calculos'!B5=0,"⚠ Registrar actividades",IF(NOT('Calculos'!E5),"⚠ Configurar ponderación al 100%",IF('Calculos'!M5,"¡Enhorabuena, completado anticipadamente!",IF('Calculos'!L5,"Completado","En ejecución"))))</f>
        <v/>
      </c>
      <c r="M17" s="22" t="n"/>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suman "&amp;TEXT('Calculos'!C6,"0%")&amp;IF('Calculos'!D6&gt;0," / "&amp;'Calculos'!D6&amp;" vacío(s)",""),IF('Calculos'!L6,"Completado",IF('Calculos'!F6&gt;0,"En curso","Pendiente"))))</f>
        <v/>
      </c>
      <c r="L18" s="22">
        <f>IF('Calculos'!B6=0,"⚠ Registrar actividades",IF(NOT('Calculos'!E6),"⚠ Configurar ponderación al 100%",IF('Calculos'!M6,"¡Enhorabuena, completado anticipadamente!",IF('Calculos'!L6,"Completado","En ejecución"))))</f>
        <v/>
      </c>
      <c r="M18" s="22" t="n"/>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suman "&amp;TEXT('Calculos'!C7,"0%")&amp;IF('Calculos'!D7&gt;0," / "&amp;'Calculos'!D7&amp;" vacío(s)",""),IF('Calculos'!L7,"Completado",IF('Calculos'!F7&gt;0,"En curso","Pendiente"))))</f>
        <v/>
      </c>
      <c r="L19" s="22">
        <f>IF('Calculos'!B7=0,"⚠ Registrar actividades",IF(NOT('Calculos'!E7),"⚠ Configurar ponderación al 100%",IF('Calculos'!M7,"¡Enhorabuena, completado anticipadamente!",IF('Calculos'!L7,"Completado","En ejecución"))))</f>
        <v/>
      </c>
      <c r="M19" s="22" t="n"/>
    </row>
    <row r="20" ht="28" customHeight="1">
      <c r="B20" s="26" t="inlineStr">
        <is>
          <t>Total proyecto</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row>
    <row r="29">
      <c r="B29" s="26" t="inlineStr">
        <is>
          <t>Avance general del proyecto</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global no definitivo; celda vacía = semana aún no alcanzada. Ámbar = acumulado por debajo del plan de referencia.</t>
        </is>
      </c>
      <c r="C33" s="40" t="n"/>
      <c r="D33" s="40" t="n"/>
      <c r="E33" s="40" t="n"/>
      <c r="F33" s="40" t="n"/>
      <c r="G33" s="40" t="n"/>
      <c r="H33" s="40" t="n"/>
      <c r="I33" s="40" t="n"/>
      <c r="J33" s="40" t="n"/>
      <c r="K33" s="40" t="n"/>
      <c r="L33" s="40" t="n"/>
      <c r="M33" s="40" t="n"/>
    </row>
    <row r="51" ht="24" customHeight="1">
      <c r="B51" s="17" t="inlineStr">
        <is>
          <t>Control de calidad de datos</t>
        </is>
      </c>
      <c r="C51" s="17" t="n"/>
      <c r="D51" s="17" t="n"/>
      <c r="E51" s="17" t="n"/>
      <c r="F51" s="17" t="n"/>
      <c r="G51" s="17" t="n"/>
      <c r="H51" s="17" t="n"/>
      <c r="I51" s="17" t="n"/>
      <c r="J51" s="17" t="n"/>
      <c r="K51" s="17" t="n"/>
      <c r="L51" s="17" t="n"/>
      <c r="M51" s="17" t="n"/>
    </row>
    <row r="52">
      <c r="B52" s="7" t="inlineStr">
        <is>
          <t>Verificación</t>
        </is>
      </c>
      <c r="C52" s="7" t="n"/>
      <c r="D52" s="7" t="n"/>
      <c r="E52" s="7" t="n"/>
      <c r="F52" s="7" t="n"/>
      <c r="G52" s="7" t="inlineStr">
        <is>
          <t>Casos</t>
        </is>
      </c>
      <c r="H52" s="7" t="inlineStr">
        <is>
          <t>Resultado</t>
        </is>
      </c>
      <c r="I52" s="7" t="inlineStr">
        <is>
          <t>Acción sugerida</t>
        </is>
      </c>
      <c r="J52" s="7" t="n"/>
      <c r="K52" s="7" t="n"/>
      <c r="L52" s="7" t="n"/>
      <c r="M52" s="7" t="n"/>
    </row>
    <row r="53" ht="20" customHeight="1">
      <c r="B53" s="41" t="inlineStr">
        <is>
          <t>Puestos sin actividades registradas</t>
        </is>
      </c>
      <c r="C53" s="41" t="n"/>
      <c r="D53" s="41" t="n"/>
      <c r="E53" s="41" t="n"/>
      <c r="F53" s="41" t="n"/>
      <c r="G53" s="42">
        <f>COUNTIF('Calculos'!B4:B7,0)</f>
        <v/>
      </c>
      <c r="H53" s="43">
        <f>IF(G53=0,"✔ OK",IF("crit"="warn","● Atención","⚠ Revisar"))</f>
        <v/>
      </c>
      <c r="I53" s="44" t="inlineStr">
        <is>
          <t>Registrar al menos una macroactividad por puesto.</t>
        </is>
      </c>
      <c r="J53" s="44" t="n"/>
      <c r="K53" s="44" t="n"/>
      <c r="L53" s="44" t="n"/>
      <c r="M53" s="44" t="n"/>
    </row>
    <row r="54" ht="20" customHeight="1">
      <c r="B54" s="41" t="inlineStr">
        <is>
          <t>Puestos cuya ponderación no suma 100% (o con pesos vacíos)</t>
        </is>
      </c>
      <c r="C54" s="41" t="n"/>
      <c r="D54" s="41" t="n"/>
      <c r="E54" s="41" t="n"/>
      <c r="F54" s="41" t="n"/>
      <c r="G54" s="42">
        <f>COUNTIFS('Calculos'!B4:B7,"&gt;0",'Calculos'!E4:E7,FALSE)</f>
        <v/>
      </c>
      <c r="H54" s="43">
        <f>IF(G54=0,"✔ OK",IF("crit"="warn","● Atención","⚠ Revisar"))</f>
        <v/>
      </c>
      <c r="I54" s="44" t="inlineStr">
        <is>
          <t>Ajustar los pesos del puesto hasta sumar 100%.</t>
        </is>
      </c>
      <c r="J54" s="44" t="n"/>
      <c r="K54" s="44" t="n"/>
      <c r="L54" s="44" t="n"/>
      <c r="M54" s="44" t="n"/>
    </row>
    <row r="55" ht="20" customHeight="1">
      <c r="B55" s="41" t="inlineStr">
        <is>
          <t>Actividades con peso vacío o fuera de rango</t>
        </is>
      </c>
      <c r="C55" s="41" t="n"/>
      <c r="D55" s="41" t="n"/>
      <c r="E55" s="41" t="n"/>
      <c r="F55" s="41" t="n"/>
      <c r="G55" s="42">
        <f>SUMPRODUCT(--((ISNUMBER(SEARCH("Peso vacío",rValid_RO))+ISNUMBER(SEARCH("Peso fuera de rango",rValid_RO)))&gt;0))+SUMPRODUCT(--((ISNUMBER(SEARCH("Peso vacío",rValid_RN))+ISNUMBER(SEARCH("Peso fuera de rango",rValid_RN)))&gt;0))+SUMPRODUCT(--((ISNUMBER(SEARCH("Peso vacío",rValid_RF))+ISNUMBER(SEARCH("Peso fuera de rango",rValid_RF)))&gt;0))+SUMPRODUCT(--((ISNUMBER(SEARCH("Peso vacío",rValid_ATR))+ISNUMBER(SEARCH("Peso fuera de rango",rValid_ATR)))&gt;0))</f>
        <v/>
      </c>
      <c r="H55" s="43">
        <f>IF(G55=0,"✔ OK",IF("crit"="warn","● Atención","⚠ Revisar"))</f>
        <v/>
      </c>
      <c r="I55" s="44" t="inlineStr">
        <is>
          <t>Ingresar un peso entre 0% y 100% (mayor que 0).</t>
        </is>
      </c>
      <c r="J55" s="44" t="n"/>
      <c r="K55" s="44" t="n"/>
      <c r="L55" s="44" t="n"/>
      <c r="M55" s="44" t="n"/>
    </row>
    <row r="56" ht="20" customHeight="1">
      <c r="B56" s="41" t="inlineStr">
        <is>
          <t>Actividades sin responsable</t>
        </is>
      </c>
      <c r="C56" s="41" t="n"/>
      <c r="D56" s="41" t="n"/>
      <c r="E56" s="41" t="n"/>
      <c r="F56" s="41" t="n"/>
      <c r="G56" s="42">
        <f>SUMPRODUCT(--((ISNUMBER(SEARCH("Sin responsable",rValid_RO)))&gt;0))+SUMPRODUCT(--((ISNUMBER(SEARCH("Sin responsable",rValid_RN)))&gt;0))+SUMPRODUCT(--((ISNUMBER(SEARCH("Sin responsable",rValid_RF)))&gt;0))+SUMPRODUCT(--((ISNUMBER(SEARCH("Sin responsable",rValid_ATR)))&gt;0))</f>
        <v/>
      </c>
      <c r="H56" s="43">
        <f>IF(G56=0,"✔ OK",IF("crit"="warn","● Atención","⚠ Revisar"))</f>
        <v/>
      </c>
      <c r="I56" s="44" t="inlineStr">
        <is>
          <t>Asignar responsable.</t>
        </is>
      </c>
      <c r="J56" s="44" t="n"/>
      <c r="K56" s="44" t="n"/>
      <c r="L56" s="44" t="n"/>
      <c r="M56" s="44" t="n"/>
    </row>
    <row r="57" ht="20" customHeight="1">
      <c r="B57" s="41" t="inlineStr">
        <is>
          <t>Actividades sin fecha límite</t>
        </is>
      </c>
      <c r="C57" s="41" t="n"/>
      <c r="D57" s="41" t="n"/>
      <c r="E57" s="41" t="n"/>
      <c r="F57" s="41" t="n"/>
      <c r="G57" s="42">
        <f>SUMPRODUCT(--((ISNUMBER(SEARCH("Sin fecha límite",rValid_RO)))&gt;0))+SUMPRODUCT(--((ISNUMBER(SEARCH("Sin fecha límite",rValid_RN)))&gt;0))+SUMPRODUCT(--((ISNUMBER(SEARCH("Sin fecha límite",rValid_RF)))&gt;0))+SUMPRODUCT(--((ISNUMBER(SEARCH("Sin fecha límite",rValid_ATR)))&gt;0))</f>
        <v/>
      </c>
      <c r="H57" s="43">
        <f>IF(G57=0,"✔ OK",IF("crit"="warn","● Atención","⚠ Revisar"))</f>
        <v/>
      </c>
      <c r="I57" s="44" t="inlineStr">
        <is>
          <t>Registrar la fecha límite.</t>
        </is>
      </c>
      <c r="J57" s="44" t="n"/>
      <c r="K57" s="44" t="n"/>
      <c r="L57" s="44" t="n"/>
      <c r="M57" s="44" t="n"/>
    </row>
    <row r="58" ht="20" customHeight="1">
      <c r="B58" s="41" t="inlineStr">
        <is>
          <t>Fechas incoherentes o no válidas (incluye sin fecha de inicio)</t>
        </is>
      </c>
      <c r="C58" s="41" t="n"/>
      <c r="D58" s="41" t="n"/>
      <c r="E58" s="41" t="n"/>
      <c r="F58" s="41" t="n"/>
      <c r="G58" s="42">
        <f>SUMPRODUCT(--((ISNUMBER(SEARCH("Inicio posterior",rValid_RO))+ISNUMBER(SEARCH("Fecha no válida",rValid_RO))+ISNUMBER(SEARCH("Sin fecha de inicio",rValid_RO)))&gt;0))+SUMPRODUCT(--((ISNUMBER(SEARCH("Inicio posterior",rValid_RN))+ISNUMBER(SEARCH("Fecha no válida",rValid_RN))+ISNUMBER(SEARCH("Sin fecha de inicio",rValid_RN)))&gt;0))+SUMPRODUCT(--((ISNUMBER(SEARCH("Inicio posterior",rValid_RF))+ISNUMBER(SEARCH("Fecha no válida",rValid_RF))+ISNUMBER(SEARCH("Sin fecha de inicio",rValid_RF)))&gt;0))+SUMPRODUCT(--((ISNUMBER(SEARCH("Inicio posterior",rValid_ATR))+ISNUMBER(SEARCH("Fecha no válida",rValid_ATR))+ISNUMBER(SEARCH("Sin fecha de inicio",rValid_ATR)))&gt;0))</f>
        <v/>
      </c>
      <c r="H58" s="43">
        <f>IF(G58=0,"✔ OK",IF("crit"="warn","● Atención","⚠ Revisar"))</f>
        <v/>
      </c>
      <c r="I58" s="44" t="inlineStr">
        <is>
          <t>La fecha de inicio debe ser anterior o igual a la fecha límite.</t>
        </is>
      </c>
      <c r="J58" s="44" t="n"/>
      <c r="K58" s="44" t="n"/>
      <c r="L58" s="44" t="n"/>
      <c r="M58" s="44" t="n"/>
    </row>
    <row r="59" ht="20" customHeight="1">
      <c r="B59" s="41" t="inlineStr">
        <is>
          <t>Porcentajes de avance &gt; 100%, &lt; 0% o no numéricos</t>
        </is>
      </c>
      <c r="C59" s="41" t="n"/>
      <c r="D59" s="41" t="n"/>
      <c r="E59" s="41" t="n"/>
      <c r="F59" s="41" t="n"/>
      <c r="G59" s="42">
        <f>SUMPRODUCT(--((ISNUMBER(SEARCH("Avance fuera de rango",rValid_RO)))&gt;0))+SUMPRODUCT(--((ISNUMBER(SEARCH("Avance fuera de rango",rValid_RN)))&gt;0))+SUMPRODUCT(--((ISNUMBER(SEARCH("Avance fuera de rango",rValid_RF)))&gt;0))+SUMPRODUCT(--((ISNUMBER(SEARCH("Avance fuera de rango",rValid_ATR)))&gt;0))</f>
        <v/>
      </c>
      <c r="H59" s="43">
        <f>IF(G59=0,"✔ OK",IF("crit"="warn","● Atención","⚠ Revisar"))</f>
        <v/>
      </c>
      <c r="I59" s="44" t="inlineStr">
        <is>
          <t>Corregir: los avances deben estar entre 0% y 100%.</t>
        </is>
      </c>
      <c r="J59" s="44" t="n"/>
      <c r="K59" s="44" t="n"/>
      <c r="L59" s="44" t="n"/>
      <c r="M59" s="44" t="n"/>
    </row>
    <row r="60" ht="20" customHeight="1">
      <c r="B60" s="41" t="inlineStr">
        <is>
          <t>Avance semanal menor que el de una semana anterior</t>
        </is>
      </c>
      <c r="C60" s="41" t="n"/>
      <c r="D60" s="41" t="n"/>
      <c r="E60" s="41" t="n"/>
      <c r="F60" s="41" t="n"/>
      <c r="G60" s="42">
        <f>SUMPRODUCT(--((ISNUMBER(SEARCH("decreciente",rValid_RO)))&gt;0))+SUMPRODUCT(--((ISNUMBER(SEARCH("decreciente",rValid_RN)))&gt;0))+SUMPRODUCT(--((ISNUMBER(SEARCH("decreciente",rValid_RF)))&gt;0))+SUMPRODUCT(--((ISNUMBER(SEARCH("decreciente",rValid_ATR)))&gt;0))</f>
        <v/>
      </c>
      <c r="H60" s="43">
        <f>IF(G60=0,"✔ OK",IF("crit"="warn","● Atención","⚠ Revisar"))</f>
        <v/>
      </c>
      <c r="I60" s="44" t="inlineStr">
        <is>
          <t>Revisar: el avance es acumulado y no debería disminuir.</t>
        </is>
      </c>
      <c r="J60" s="44" t="n"/>
      <c r="K60" s="44" t="n"/>
      <c r="L60" s="44" t="n"/>
      <c r="M60" s="44" t="n"/>
    </row>
    <row r="61" ht="20" customHeight="1">
      <c r="B61" s="41" t="inlineStr">
        <is>
          <t>Actividades vencidas no completadas</t>
        </is>
      </c>
      <c r="C61" s="41" t="n"/>
      <c r="D61" s="41" t="n"/>
      <c r="E61" s="41" t="n"/>
      <c r="F61" s="41" t="n"/>
      <c r="G61" s="42">
        <f>'Calculos'!Q8</f>
        <v/>
      </c>
      <c r="H61" s="43">
        <f>IF(G61=0,"✔ OK",IF("crit"="warn","● Atención","⚠ Revisar"))</f>
        <v/>
      </c>
      <c r="I61" s="44" t="inlineStr">
        <is>
          <t>Actualizar avance o reprogramar con justificación en Observaciones.</t>
        </is>
      </c>
      <c r="J61" s="44" t="n"/>
      <c r="K61" s="44" t="n"/>
      <c r="L61" s="44" t="n"/>
      <c r="M61" s="44" t="n"/>
    </row>
    <row r="62" ht="20" customHeight="1">
      <c r="B62" s="41" t="inlineStr">
        <is>
          <t>Actividades próximas a vencer (no completadas)</t>
        </is>
      </c>
      <c r="C62" s="41" t="n"/>
      <c r="D62" s="41" t="n"/>
      <c r="E62" s="41" t="n"/>
      <c r="F62" s="41" t="n"/>
      <c r="G62" s="42">
        <f>'Calculos'!B13</f>
        <v/>
      </c>
      <c r="H62" s="43">
        <f>IF(G62=0,"✔ OK",IF("warn"="warn","● Atención","⚠ Revisar"))</f>
        <v/>
      </c>
      <c r="I62" s="44" t="inlineStr">
        <is>
          <t>Alerta preventiva: priorizar seguimiento.</t>
        </is>
      </c>
      <c r="J62" s="44" t="n"/>
      <c r="K62" s="44" t="n"/>
      <c r="L62" s="44" t="n"/>
      <c r="M62" s="44" t="n"/>
    </row>
    <row r="63" ht="20" customHeight="1">
      <c r="B63" s="41" t="inlineStr">
        <is>
          <t>Filas con datos pero sin nombre de macroactividad</t>
        </is>
      </c>
      <c r="C63" s="41" t="n"/>
      <c r="D63" s="41" t="n"/>
      <c r="E63" s="41" t="n"/>
      <c r="F63" s="41" t="n"/>
      <c r="G63" s="42">
        <f>SUMPRODUCT(--((ISNUMBER(SEARCH("Macroactividad vacía",rValid_RO)))&gt;0))+SUMPRODUCT(--((ISNUMBER(SEARCH("Macroactividad vacía",rValid_RN)))&gt;0))+SUMPRODUCT(--((ISNUMBER(SEARCH("Macroactividad vacía",rValid_RF)))&gt;0))+SUMPRODUCT(--((ISNUMBER(SEARCH("Macroactividad vacía",rValid_ATR)))&gt;0))</f>
        <v/>
      </c>
      <c r="H63" s="43">
        <f>IF(G63=0,"✔ OK",IF("crit"="warn","● Atención","⚠ Revisar"))</f>
        <v/>
      </c>
      <c r="I63" s="44" t="inlineStr">
        <is>
          <t>Escribir el nombre de la actividad.</t>
        </is>
      </c>
      <c r="J63" s="44" t="n"/>
      <c r="K63" s="44" t="n"/>
      <c r="L63" s="44" t="n"/>
      <c r="M63" s="44" t="n"/>
    </row>
    <row r="64" ht="20" customHeight="1">
      <c r="B64" s="41" t="inlineStr">
        <is>
          <t>Actividades vencidas sin observación que explique el incumplimiento</t>
        </is>
      </c>
      <c r="C64" s="41" t="n"/>
      <c r="D64" s="41" t="n"/>
      <c r="E64" s="41" t="n"/>
      <c r="F64" s="41" t="n"/>
      <c r="G64" s="42">
        <f>SUMPRODUCT(--((ISNUMBER(SEARCH("sin observación",rValid_RO)))&gt;0))+SUMPRODUCT(--((ISNUMBER(SEARCH("sin observación",rValid_RN)))&gt;0))+SUMPRODUCT(--((ISNUMBER(SEARCH("sin observación",rValid_RF)))&gt;0))+SUMPRODUCT(--((ISNUMBER(SEARCH("sin observación",rValid_ATR)))&gt;0))</f>
        <v/>
      </c>
      <c r="H64" s="43">
        <f>IF(G64=0,"✔ OK",IF("crit"="warn","● Atención","⚠ Revisar"))</f>
        <v/>
      </c>
      <c r="I64" s="44" t="inlineStr">
        <is>
          <t>Escribir en Observaciones por qué no se cumplió y la nueva fecha prevista.</t>
        </is>
      </c>
      <c r="J64" s="44" t="n"/>
      <c r="K64" s="44" t="n"/>
      <c r="L64" s="44" t="n"/>
      <c r="M64" s="44" t="n"/>
    </row>
    <row r="65" ht="20" customHeight="1">
      <c r="B65" s="41" t="inlineStr">
        <is>
          <t>Avance global no definitivo (puestos no válidos)</t>
        </is>
      </c>
      <c r="C65" s="41" t="n"/>
      <c r="D65" s="41" t="n"/>
      <c r="E65" s="41" t="n"/>
      <c r="F65" s="41" t="n"/>
      <c r="G65" s="42">
        <f>4-'Calculos'!C8</f>
        <v/>
      </c>
      <c r="H65" s="43">
        <f>IF(G65=0,"✔ OK",IF("crit"="warn","● Atención","⚠ Revisar"))</f>
        <v/>
      </c>
      <c r="I65" s="44" t="inlineStr">
        <is>
          <t>El avance general solo es definitivo con los 4 puestos válidos.</t>
        </is>
      </c>
      <c r="J65" s="44" t="n"/>
      <c r="K65" s="44" t="n"/>
      <c r="L65" s="44" t="n"/>
      <c r="M65" s="44" t="n"/>
    </row>
    <row r="66" ht="26" customHeight="1">
      <c r="B66" s="40" t="inlineStr">
        <is>
          <t>Detalle por actividad: columna «Revisión automática (alertas)» de la hoja «Cronograma …» de cada puesto (filtrar por «⚠»). Pendiente normal = sin avance y dentro de plazo; Vencida = fecha límite anterior a la fecha de corte sin llegar a 100%.</t>
        </is>
      </c>
      <c r="C66" s="40" t="n"/>
      <c r="D66" s="40" t="n"/>
      <c r="E66" s="40" t="n"/>
      <c r="F66" s="40" t="n"/>
      <c r="G66" s="40" t="n"/>
      <c r="H66" s="40" t="n"/>
      <c r="I66" s="40" t="n"/>
      <c r="J66" s="40" t="n"/>
      <c r="K66" s="40" t="n"/>
      <c r="L66" s="40" t="n"/>
      <c r="M66" s="40" t="n"/>
    </row>
    <row r="68" ht="24" customHeight="1">
      <c r="B68" s="17" t="inlineStr">
        <is>
          <t>Actividades semanales y entregables por puesto (completadas / programadas)</t>
        </is>
      </c>
      <c r="C68" s="17" t="n"/>
      <c r="D68" s="17" t="n"/>
      <c r="E68" s="17" t="n"/>
      <c r="F68" s="17" t="n"/>
      <c r="G68" s="17" t="n"/>
      <c r="H68" s="17" t="n"/>
      <c r="I68" s="17" t="n"/>
      <c r="J68" s="17" t="n"/>
      <c r="K68" s="17" t="n"/>
      <c r="L68" s="17" t="n"/>
      <c r="M68" s="17" t="n"/>
    </row>
    <row r="69">
      <c r="B69" s="7" t="inlineStr">
        <is>
          <t>Puesto</t>
        </is>
      </c>
      <c r="C69" s="7" t="inlineStr">
        <is>
          <t>Semana 1</t>
        </is>
      </c>
      <c r="D69" s="7" t="inlineStr">
        <is>
          <t>Semana 2</t>
        </is>
      </c>
      <c r="E69" s="7" t="inlineStr">
        <is>
          <t>Semana 3</t>
        </is>
      </c>
      <c r="F69" s="7" t="inlineStr">
        <is>
          <t>Semana 4</t>
        </is>
      </c>
      <c r="G69" s="7" t="inlineStr">
        <is>
          <t>Total</t>
        </is>
      </c>
      <c r="H69" s="7" t="inlineStr">
        <is>
          <t>Vencidos</t>
        </is>
      </c>
      <c r="I69" s="7" t="inlineStr">
        <is>
          <t>Lectura</t>
        </is>
      </c>
      <c r="J69" s="7" t="n"/>
      <c r="K69" s="7" t="n"/>
      <c r="L69" s="7" t="n"/>
      <c r="M69" s="7" t="n"/>
    </row>
    <row r="70">
      <c r="B70" s="19">
        <f>'Calculos'!A4</f>
        <v/>
      </c>
      <c r="C70" s="22">
        <f>COUNTIFS(hSemana_RO,"Semana 1",hEstado_RO,"Completado")&amp;" / "&amp;COUNTIF(hSemana_RO,"Semana 1")</f>
        <v/>
      </c>
      <c r="D70" s="22">
        <f>COUNTIFS(hSemana_RO,"Semana 2",hEstado_RO,"Completado")&amp;" / "&amp;COUNTIF(hSemana_RO,"Semana 2")</f>
        <v/>
      </c>
      <c r="E70" s="22">
        <f>COUNTIFS(hSemana_RO,"Semana 3",hEstado_RO,"Completado")&amp;" / "&amp;COUNTIF(hSemana_RO,"Semana 3")</f>
        <v/>
      </c>
      <c r="F70" s="22">
        <f>COUNTIFS(hSemana_RO,"Semana 4",hEstado_RO,"Completado")&amp;" / "&amp;COUNTIF(hSemana_RO,"Semana 4")</f>
        <v/>
      </c>
      <c r="G70" s="22">
        <f>COUNTIFS(hSemana_RO,"Semana*",hEstado_RO,"Completado")&amp;" / "&amp;COUNTIF(hSemana_RO,"Semana*")</f>
        <v/>
      </c>
      <c r="H70" s="22">
        <f>COUNTIF(hEstado_RO,"Vencido")</f>
        <v/>
      </c>
      <c r="I70" s="44">
        <f>IF(H70&gt;0,"⚠ "&amp;H70&amp;" actividad(es) semanal(es) vencida(s) sin cumplir","Sin actividades semanales vencidas")</f>
        <v/>
      </c>
      <c r="J70" s="44" t="n"/>
      <c r="K70" s="44" t="n"/>
      <c r="L70" s="44" t="n"/>
      <c r="M70" s="44" t="n"/>
    </row>
    <row r="71">
      <c r="B71" s="23">
        <f>'Calculos'!A5</f>
        <v/>
      </c>
      <c r="C71" s="22">
        <f>COUNTIFS(hSemana_RN,"Semana 1",hEstado_RN,"Completado")&amp;" / "&amp;COUNTIF(hSemana_RN,"Semana 1")</f>
        <v/>
      </c>
      <c r="D71" s="22">
        <f>COUNTIFS(hSemana_RN,"Semana 2",hEstado_RN,"Completado")&amp;" / "&amp;COUNTIF(hSemana_RN,"Semana 2")</f>
        <v/>
      </c>
      <c r="E71" s="22">
        <f>COUNTIFS(hSemana_RN,"Semana 3",hEstado_RN,"Completado")&amp;" / "&amp;COUNTIF(hSemana_RN,"Semana 3")</f>
        <v/>
      </c>
      <c r="F71" s="22">
        <f>COUNTIFS(hSemana_RN,"Semana 4",hEstado_RN,"Completado")&amp;" / "&amp;COUNTIF(hSemana_RN,"Semana 4")</f>
        <v/>
      </c>
      <c r="G71" s="22">
        <f>COUNTIFS(hSemana_RN,"Semana*",hEstado_RN,"Completado")&amp;" / "&amp;COUNTIF(hSemana_RN,"Semana*")</f>
        <v/>
      </c>
      <c r="H71" s="22">
        <f>COUNTIF(hEstado_RN,"Vencido")</f>
        <v/>
      </c>
      <c r="I71" s="44">
        <f>IF(H71&gt;0,"⚠ "&amp;H71&amp;" actividad(es) semanal(es) vencida(s) sin cumplir","Sin actividades semanales vencidas")</f>
        <v/>
      </c>
      <c r="J71" s="44" t="n"/>
      <c r="K71" s="44" t="n"/>
      <c r="L71" s="44" t="n"/>
      <c r="M71" s="44" t="n"/>
    </row>
    <row r="72">
      <c r="B72" s="24">
        <f>'Calculos'!A6</f>
        <v/>
      </c>
      <c r="C72" s="22">
        <f>COUNTIFS(hSemana_RF,"Semana 1",hEstado_RF,"Completado")&amp;" / "&amp;COUNTIF(hSemana_RF,"Semana 1")</f>
        <v/>
      </c>
      <c r="D72" s="22">
        <f>COUNTIFS(hSemana_RF,"Semana 2",hEstado_RF,"Completado")&amp;" / "&amp;COUNTIF(hSemana_RF,"Semana 2")</f>
        <v/>
      </c>
      <c r="E72" s="22">
        <f>COUNTIFS(hSemana_RF,"Semana 3",hEstado_RF,"Completado")&amp;" / "&amp;COUNTIF(hSemana_RF,"Semana 3")</f>
        <v/>
      </c>
      <c r="F72" s="22">
        <f>COUNTIFS(hSemana_RF,"Semana 4",hEstado_RF,"Completado")&amp;" / "&amp;COUNTIF(hSemana_RF,"Semana 4")</f>
        <v/>
      </c>
      <c r="G72" s="22">
        <f>COUNTIFS(hSemana_RF,"Semana*",hEstado_RF,"Completado")&amp;" / "&amp;COUNTIF(hSemana_RF,"Semana*")</f>
        <v/>
      </c>
      <c r="H72" s="22">
        <f>COUNTIF(hEstado_RF,"Vencido")</f>
        <v/>
      </c>
      <c r="I72" s="44">
        <f>IF(H72&gt;0,"⚠ "&amp;H72&amp;" actividad(es) semanal(es) vencida(s) sin cumplir","Sin actividades semanales vencidas")</f>
        <v/>
      </c>
      <c r="J72" s="44" t="n"/>
      <c r="K72" s="44" t="n"/>
      <c r="L72" s="44" t="n"/>
      <c r="M72" s="44" t="n"/>
    </row>
    <row r="73">
      <c r="B73" s="25">
        <f>'Calculos'!A7</f>
        <v/>
      </c>
      <c r="C73" s="22">
        <f>COUNTIFS(hSemana_ATR,"Semana 1",hEstado_ATR,"Completado")&amp;" / "&amp;COUNTIF(hSemana_ATR,"Semana 1")</f>
        <v/>
      </c>
      <c r="D73" s="22">
        <f>COUNTIFS(hSemana_ATR,"Semana 2",hEstado_ATR,"Completado")&amp;" / "&amp;COUNTIF(hSemana_ATR,"Semana 2")</f>
        <v/>
      </c>
      <c r="E73" s="22">
        <f>COUNTIFS(hSemana_ATR,"Semana 3",hEstado_ATR,"Completado")&amp;" / "&amp;COUNTIF(hSemana_ATR,"Semana 3")</f>
        <v/>
      </c>
      <c r="F73" s="22">
        <f>COUNTIFS(hSemana_ATR,"Semana 4",hEstado_ATR,"Completado")&amp;" / "&amp;COUNTIF(hSemana_ATR,"Semana 4")</f>
        <v/>
      </c>
      <c r="G73" s="22">
        <f>COUNTIFS(hSemana_ATR,"Semana*",hEstado_ATR,"Completado")&amp;" / "&amp;COUNTIF(hSemana_ATR,"Semana*")</f>
        <v/>
      </c>
      <c r="H73" s="22">
        <f>COUNTIF(hEstado_ATR,"Vencido")</f>
        <v/>
      </c>
      <c r="I73" s="44">
        <f>IF(H73&gt;0,"⚠ "&amp;H73&amp;" actividad(es) semanal(es) vencida(s) sin cumplir","Sin actividades semanales vencidas")</f>
        <v/>
      </c>
      <c r="J73" s="44" t="n"/>
      <c r="K73" s="44" t="n"/>
      <c r="L73" s="44" t="n"/>
      <c r="M73" s="44" t="n"/>
    </row>
  </sheetData>
  <sheetProtection selectLockedCells="0" selectUnlockedCells="0" sheet="1" objects="0" insertRows="1" insertHyperlinks="1" autoFilter="1" scenarios="0" formatColumns="1" deleteColumns="1" insertColumns="1" pivotTables="1" deleteRows="1" formatCells="1" formatRows="1" sort="1"/>
  <mergeCells count="84">
    <mergeCell ref="L17:M17"/>
    <mergeCell ref="L19:M19"/>
    <mergeCell ref="L28:M28"/>
    <mergeCell ref="B58:F58"/>
    <mergeCell ref="I61:M61"/>
    <mergeCell ref="B52:F52"/>
    <mergeCell ref="I70:M70"/>
    <mergeCell ref="I54:M54"/>
    <mergeCell ref="B60:F60"/>
    <mergeCell ref="I72:M72"/>
    <mergeCell ref="G12:M12"/>
    <mergeCell ref="B6:D6"/>
    <mergeCell ref="B53:F53"/>
    <mergeCell ref="I56:M56"/>
    <mergeCell ref="L29:M29"/>
    <mergeCell ref="K10:M10"/>
    <mergeCell ref="H5:J5"/>
    <mergeCell ref="B4:D4"/>
    <mergeCell ref="L31:M31"/>
    <mergeCell ref="I73:M73"/>
    <mergeCell ref="K9:M9"/>
    <mergeCell ref="K5:M5"/>
    <mergeCell ref="I63:M63"/>
    <mergeCell ref="I59:M59"/>
    <mergeCell ref="I65:M65"/>
    <mergeCell ref="I60:M60"/>
    <mergeCell ref="B54:F54"/>
    <mergeCell ref="L16:M16"/>
    <mergeCell ref="B8:D8"/>
    <mergeCell ref="B56:F56"/>
    <mergeCell ref="E6:G6"/>
    <mergeCell ref="H23:K23"/>
    <mergeCell ref="B10:D10"/>
    <mergeCell ref="K8:M8"/>
    <mergeCell ref="B9:D9"/>
    <mergeCell ref="B68:M68"/>
    <mergeCell ref="B57:F57"/>
    <mergeCell ref="L30:M30"/>
    <mergeCell ref="B5:D5"/>
    <mergeCell ref="L20:M20"/>
    <mergeCell ref="K4:M4"/>
    <mergeCell ref="I62:M62"/>
    <mergeCell ref="I64:M64"/>
    <mergeCell ref="E8:G8"/>
    <mergeCell ref="H4:J4"/>
    <mergeCell ref="H6:J6"/>
    <mergeCell ref="E10:G10"/>
    <mergeCell ref="B62:F62"/>
    <mergeCell ref="B59:F59"/>
    <mergeCell ref="E9:G9"/>
    <mergeCell ref="L24:M24"/>
    <mergeCell ref="L18:M18"/>
    <mergeCell ref="I53:M53"/>
    <mergeCell ref="L26:M26"/>
    <mergeCell ref="I55:M55"/>
    <mergeCell ref="H8:J8"/>
    <mergeCell ref="L25:M25"/>
    <mergeCell ref="I52:M52"/>
    <mergeCell ref="B65:F65"/>
    <mergeCell ref="H10:J10"/>
    <mergeCell ref="C12:F12"/>
    <mergeCell ref="B22:M22"/>
    <mergeCell ref="B63:F63"/>
    <mergeCell ref="E4:G4"/>
    <mergeCell ref="H9:J9"/>
    <mergeCell ref="C23:F23"/>
    <mergeCell ref="B14:M14"/>
    <mergeCell ref="B1:M1"/>
    <mergeCell ref="H2:M2"/>
    <mergeCell ref="I57:M57"/>
    <mergeCell ref="L15:M15"/>
    <mergeCell ref="B61:F61"/>
    <mergeCell ref="L23:M23"/>
    <mergeCell ref="I71:M71"/>
    <mergeCell ref="I58:M58"/>
    <mergeCell ref="B33:M33"/>
    <mergeCell ref="B51:M51"/>
    <mergeCell ref="K6:M6"/>
    <mergeCell ref="B55:F55"/>
    <mergeCell ref="B64:F64"/>
    <mergeCell ref="E5:G5"/>
    <mergeCell ref="B66:M66"/>
    <mergeCell ref="L27:M27"/>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ISNUMBER(SEARCH("ompletado",$G$12))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actividades",LEFT(K16,11)="Pesos suman",K16="No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ISNUMBER(SEARCH("ompletado",$L16))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53:H65">
    <cfRule type="expression" priority="28" dxfId="0">
      <formula>LEFT(H53,1)="✔"</formula>
    </cfRule>
    <cfRule type="expression" priority="29" dxfId="1">
      <formula>LEFT(H53,1)="●"</formula>
    </cfRule>
    <cfRule type="expression" priority="30" dxfId="2">
      <formula>LEFT(H53,1)="⚠"</formula>
    </cfRule>
  </conditionalFormatting>
  <conditionalFormatting sqref="H70:H73">
    <cfRule type="expression" priority="31" dxfId="6">
      <formula>H70&gt;0</formula>
    </cfRule>
  </conditionalFormatting>
  <conditionalFormatting sqref="I70:M73">
    <cfRule type="expression" priority="32" dxfId="1">
      <formula>LEFT($I70,1)="⚠"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70" r:id="rId5"/>
    <hyperlink xmlns:r="http://schemas.openxmlformats.org/officeDocument/2006/relationships" ref="B71" r:id="rId6"/>
    <hyperlink xmlns:r="http://schemas.openxmlformats.org/officeDocument/2006/relationships" ref="B72" r:id="rId7"/>
    <hyperlink xmlns:r="http://schemas.openxmlformats.org/officeDocument/2006/relationships" ref="B73" r:id="rId8"/>
  </hyperlinks>
  <pageMargins left="0.3" right="0.3" top="0.4" bottom="0.4" header="0.5" footer="0.5"/>
  <pageSetup orientation="landscape" paperSize="1" fitToHeight="0" fitToWidth="1"/>
  <headerFooter>
    <oddHeader/>
    <oddFooter>&amp;CPágina &amp;P de &amp;N</oddFooter>
    <evenHeader/>
    <evenFooter/>
    <firstHeader/>
    <firstFooter/>
  </headerFooter>
  <rowBreaks count="1" manualBreakCount="1">
    <brk id="34" min="0" max="16383" man="1"/>
  </rowBreaks>
  <drawing xmlns:r="http://schemas.openxmlformats.org/officeDocument/2006/relationships" r:id="rId9"/>
</worksheet>
</file>

<file path=xl/worksheets/sheet2.xml><?xml version="1.0" encoding="utf-8"?>
<worksheet xmlns="http://schemas.openxmlformats.org/spreadsheetml/2006/main">
  <sheetPr>
    <tabColor rgb="002E75B6"/>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45" t="inlineStr">
        <is>
          <t>Cronograma – Riesgo Operacional</t>
        </is>
      </c>
      <c r="B1" s="45" t="n"/>
      <c r="C1" s="45" t="n"/>
      <c r="D1" s="45" t="n"/>
      <c r="E1" s="45" t="n"/>
      <c r="F1" s="45" t="n"/>
      <c r="G1" s="45" t="n"/>
      <c r="H1" s="45" t="n"/>
      <c r="I1" s="45" t="n"/>
      <c r="J1" s="45" t="n"/>
      <c r="K1" s="45" t="n"/>
      <c r="L1" s="45" t="n"/>
      <c r="M1" s="45" t="n"/>
      <c r="N1" s="45"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7" t="inlineStr">
        <is>
          <t>Macro Actividad</t>
        </is>
      </c>
      <c r="C4" s="7" t="inlineStr">
        <is>
          <t>Responsable</t>
        </is>
      </c>
      <c r="D4" s="7" t="inlineStr">
        <is>
          <t>Fecha de inicio</t>
        </is>
      </c>
      <c r="E4" s="7" t="inlineStr">
        <is>
          <t>Fecha límite</t>
        </is>
      </c>
      <c r="F4" s="7" t="inlineStr">
        <is>
          <t>Peso de actividad (%)</t>
        </is>
      </c>
      <c r="G4" s="7" t="inlineStr">
        <is>
          <t>Avance Semana 1 (%)</t>
        </is>
      </c>
      <c r="H4" s="7" t="inlineStr">
        <is>
          <t>Avance Semana 2 (%)</t>
        </is>
      </c>
      <c r="I4" s="7" t="inlineStr">
        <is>
          <t>Avance Semana 3 (%)</t>
        </is>
      </c>
      <c r="J4" s="7" t="inlineStr">
        <is>
          <t>Avance Semana 4 (%)</t>
        </is>
      </c>
      <c r="K4" s="52" t="inlineStr">
        <is>
          <t>% de Avance Total Actual</t>
        </is>
      </c>
      <c r="L4" s="52" t="inlineStr">
        <is>
          <t>Estado</t>
        </is>
      </c>
      <c r="M4" s="7"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tabColor rgb="002E75B6"/>
    <outlinePr summaryBelow="1" summaryRight="1"/>
    <pageSetUpPr fitToPage="1"/>
  </sheetPr>
  <dimension ref="A1:J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3" customWidth="1" min="3" max="3"/>
    <col width="50" customWidth="1" min="4" max="4"/>
    <col width="54" customWidth="1" min="5" max="5"/>
    <col width="18" customWidth="1" min="6" max="6"/>
    <col width="13" customWidth="1" min="7" max="7"/>
    <col width="14" customWidth="1" min="8" max="8"/>
    <col width="30" customWidth="1" min="9" max="9"/>
    <col width="36" customWidth="1" min="10" max="10"/>
  </cols>
  <sheetData>
    <row r="1" ht="28" customHeight="1">
      <c r="A1" s="45" t="inlineStr">
        <is>
          <t>Actividades semanales y entregables – Riesgo Operacional</t>
        </is>
      </c>
      <c r="B1" s="45" t="n"/>
      <c r="C1" s="45" t="n"/>
      <c r="D1" s="45" t="n"/>
      <c r="E1" s="45" t="n"/>
      <c r="F1" s="45" t="n"/>
      <c r="G1" s="45" t="n"/>
      <c r="H1" s="45" t="n"/>
      <c r="I1" s="45" t="n"/>
      <c r="J1" s="45" t="n"/>
    </row>
    <row r="2" ht="32" customHeight="1">
      <c r="A2" s="60" t="inlineStr">
        <is>
          <t>Llene las celdas AMARILLAS; las GRISES son automáticas (N°, fecha objetivo propuesta y estado). Cuando cumpla una actividad escriba la FECHA REAL de cumplimiento: el estado cambia solo a «Completado». Las 4 actividades incluidas son una PROPUESTA editable (una por semana); puede cambiarlas o agregar más en las filas vacías.</t>
        </is>
      </c>
      <c r="B2" s="60" t="n"/>
      <c r="C2" s="60" t="n"/>
      <c r="D2" s="60" t="n"/>
      <c r="E2" s="60" t="n"/>
      <c r="F2" s="60" t="n"/>
      <c r="G2" s="60" t="n"/>
      <c r="H2" s="60" t="n"/>
      <c r="I2" s="60" t="n"/>
      <c r="J2" s="60" t="n"/>
    </row>
    <row r="3">
      <c r="A3" s="47" t="inlineStr">
        <is>
          <t>Entrada</t>
        </is>
      </c>
      <c r="B3" s="48" t="inlineStr">
        <is>
          <t>Automático</t>
        </is>
      </c>
      <c r="C3" s="61" t="inlineStr">
        <is>
          <t>Fecha objetivo = viernes de la semana elegida (según el inicio del ciclo en Configuración); puede escribir otra fecha encima.</t>
        </is>
      </c>
    </row>
    <row r="4" ht="34" customHeight="1">
      <c r="A4" s="52" t="inlineStr">
        <is>
          <t>N°</t>
        </is>
      </c>
      <c r="B4" s="7" t="inlineStr">
        <is>
          <t>Semana</t>
        </is>
      </c>
      <c r="C4" s="7" t="inlineStr">
        <is>
          <t>Fecha objetivo</t>
        </is>
      </c>
      <c r="D4" s="7" t="inlineStr">
        <is>
          <t>Actividad / Entregable</t>
        </is>
      </c>
      <c r="E4" s="7" t="inlineStr">
        <is>
          <t>Criterio de aceptación</t>
        </is>
      </c>
      <c r="F4" s="7" t="inlineStr">
        <is>
          <t>Responsable</t>
        </is>
      </c>
      <c r="G4" s="52" t="inlineStr">
        <is>
          <t>Estado</t>
        </is>
      </c>
      <c r="H4" s="7" t="inlineStr">
        <is>
          <t>Fecha real de cumplimiento</t>
        </is>
      </c>
      <c r="I4" s="7" t="inlineStr">
        <is>
          <t>Evidencia / Enlace</t>
        </is>
      </c>
      <c r="J4" s="7" t="inlineStr">
        <is>
          <t>Observaciones</t>
        </is>
      </c>
    </row>
    <row r="5" ht="45" customHeight="1">
      <c r="A5" s="53">
        <f>IF(NOT((COUNTA($B5)+COUNTA($D5:$F5)+COUNTA($H5:$J5))&gt;0),"",COUNTIF($G$5:$G5,"?*"))</f>
        <v/>
      </c>
      <c r="B5" s="62" t="inlineStr">
        <is>
          <t>Semana 1</t>
        </is>
      </c>
      <c r="C5" s="55">
        <f>IF(OR(InicioCiclo="",$B5=""),"",InicioCiclo+7*VALUE(RIGHT($B5,1))-3)</f>
        <v/>
      </c>
      <c r="D5" s="54" t="inlineStr">
        <is>
          <t>Diagnóstico inicial: inventario de procesos críticos y revisión de la matriz de riesgo operacional vigente</t>
        </is>
      </c>
      <c r="E5" s="54" t="inlineStr">
        <is>
          <t>Documento con el listado de procesos críticos, fuentes consultadas y brechas identificadas, revisado por el titular del puesto.</t>
        </is>
      </c>
      <c r="F5" s="54" t="inlineStr">
        <is>
          <t>Por asignar</t>
        </is>
      </c>
      <c r="G5" s="53">
        <f>IF(NOT((COUNTA($B5)+COUNTA($D5:$F5)+COUNTA($H5:$J5))&gt;0),"",IF(ISNUMBER($H5),"Completado",IF(AND(ISNUMBER($C5),$C5&lt;FechaRef),"Vencido",IF(IFERROR(VALUE(RIGHT($B5,1)),5)&lt;=SemanaActual,"En curso","Pendiente"))))</f>
        <v/>
      </c>
      <c r="H5" s="55" t="n"/>
      <c r="I5" s="54" t="n"/>
      <c r="J5" s="54" t="inlineStr">
        <is>
          <t>Propuesta editable – sujeta a validación del responsable.</t>
        </is>
      </c>
    </row>
    <row r="6" ht="45" customHeight="1">
      <c r="A6" s="53">
        <f>IF(NOT((COUNTA($B6)+COUNTA($D6:$F6)+COUNTA($H6:$J6))&gt;0),"",COUNTIF($G$5:$G6,"?*"))</f>
        <v/>
      </c>
      <c r="B6" s="62" t="inlineStr">
        <is>
          <t>Semana 2</t>
        </is>
      </c>
      <c r="C6" s="55">
        <f>IF(OR(InicioCiclo="",$B6=""),"",InicioCiclo+7*VALUE(RIGHT($B6,1))-3)</f>
        <v/>
      </c>
      <c r="D6" s="54" t="inlineStr">
        <is>
          <t>Borrador de matriz de riesgo operacional actualizada (eventos, probabilidad, impacto y controles)</t>
        </is>
      </c>
      <c r="E6" s="54" t="inlineStr">
        <is>
          <t>Matriz con proceso, evento de riesgo, probabilidad, impacto, control y dueño para cada proceso crítico del inventario.</t>
        </is>
      </c>
      <c r="F6" s="54" t="inlineStr">
        <is>
          <t>Por asignar</t>
        </is>
      </c>
      <c r="G6" s="53">
        <f>IF(NOT((COUNTA($B6)+COUNTA($D6:$F6)+COUNTA($H6:$J6))&gt;0),"",IF(ISNUMBER($H6),"Completado",IF(AND(ISNUMBER($C6),$C6&lt;FechaRef),"Vencido",IF(IFERROR(VALUE(RIGHT($B6,1)),5)&lt;=SemanaActual,"En curso","Pendiente"))))</f>
        <v/>
      </c>
      <c r="H6" s="55" t="n"/>
      <c r="I6" s="54" t="n"/>
      <c r="J6" s="54" t="inlineStr">
        <is>
          <t>Propuesta editable – sujeta a validación del responsable.</t>
        </is>
      </c>
    </row>
    <row r="7" ht="45" customHeight="1">
      <c r="A7" s="53">
        <f>IF(NOT((COUNTA($B7)+COUNTA($D7:$F7)+COUNTA($H7:$J7))&gt;0),"",COUNTIF($G$5:$G7,"?*"))</f>
        <v/>
      </c>
      <c r="B7" s="62" t="inlineStr">
        <is>
          <t>Semana 3</t>
        </is>
      </c>
      <c r="C7" s="55">
        <f>IF(OR(InicioCiclo="",$B7=""),"",InicioCiclo+7*VALUE(RIGHT($B7,1))-3)</f>
        <v/>
      </c>
      <c r="D7" s="54" t="inlineStr">
        <is>
          <t>Validación de controles con dueños de proceso y propuesta de planes de mitigación</t>
        </is>
      </c>
      <c r="E7" s="54" t="inlineStr">
        <is>
          <t>Planes de mitigación con responsable y fecha para todos los riesgos calificados como altos; validación documentada (acta o correo).</t>
        </is>
      </c>
      <c r="F7" s="54" t="inlineStr">
        <is>
          <t>Por asignar</t>
        </is>
      </c>
      <c r="G7" s="53">
        <f>IF(NOT((COUNTA($B7)+COUNTA($D7:$F7)+COUNTA($H7:$J7))&gt;0),"",IF(ISNUMBER($H7),"Completado",IF(AND(ISNUMBER($C7),$C7&lt;FechaRef),"Vencido",IF(IFERROR(VALUE(RIGHT($B7,1)),5)&lt;=SemanaActual,"En curso","Pendiente"))))</f>
        <v/>
      </c>
      <c r="H7" s="55" t="n"/>
      <c r="I7" s="54" t="n"/>
      <c r="J7" s="54" t="inlineStr">
        <is>
          <t>Propuesta editable – sujeta a validación del responsable.</t>
        </is>
      </c>
    </row>
    <row r="8" ht="45" customHeight="1">
      <c r="A8" s="53">
        <f>IF(NOT((COUNTA($B8)+COUNTA($D8:$F8)+COUNTA($H8:$J8))&gt;0),"",COUNTIF($G$5:$G8,"?*"))</f>
        <v/>
      </c>
      <c r="B8" s="62" t="inlineStr">
        <is>
          <t>Semana 4</t>
        </is>
      </c>
      <c r="C8" s="55">
        <f>IF(OR(InicioCiclo="",$B8=""),"",InicioCiclo+7*VALUE(RIGHT($B8,1))-3)</f>
        <v/>
      </c>
      <c r="D8" s="54" t="inlineStr">
        <is>
          <t>Informe final de riesgo operacional y presentación ejecutiva</t>
        </is>
      </c>
      <c r="E8" s="54" t="inlineStr">
        <is>
          <t>Informe y presentación entregados en la reunión de cierre y con conformidad registrada de la jefatura.</t>
        </is>
      </c>
      <c r="F8" s="54" t="inlineStr">
        <is>
          <t>Por asignar</t>
        </is>
      </c>
      <c r="G8" s="53">
        <f>IF(NOT((COUNTA($B8)+COUNTA($D8:$F8)+COUNTA($H8:$J8))&gt;0),"",IF(ISNUMBER($H8),"Completado",IF(AND(ISNUMBER($C8),$C8&lt;FechaRef),"Vencido",IF(IFERROR(VALUE(RIGHT($B8,1)),5)&lt;=SemanaActual,"En curso","Pendiente"))))</f>
        <v/>
      </c>
      <c r="H8" s="55" t="n"/>
      <c r="I8" s="54" t="n"/>
      <c r="J8" s="54" t="inlineStr">
        <is>
          <t>Propuesta editable – sujeta a validación del responsable.</t>
        </is>
      </c>
    </row>
    <row r="9">
      <c r="A9" s="53">
        <f>IF(NOT((COUNTA($B9)+COUNTA($D9:$F9)+COUNTA($H9:$J9))&gt;0),"",COUNTIF($G$5:$G9,"?*"))</f>
        <v/>
      </c>
      <c r="B9" s="62" t="n"/>
      <c r="C9" s="55">
        <f>IF(OR(InicioCiclo="",$B9=""),"",InicioCiclo+7*VALUE(RIGHT($B9,1))-3)</f>
        <v/>
      </c>
      <c r="D9" s="54" t="n"/>
      <c r="E9" s="54" t="n"/>
      <c r="F9" s="54" t="n"/>
      <c r="G9" s="53">
        <f>IF(NOT((COUNTA($B9)+COUNTA($D9:$F9)+COUNTA($H9:$J9))&gt;0),"",IF(ISNUMBER($H9),"Completado",IF(AND(ISNUMBER($C9),$C9&lt;FechaRef),"Vencido",IF(IFERROR(VALUE(RIGHT($B9,1)),5)&lt;=SemanaActual,"En curso","Pendiente"))))</f>
        <v/>
      </c>
      <c r="H9" s="55" t="n"/>
      <c r="I9" s="54" t="n"/>
      <c r="J9" s="54" t="n"/>
    </row>
    <row r="10">
      <c r="A10" s="53">
        <f>IF(NOT((COUNTA($B10)+COUNTA($D10:$F10)+COUNTA($H10:$J10))&gt;0),"",COUNTIF($G$5:$G10,"?*"))</f>
        <v/>
      </c>
      <c r="B10" s="62" t="n"/>
      <c r="C10" s="55">
        <f>IF(OR(InicioCiclo="",$B10=""),"",InicioCiclo+7*VALUE(RIGHT($B10,1))-3)</f>
        <v/>
      </c>
      <c r="D10" s="54" t="n"/>
      <c r="E10" s="54" t="n"/>
      <c r="F10" s="54" t="n"/>
      <c r="G10" s="53">
        <f>IF(NOT((COUNTA($B10)+COUNTA($D10:$F10)+COUNTA($H10:$J10))&gt;0),"",IF(ISNUMBER($H10),"Completado",IF(AND(ISNUMBER($C10),$C10&lt;FechaRef),"Vencido",IF(IFERROR(VALUE(RIGHT($B10,1)),5)&lt;=SemanaActual,"En curso","Pendiente"))))</f>
        <v/>
      </c>
      <c r="H10" s="55" t="n"/>
      <c r="I10" s="54" t="n"/>
      <c r="J10" s="54" t="n"/>
    </row>
    <row r="11">
      <c r="A11" s="53">
        <f>IF(NOT((COUNTA($B11)+COUNTA($D11:$F11)+COUNTA($H11:$J11))&gt;0),"",COUNTIF($G$5:$G11,"?*"))</f>
        <v/>
      </c>
      <c r="B11" s="62" t="n"/>
      <c r="C11" s="55">
        <f>IF(OR(InicioCiclo="",$B11=""),"",InicioCiclo+7*VALUE(RIGHT($B11,1))-3)</f>
        <v/>
      </c>
      <c r="D11" s="54" t="n"/>
      <c r="E11" s="54" t="n"/>
      <c r="F11" s="54" t="n"/>
      <c r="G11" s="53">
        <f>IF(NOT((COUNTA($B11)+COUNTA($D11:$F11)+COUNTA($H11:$J11))&gt;0),"",IF(ISNUMBER($H11),"Completado",IF(AND(ISNUMBER($C11),$C11&lt;FechaRef),"Vencido",IF(IFERROR(VALUE(RIGHT($B11,1)),5)&lt;=SemanaActual,"En curso","Pendiente"))))</f>
        <v/>
      </c>
      <c r="H11" s="55" t="n"/>
      <c r="I11" s="54" t="n"/>
      <c r="J11" s="54" t="n"/>
    </row>
    <row r="12">
      <c r="A12" s="53">
        <f>IF(NOT((COUNTA($B12)+COUNTA($D12:$F12)+COUNTA($H12:$J12))&gt;0),"",COUNTIF($G$5:$G12,"?*"))</f>
        <v/>
      </c>
      <c r="B12" s="62" t="n"/>
      <c r="C12" s="55">
        <f>IF(OR(InicioCiclo="",$B12=""),"",InicioCiclo+7*VALUE(RIGHT($B12,1))-3)</f>
        <v/>
      </c>
      <c r="D12" s="54" t="n"/>
      <c r="E12" s="54" t="n"/>
      <c r="F12" s="54" t="n"/>
      <c r="G12" s="53">
        <f>IF(NOT((COUNTA($B12)+COUNTA($D12:$F12)+COUNTA($H12:$J12))&gt;0),"",IF(ISNUMBER($H12),"Completado",IF(AND(ISNUMBER($C12),$C12&lt;FechaRef),"Vencido",IF(IFERROR(VALUE(RIGHT($B12,1)),5)&lt;=SemanaActual,"En curso","Pendiente"))))</f>
        <v/>
      </c>
      <c r="H12" s="55" t="n"/>
      <c r="I12" s="54" t="n"/>
      <c r="J12" s="54" t="n"/>
    </row>
    <row r="13">
      <c r="A13" s="53">
        <f>IF(NOT((COUNTA($B13)+COUNTA($D13:$F13)+COUNTA($H13:$J13))&gt;0),"",COUNTIF($G$5:$G13,"?*"))</f>
        <v/>
      </c>
      <c r="B13" s="62" t="n"/>
      <c r="C13" s="55">
        <f>IF(OR(InicioCiclo="",$B13=""),"",InicioCiclo+7*VALUE(RIGHT($B13,1))-3)</f>
        <v/>
      </c>
      <c r="D13" s="54" t="n"/>
      <c r="E13" s="54" t="n"/>
      <c r="F13" s="54" t="n"/>
      <c r="G13" s="53">
        <f>IF(NOT((COUNTA($B13)+COUNTA($D13:$F13)+COUNTA($H13:$J13))&gt;0),"",IF(ISNUMBER($H13),"Completado",IF(AND(ISNUMBER($C13),$C13&lt;FechaRef),"Vencido",IF(IFERROR(VALUE(RIGHT($B13,1)),5)&lt;=SemanaActual,"En curso","Pendiente"))))</f>
        <v/>
      </c>
      <c r="H13" s="55" t="n"/>
      <c r="I13" s="54" t="n"/>
      <c r="J13" s="54" t="n"/>
    </row>
    <row r="14">
      <c r="A14" s="53">
        <f>IF(NOT((COUNTA($B14)+COUNTA($D14:$F14)+COUNTA($H14:$J14))&gt;0),"",COUNTIF($G$5:$G14,"?*"))</f>
        <v/>
      </c>
      <c r="B14" s="62" t="n"/>
      <c r="C14" s="55">
        <f>IF(OR(InicioCiclo="",$B14=""),"",InicioCiclo+7*VALUE(RIGHT($B14,1))-3)</f>
        <v/>
      </c>
      <c r="D14" s="54" t="n"/>
      <c r="E14" s="54" t="n"/>
      <c r="F14" s="54" t="n"/>
      <c r="G14" s="53">
        <f>IF(NOT((COUNTA($B14)+COUNTA($D14:$F14)+COUNTA($H14:$J14))&gt;0),"",IF(ISNUMBER($H14),"Completado",IF(AND(ISNUMBER($C14),$C14&lt;FechaRef),"Vencido",IF(IFERROR(VALUE(RIGHT($B14,1)),5)&lt;=SemanaActual,"En curso","Pendiente"))))</f>
        <v/>
      </c>
      <c r="H14" s="55" t="n"/>
      <c r="I14" s="54" t="n"/>
      <c r="J14" s="54" t="n"/>
    </row>
    <row r="15">
      <c r="A15" s="53">
        <f>IF(NOT((COUNTA($B15)+COUNTA($D15:$F15)+COUNTA($H15:$J15))&gt;0),"",COUNTIF($G$5:$G15,"?*"))</f>
        <v/>
      </c>
      <c r="B15" s="62" t="n"/>
      <c r="C15" s="55">
        <f>IF(OR(InicioCiclo="",$B15=""),"",InicioCiclo+7*VALUE(RIGHT($B15,1))-3)</f>
        <v/>
      </c>
      <c r="D15" s="54" t="n"/>
      <c r="E15" s="54" t="n"/>
      <c r="F15" s="54" t="n"/>
      <c r="G15" s="53">
        <f>IF(NOT((COUNTA($B15)+COUNTA($D15:$F15)+COUNTA($H15:$J15))&gt;0),"",IF(ISNUMBER($H15),"Completado",IF(AND(ISNUMBER($C15),$C15&lt;FechaRef),"Vencido",IF(IFERROR(VALUE(RIGHT($B15,1)),5)&lt;=SemanaActual,"En curso","Pendiente"))))</f>
        <v/>
      </c>
      <c r="H15" s="55" t="n"/>
      <c r="I15" s="54" t="n"/>
      <c r="J15" s="54" t="n"/>
    </row>
    <row r="16">
      <c r="A16" s="53">
        <f>IF(NOT((COUNTA($B16)+COUNTA($D16:$F16)+COUNTA($H16:$J16))&gt;0),"",COUNTIF($G$5:$G16,"?*"))</f>
        <v/>
      </c>
      <c r="B16" s="62" t="n"/>
      <c r="C16" s="55">
        <f>IF(OR(InicioCiclo="",$B16=""),"",InicioCiclo+7*VALUE(RIGHT($B16,1))-3)</f>
        <v/>
      </c>
      <c r="D16" s="54" t="n"/>
      <c r="E16" s="54" t="n"/>
      <c r="F16" s="54" t="n"/>
      <c r="G16" s="53">
        <f>IF(NOT((COUNTA($B16)+COUNTA($D16:$F16)+COUNTA($H16:$J16))&gt;0),"",IF(ISNUMBER($H16),"Completado",IF(AND(ISNUMBER($C16),$C16&lt;FechaRef),"Vencido",IF(IFERROR(VALUE(RIGHT($B16,1)),5)&lt;=SemanaActual,"En curso","Pendiente"))))</f>
        <v/>
      </c>
      <c r="H16" s="55" t="n"/>
      <c r="I16" s="54" t="n"/>
      <c r="J16" s="54" t="n"/>
    </row>
    <row r="17">
      <c r="A17" s="53">
        <f>IF(NOT((COUNTA($B17)+COUNTA($D17:$F17)+COUNTA($H17:$J17))&gt;0),"",COUNTIF($G$5:$G17,"?*"))</f>
        <v/>
      </c>
      <c r="B17" s="62" t="n"/>
      <c r="C17" s="55">
        <f>IF(OR(InicioCiclo="",$B17=""),"",InicioCiclo+7*VALUE(RIGHT($B17,1))-3)</f>
        <v/>
      </c>
      <c r="D17" s="54" t="n"/>
      <c r="E17" s="54" t="n"/>
      <c r="F17" s="54" t="n"/>
      <c r="G17" s="53">
        <f>IF(NOT((COUNTA($B17)+COUNTA($D17:$F17)+COUNTA($H17:$J17))&gt;0),"",IF(ISNUMBER($H17),"Completado",IF(AND(ISNUMBER($C17),$C17&lt;FechaRef),"Vencido",IF(IFERROR(VALUE(RIGHT($B17,1)),5)&lt;=SemanaActual,"En curso","Pendiente"))))</f>
        <v/>
      </c>
      <c r="H17" s="55" t="n"/>
      <c r="I17" s="54" t="n"/>
      <c r="J17" s="54" t="n"/>
    </row>
    <row r="18">
      <c r="A18" s="53">
        <f>IF(NOT((COUNTA($B18)+COUNTA($D18:$F18)+COUNTA($H18:$J18))&gt;0),"",COUNTIF($G$5:$G18,"?*"))</f>
        <v/>
      </c>
      <c r="B18" s="62" t="n"/>
      <c r="C18" s="55">
        <f>IF(OR(InicioCiclo="",$B18=""),"",InicioCiclo+7*VALUE(RIGHT($B18,1))-3)</f>
        <v/>
      </c>
      <c r="D18" s="54" t="n"/>
      <c r="E18" s="54" t="n"/>
      <c r="F18" s="54" t="n"/>
      <c r="G18" s="53">
        <f>IF(NOT((COUNTA($B18)+COUNTA($D18:$F18)+COUNTA($H18:$J18))&gt;0),"",IF(ISNUMBER($H18),"Completado",IF(AND(ISNUMBER($C18),$C18&lt;FechaRef),"Vencido",IF(IFERROR(VALUE(RIGHT($B18,1)),5)&lt;=SemanaActual,"En curso","Pendiente"))))</f>
        <v/>
      </c>
      <c r="H18" s="55" t="n"/>
      <c r="I18" s="54" t="n"/>
      <c r="J18" s="54" t="n"/>
    </row>
    <row r="19">
      <c r="A19" s="53">
        <f>IF(NOT((COUNTA($B19)+COUNTA($D19:$F19)+COUNTA($H19:$J19))&gt;0),"",COUNTIF($G$5:$G19,"?*"))</f>
        <v/>
      </c>
      <c r="B19" s="62" t="n"/>
      <c r="C19" s="55">
        <f>IF(OR(InicioCiclo="",$B19=""),"",InicioCiclo+7*VALUE(RIGHT($B19,1))-3)</f>
        <v/>
      </c>
      <c r="D19" s="54" t="n"/>
      <c r="E19" s="54" t="n"/>
      <c r="F19" s="54" t="n"/>
      <c r="G19" s="53">
        <f>IF(NOT((COUNTA($B19)+COUNTA($D19:$F19)+COUNTA($H19:$J19))&gt;0),"",IF(ISNUMBER($H19),"Completado",IF(AND(ISNUMBER($C19),$C19&lt;FechaRef),"Vencido",IF(IFERROR(VALUE(RIGHT($B19,1)),5)&lt;=SemanaActual,"En curso","Pendiente"))))</f>
        <v/>
      </c>
      <c r="H19" s="55" t="n"/>
      <c r="I19" s="54" t="n"/>
      <c r="J19" s="54" t="n"/>
    </row>
    <row r="20">
      <c r="A20" s="53">
        <f>IF(NOT((COUNTA($B20)+COUNTA($D20:$F20)+COUNTA($H20:$J20))&gt;0),"",COUNTIF($G$5:$G20,"?*"))</f>
        <v/>
      </c>
      <c r="B20" s="62" t="n"/>
      <c r="C20" s="55">
        <f>IF(OR(InicioCiclo="",$B20=""),"",InicioCiclo+7*VALUE(RIGHT($B20,1))-3)</f>
        <v/>
      </c>
      <c r="D20" s="54" t="n"/>
      <c r="E20" s="54" t="n"/>
      <c r="F20" s="54" t="n"/>
      <c r="G20" s="53">
        <f>IF(NOT((COUNTA($B20)+COUNTA($D20:$F20)+COUNTA($H20:$J20))&gt;0),"",IF(ISNUMBER($H20),"Completado",IF(AND(ISNUMBER($C20),$C20&lt;FechaRef),"Vencido",IF(IFERROR(VALUE(RIGHT($B20,1)),5)&lt;=SemanaActual,"En curso","Pendiente"))))</f>
        <v/>
      </c>
      <c r="H20" s="55" t="n"/>
      <c r="I20" s="54" t="n"/>
      <c r="J20" s="54" t="n"/>
    </row>
    <row r="21">
      <c r="A21" s="53">
        <f>IF(NOT((COUNTA($B21)+COUNTA($D21:$F21)+COUNTA($H21:$J21))&gt;0),"",COUNTIF($G$5:$G21,"?*"))</f>
        <v/>
      </c>
      <c r="B21" s="62" t="n"/>
      <c r="C21" s="55">
        <f>IF(OR(InicioCiclo="",$B21=""),"",InicioCiclo+7*VALUE(RIGHT($B21,1))-3)</f>
        <v/>
      </c>
      <c r="D21" s="54" t="n"/>
      <c r="E21" s="54" t="n"/>
      <c r="F21" s="54" t="n"/>
      <c r="G21" s="53">
        <f>IF(NOT((COUNTA($B21)+COUNTA($D21:$F21)+COUNTA($H21:$J21))&gt;0),"",IF(ISNUMBER($H21),"Completado",IF(AND(ISNUMBER($C21),$C21&lt;FechaRef),"Vencido",IF(IFERROR(VALUE(RIGHT($B21,1)),5)&lt;=SemanaActual,"En curso","Pendiente"))))</f>
        <v/>
      </c>
      <c r="H21" s="55" t="n"/>
      <c r="I21" s="54" t="n"/>
      <c r="J21" s="54" t="n"/>
    </row>
    <row r="22">
      <c r="A22" s="53">
        <f>IF(NOT((COUNTA($B22)+COUNTA($D22:$F22)+COUNTA($H22:$J22))&gt;0),"",COUNTIF($G$5:$G22,"?*"))</f>
        <v/>
      </c>
      <c r="B22" s="62" t="n"/>
      <c r="C22" s="55">
        <f>IF(OR(InicioCiclo="",$B22=""),"",InicioCiclo+7*VALUE(RIGHT($B22,1))-3)</f>
        <v/>
      </c>
      <c r="D22" s="54" t="n"/>
      <c r="E22" s="54" t="n"/>
      <c r="F22" s="54" t="n"/>
      <c r="G22" s="53">
        <f>IF(NOT((COUNTA($B22)+COUNTA($D22:$F22)+COUNTA($H22:$J22))&gt;0),"",IF(ISNUMBER($H22),"Completado",IF(AND(ISNUMBER($C22),$C22&lt;FechaRef),"Vencido",IF(IFERROR(VALUE(RIGHT($B22,1)),5)&lt;=SemanaActual,"En curso","Pendiente"))))</f>
        <v/>
      </c>
      <c r="H22" s="55" t="n"/>
      <c r="I22" s="54" t="n"/>
      <c r="J22" s="54" t="n"/>
    </row>
    <row r="23">
      <c r="A23" s="53">
        <f>IF(NOT((COUNTA($B23)+COUNTA($D23:$F23)+COUNTA($H23:$J23))&gt;0),"",COUNTIF($G$5:$G23,"?*"))</f>
        <v/>
      </c>
      <c r="B23" s="62" t="n"/>
      <c r="C23" s="55">
        <f>IF(OR(InicioCiclo="",$B23=""),"",InicioCiclo+7*VALUE(RIGHT($B23,1))-3)</f>
        <v/>
      </c>
      <c r="D23" s="54" t="n"/>
      <c r="E23" s="54" t="n"/>
      <c r="F23" s="54" t="n"/>
      <c r="G23" s="53">
        <f>IF(NOT((COUNTA($B23)+COUNTA($D23:$F23)+COUNTA($H23:$J23))&gt;0),"",IF(ISNUMBER($H23),"Completado",IF(AND(ISNUMBER($C23),$C23&lt;FechaRef),"Vencido",IF(IFERROR(VALUE(RIGHT($B23,1)),5)&lt;=SemanaActual,"En curso","Pendiente"))))</f>
        <v/>
      </c>
      <c r="H23" s="55" t="n"/>
      <c r="I23" s="54" t="n"/>
      <c r="J23" s="54" t="n"/>
    </row>
    <row r="24">
      <c r="A24" s="53">
        <f>IF(NOT((COUNTA($B24)+COUNTA($D24:$F24)+COUNTA($H24:$J24))&gt;0),"",COUNTIF($G$5:$G24,"?*"))</f>
        <v/>
      </c>
      <c r="B24" s="62" t="n"/>
      <c r="C24" s="55">
        <f>IF(OR(InicioCiclo="",$B24=""),"",InicioCiclo+7*VALUE(RIGHT($B24,1))-3)</f>
        <v/>
      </c>
      <c r="D24" s="54" t="n"/>
      <c r="E24" s="54" t="n"/>
      <c r="F24" s="54" t="n"/>
      <c r="G24" s="53">
        <f>IF(NOT((COUNTA($B24)+COUNTA($D24:$F24)+COUNTA($H24:$J24))&gt;0),"",IF(ISNUMBER($H24),"Completado",IF(AND(ISNUMBER($C24),$C24&lt;FechaRef),"Vencido",IF(IFERROR(VALUE(RIGHT($B24,1)),5)&lt;=SemanaActual,"En curso","Pendiente"))))</f>
        <v/>
      </c>
      <c r="H24" s="55" t="n"/>
      <c r="I24" s="54" t="n"/>
      <c r="J24" s="54" t="n"/>
    </row>
  </sheetData>
  <sheetProtection selectLockedCells="0" selectUnlockedCells="0" sheet="1" objects="0" insertRows="1" insertHyperlinks="1" autoFilter="0" scenarios="0" formatColumns="0" deleteColumns="1" insertColumns="1" pivotTables="1" deleteRows="1" formatCells="1" formatRows="0" sort="0"/>
  <mergeCells count="2">
    <mergeCell ref="A1:J1"/>
    <mergeCell ref="A2:J2"/>
  </mergeCells>
  <conditionalFormatting sqref="G5:G500">
    <cfRule type="expression" priority="1" dxfId="0">
      <formula>$G5="Completado"</formula>
    </cfRule>
    <cfRule type="expression" priority="2" dxfId="6">
      <formula>$G5="Vencido"</formula>
    </cfRule>
    <cfRule type="expression" priority="3" dxfId="4">
      <formula>$G5="En curso"</formula>
    </cfRule>
    <cfRule type="expression" priority="4" dxfId="5">
      <formula>$G5="Pendiente"</formula>
    </cfRule>
  </conditionalFormatting>
  <conditionalFormatting sqref="C5:C500">
    <cfRule type="expression" priority="5" dxfId="6" stopIfTrue="1">
      <formula>$G5="Vencido"</formula>
    </cfRule>
    <cfRule type="expression" priority="6" dxfId="7">
      <formula>AND(ISNUMBER($C5),$C5&gt;=FechaRef,$C5-FechaRef&lt;=DiasAlerta,$G5&lt;&gt;"Completado")</formula>
    </cfRule>
  </conditionalFormatting>
  <conditionalFormatting sqref="H5:H500">
    <cfRule type="expression" priority="7" dxfId="7">
      <formula>AND(ISNUMBER($H5),ISNUMBER($C5),$H5&gt;$C5)</formula>
    </cfRule>
  </conditionalFormatting>
  <conditionalFormatting sqref="J5:J500">
    <cfRule type="expression" priority="8" dxfId="5">
      <formula>AND(ObsObligatoria="Sí",$G5="Vencido",$J5="")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1" showErrorMessage="1" allowBlank="1" error="Ingrese una fecha válida (dd/mm/aaaa)." promptTitle="Fecha real" prompt="Escriba la fecha en que se cumplió. El estado cambiará a Completado." type="date" operator="greaterThan">
      <formula1>36526</formula1>
    </dataValidation>
    <dataValidation sqref="C5:C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7030A0"/>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63" t="inlineStr">
        <is>
          <t>Cronograma – Riesgo Normativo</t>
        </is>
      </c>
      <c r="B1" s="63" t="n"/>
      <c r="C1" s="63" t="n"/>
      <c r="D1" s="63" t="n"/>
      <c r="E1" s="63" t="n"/>
      <c r="F1" s="63" t="n"/>
      <c r="G1" s="63" t="n"/>
      <c r="H1" s="63" t="n"/>
      <c r="I1" s="63" t="n"/>
      <c r="J1" s="63" t="n"/>
      <c r="K1" s="63" t="n"/>
      <c r="L1" s="63" t="n"/>
      <c r="M1" s="63" t="n"/>
      <c r="N1" s="63"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64" t="inlineStr">
        <is>
          <t>Macro Actividad</t>
        </is>
      </c>
      <c r="C4" s="64" t="inlineStr">
        <is>
          <t>Responsable</t>
        </is>
      </c>
      <c r="D4" s="64" t="inlineStr">
        <is>
          <t>Fecha de inicio</t>
        </is>
      </c>
      <c r="E4" s="64" t="inlineStr">
        <is>
          <t>Fecha límite</t>
        </is>
      </c>
      <c r="F4" s="64" t="inlineStr">
        <is>
          <t>Peso de actividad (%)</t>
        </is>
      </c>
      <c r="G4" s="64" t="inlineStr">
        <is>
          <t>Avance Semana 1 (%)</t>
        </is>
      </c>
      <c r="H4" s="64" t="inlineStr">
        <is>
          <t>Avance Semana 2 (%)</t>
        </is>
      </c>
      <c r="I4" s="64" t="inlineStr">
        <is>
          <t>Avance Semana 3 (%)</t>
        </is>
      </c>
      <c r="J4" s="64" t="inlineStr">
        <is>
          <t>Avance Semana 4 (%)</t>
        </is>
      </c>
      <c r="K4" s="52" t="inlineStr">
        <is>
          <t>% de Avance Total Actual</t>
        </is>
      </c>
      <c r="L4" s="52" t="inlineStr">
        <is>
          <t>Estado</t>
        </is>
      </c>
      <c r="M4" s="64"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7030A0"/>
    <outlinePr summaryBelow="1" summaryRight="1"/>
    <pageSetUpPr fitToPage="1"/>
  </sheetPr>
  <dimension ref="A1:J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3" customWidth="1" min="3" max="3"/>
    <col width="50" customWidth="1" min="4" max="4"/>
    <col width="54" customWidth="1" min="5" max="5"/>
    <col width="18" customWidth="1" min="6" max="6"/>
    <col width="13" customWidth="1" min="7" max="7"/>
    <col width="14" customWidth="1" min="8" max="8"/>
    <col width="30" customWidth="1" min="9" max="9"/>
    <col width="36" customWidth="1" min="10" max="10"/>
  </cols>
  <sheetData>
    <row r="1" ht="28" customHeight="1">
      <c r="A1" s="63" t="inlineStr">
        <is>
          <t>Actividades semanales y entregables – Riesgo Normativo</t>
        </is>
      </c>
      <c r="B1" s="63" t="n"/>
      <c r="C1" s="63" t="n"/>
      <c r="D1" s="63" t="n"/>
      <c r="E1" s="63" t="n"/>
      <c r="F1" s="63" t="n"/>
      <c r="G1" s="63" t="n"/>
      <c r="H1" s="63" t="n"/>
      <c r="I1" s="63" t="n"/>
      <c r="J1" s="63" t="n"/>
    </row>
    <row r="2" ht="32" customHeight="1">
      <c r="A2" s="60" t="inlineStr">
        <is>
          <t>Llene las celdas AMARILLAS; las GRISES son automáticas (N°, fecha objetivo propuesta y estado). Cuando cumpla una actividad escriba la FECHA REAL de cumplimiento: el estado cambia solo a «Completado». Las 4 actividades incluidas son una PROPUESTA editable (una por semana); puede cambiarlas o agregar más en las filas vacías.</t>
        </is>
      </c>
      <c r="B2" s="60" t="n"/>
      <c r="C2" s="60" t="n"/>
      <c r="D2" s="60" t="n"/>
      <c r="E2" s="60" t="n"/>
      <c r="F2" s="60" t="n"/>
      <c r="G2" s="60" t="n"/>
      <c r="H2" s="60" t="n"/>
      <c r="I2" s="60" t="n"/>
      <c r="J2" s="60" t="n"/>
    </row>
    <row r="3">
      <c r="A3" s="47" t="inlineStr">
        <is>
          <t>Entrada</t>
        </is>
      </c>
      <c r="B3" s="48" t="inlineStr">
        <is>
          <t>Automático</t>
        </is>
      </c>
      <c r="C3" s="61" t="inlineStr">
        <is>
          <t>Fecha objetivo = viernes de la semana elegida (según el inicio del ciclo en Configuración); puede escribir otra fecha encima.</t>
        </is>
      </c>
    </row>
    <row r="4" ht="34" customHeight="1">
      <c r="A4" s="52" t="inlineStr">
        <is>
          <t>N°</t>
        </is>
      </c>
      <c r="B4" s="64" t="inlineStr">
        <is>
          <t>Semana</t>
        </is>
      </c>
      <c r="C4" s="64" t="inlineStr">
        <is>
          <t>Fecha objetivo</t>
        </is>
      </c>
      <c r="D4" s="64" t="inlineStr">
        <is>
          <t>Actividad / Entregable</t>
        </is>
      </c>
      <c r="E4" s="64" t="inlineStr">
        <is>
          <t>Criterio de aceptación</t>
        </is>
      </c>
      <c r="F4" s="64" t="inlineStr">
        <is>
          <t>Responsable</t>
        </is>
      </c>
      <c r="G4" s="52" t="inlineStr">
        <is>
          <t>Estado</t>
        </is>
      </c>
      <c r="H4" s="64" t="inlineStr">
        <is>
          <t>Fecha real de cumplimiento</t>
        </is>
      </c>
      <c r="I4" s="64" t="inlineStr">
        <is>
          <t>Evidencia / Enlace</t>
        </is>
      </c>
      <c r="J4" s="64" t="inlineStr">
        <is>
          <t>Observaciones</t>
        </is>
      </c>
    </row>
    <row r="5" ht="45" customHeight="1">
      <c r="A5" s="53">
        <f>IF(NOT((COUNTA($B5)+COUNTA($D5:$F5)+COUNTA($H5:$J5))&gt;0),"",COUNTIF($G$5:$G5,"?*"))</f>
        <v/>
      </c>
      <c r="B5" s="62" t="inlineStr">
        <is>
          <t>Semana 1</t>
        </is>
      </c>
      <c r="C5" s="55">
        <f>IF(OR(InicioCiclo="",$B5=""),"",InicioCiclo+7*VALUE(RIGHT($B5,1))-3)</f>
        <v/>
      </c>
      <c r="D5" s="54" t="inlineStr">
        <is>
          <t>Inventario de normativa aplicable y diagnóstico preliminar de cumplimiento</t>
        </is>
      </c>
      <c r="E5" s="54" t="inlineStr">
        <is>
          <t>Listado de normas aplicables con fuente, vigencia y estado preliminar de cumplimiento por requisito.</t>
        </is>
      </c>
      <c r="F5" s="54" t="inlineStr">
        <is>
          <t>Por asignar</t>
        </is>
      </c>
      <c r="G5" s="53">
        <f>IF(NOT((COUNTA($B5)+COUNTA($D5:$F5)+COUNTA($H5:$J5))&gt;0),"",IF(ISNUMBER($H5),"Completado",IF(AND(ISNUMBER($C5),$C5&lt;FechaRef),"Vencido",IF(IFERROR(VALUE(RIGHT($B5,1)),5)&lt;=SemanaActual,"En curso","Pendiente"))))</f>
        <v/>
      </c>
      <c r="H5" s="55" t="n"/>
      <c r="I5" s="54" t="n"/>
      <c r="J5" s="54" t="inlineStr">
        <is>
          <t>Propuesta editable – sujeta a validación del responsable.</t>
        </is>
      </c>
    </row>
    <row r="6" ht="45" customHeight="1">
      <c r="A6" s="53">
        <f>IF(NOT((COUNTA($B6)+COUNTA($D6:$F6)+COUNTA($H6:$J6))&gt;0),"",COUNTIF($G$5:$G6,"?*"))</f>
        <v/>
      </c>
      <c r="B6" s="62" t="inlineStr">
        <is>
          <t>Semana 2</t>
        </is>
      </c>
      <c r="C6" s="55">
        <f>IF(OR(InicioCiclo="",$B6=""),"",InicioCiclo+7*VALUE(RIGHT($B6,1))-3)</f>
        <v/>
      </c>
      <c r="D6" s="54" t="inlineStr">
        <is>
          <t>Matriz de cumplimiento normativo documentada</t>
        </is>
      </c>
      <c r="E6" s="54" t="inlineStr">
        <is>
          <t>Matriz con requisito, área responsable, evidencia de cumplimiento y nivel de riesgo para cada norma del inventario.</t>
        </is>
      </c>
      <c r="F6" s="54" t="inlineStr">
        <is>
          <t>Por asignar</t>
        </is>
      </c>
      <c r="G6" s="53">
        <f>IF(NOT((COUNTA($B6)+COUNTA($D6:$F6)+COUNTA($H6:$J6))&gt;0),"",IF(ISNUMBER($H6),"Completado",IF(AND(ISNUMBER($C6),$C6&lt;FechaRef),"Vencido",IF(IFERROR(VALUE(RIGHT($B6,1)),5)&lt;=SemanaActual,"En curso","Pendiente"))))</f>
        <v/>
      </c>
      <c r="H6" s="55" t="n"/>
      <c r="I6" s="54" t="n"/>
      <c r="J6" s="54" t="inlineStr">
        <is>
          <t>Propuesta editable – sujeta a validación del responsable.</t>
        </is>
      </c>
    </row>
    <row r="7" ht="45" customHeight="1">
      <c r="A7" s="53">
        <f>IF(NOT((COUNTA($B7)+COUNTA($D7:$F7)+COUNTA($H7:$J7))&gt;0),"",COUNTIF($G$5:$G7,"?*"))</f>
        <v/>
      </c>
      <c r="B7" s="62" t="inlineStr">
        <is>
          <t>Semana 3</t>
        </is>
      </c>
      <c r="C7" s="55">
        <f>IF(OR(InicioCiclo="",$B7=""),"",InicioCiclo+7*VALUE(RIGHT($B7,1))-3)</f>
        <v/>
      </c>
      <c r="D7" s="54" t="inlineStr">
        <is>
          <t>Análisis de brechas normativas y propuestas de adecuación</t>
        </is>
      </c>
      <c r="E7" s="54" t="inlineStr">
        <is>
          <t>Cada brecha identificada tiene propuesta de adecuación, responsable sugerido y plazo; revisión del titular documentada.</t>
        </is>
      </c>
      <c r="F7" s="54" t="inlineStr">
        <is>
          <t>Por asignar</t>
        </is>
      </c>
      <c r="G7" s="53">
        <f>IF(NOT((COUNTA($B7)+COUNTA($D7:$F7)+COUNTA($H7:$J7))&gt;0),"",IF(ISNUMBER($H7),"Completado",IF(AND(ISNUMBER($C7),$C7&lt;FechaRef),"Vencido",IF(IFERROR(VALUE(RIGHT($B7,1)),5)&lt;=SemanaActual,"En curso","Pendiente"))))</f>
        <v/>
      </c>
      <c r="H7" s="55" t="n"/>
      <c r="I7" s="54" t="n"/>
      <c r="J7" s="54" t="inlineStr">
        <is>
          <t>Propuesta editable – sujeta a validación del responsable.</t>
        </is>
      </c>
    </row>
    <row r="8" ht="45" customHeight="1">
      <c r="A8" s="53">
        <f>IF(NOT((COUNTA($B8)+COUNTA($D8:$F8)+COUNTA($H8:$J8))&gt;0),"",COUNTIF($G$5:$G8,"?*"))</f>
        <v/>
      </c>
      <c r="B8" s="62" t="inlineStr">
        <is>
          <t>Semana 4</t>
        </is>
      </c>
      <c r="C8" s="55">
        <f>IF(OR(InicioCiclo="",$B8=""),"",InicioCiclo+7*VALUE(RIGHT($B8,1))-3)</f>
        <v/>
      </c>
      <c r="D8" s="54" t="inlineStr">
        <is>
          <t>Informe de cumplimiento normativo y presentación ejecutiva</t>
        </is>
      </c>
      <c r="E8" s="54" t="inlineStr">
        <is>
          <t>Informe y presentación entregados en la reunión de cierre y con conformidad registrada de la jefatura.</t>
        </is>
      </c>
      <c r="F8" s="54" t="inlineStr">
        <is>
          <t>Por asignar</t>
        </is>
      </c>
      <c r="G8" s="53">
        <f>IF(NOT((COUNTA($B8)+COUNTA($D8:$F8)+COUNTA($H8:$J8))&gt;0),"",IF(ISNUMBER($H8),"Completado",IF(AND(ISNUMBER($C8),$C8&lt;FechaRef),"Vencido",IF(IFERROR(VALUE(RIGHT($B8,1)),5)&lt;=SemanaActual,"En curso","Pendiente"))))</f>
        <v/>
      </c>
      <c r="H8" s="55" t="n"/>
      <c r="I8" s="54" t="n"/>
      <c r="J8" s="54" t="inlineStr">
        <is>
          <t>Propuesta editable – sujeta a validación del responsable.</t>
        </is>
      </c>
    </row>
    <row r="9">
      <c r="A9" s="53">
        <f>IF(NOT((COUNTA($B9)+COUNTA($D9:$F9)+COUNTA($H9:$J9))&gt;0),"",COUNTIF($G$5:$G9,"?*"))</f>
        <v/>
      </c>
      <c r="B9" s="62" t="n"/>
      <c r="C9" s="55">
        <f>IF(OR(InicioCiclo="",$B9=""),"",InicioCiclo+7*VALUE(RIGHT($B9,1))-3)</f>
        <v/>
      </c>
      <c r="D9" s="54" t="n"/>
      <c r="E9" s="54" t="n"/>
      <c r="F9" s="54" t="n"/>
      <c r="G9" s="53">
        <f>IF(NOT((COUNTA($B9)+COUNTA($D9:$F9)+COUNTA($H9:$J9))&gt;0),"",IF(ISNUMBER($H9),"Completado",IF(AND(ISNUMBER($C9),$C9&lt;FechaRef),"Vencido",IF(IFERROR(VALUE(RIGHT($B9,1)),5)&lt;=SemanaActual,"En curso","Pendiente"))))</f>
        <v/>
      </c>
      <c r="H9" s="55" t="n"/>
      <c r="I9" s="54" t="n"/>
      <c r="J9" s="54" t="n"/>
    </row>
    <row r="10">
      <c r="A10" s="53">
        <f>IF(NOT((COUNTA($B10)+COUNTA($D10:$F10)+COUNTA($H10:$J10))&gt;0),"",COUNTIF($G$5:$G10,"?*"))</f>
        <v/>
      </c>
      <c r="B10" s="62" t="n"/>
      <c r="C10" s="55">
        <f>IF(OR(InicioCiclo="",$B10=""),"",InicioCiclo+7*VALUE(RIGHT($B10,1))-3)</f>
        <v/>
      </c>
      <c r="D10" s="54" t="n"/>
      <c r="E10" s="54" t="n"/>
      <c r="F10" s="54" t="n"/>
      <c r="G10" s="53">
        <f>IF(NOT((COUNTA($B10)+COUNTA($D10:$F10)+COUNTA($H10:$J10))&gt;0),"",IF(ISNUMBER($H10),"Completado",IF(AND(ISNUMBER($C10),$C10&lt;FechaRef),"Vencido",IF(IFERROR(VALUE(RIGHT($B10,1)),5)&lt;=SemanaActual,"En curso","Pendiente"))))</f>
        <v/>
      </c>
      <c r="H10" s="55" t="n"/>
      <c r="I10" s="54" t="n"/>
      <c r="J10" s="54" t="n"/>
    </row>
    <row r="11">
      <c r="A11" s="53">
        <f>IF(NOT((COUNTA($B11)+COUNTA($D11:$F11)+COUNTA($H11:$J11))&gt;0),"",COUNTIF($G$5:$G11,"?*"))</f>
        <v/>
      </c>
      <c r="B11" s="62" t="n"/>
      <c r="C11" s="55">
        <f>IF(OR(InicioCiclo="",$B11=""),"",InicioCiclo+7*VALUE(RIGHT($B11,1))-3)</f>
        <v/>
      </c>
      <c r="D11" s="54" t="n"/>
      <c r="E11" s="54" t="n"/>
      <c r="F11" s="54" t="n"/>
      <c r="G11" s="53">
        <f>IF(NOT((COUNTA($B11)+COUNTA($D11:$F11)+COUNTA($H11:$J11))&gt;0),"",IF(ISNUMBER($H11),"Completado",IF(AND(ISNUMBER($C11),$C11&lt;FechaRef),"Vencido",IF(IFERROR(VALUE(RIGHT($B11,1)),5)&lt;=SemanaActual,"En curso","Pendiente"))))</f>
        <v/>
      </c>
      <c r="H11" s="55" t="n"/>
      <c r="I11" s="54" t="n"/>
      <c r="J11" s="54" t="n"/>
    </row>
    <row r="12">
      <c r="A12" s="53">
        <f>IF(NOT((COUNTA($B12)+COUNTA($D12:$F12)+COUNTA($H12:$J12))&gt;0),"",COUNTIF($G$5:$G12,"?*"))</f>
        <v/>
      </c>
      <c r="B12" s="62" t="n"/>
      <c r="C12" s="55">
        <f>IF(OR(InicioCiclo="",$B12=""),"",InicioCiclo+7*VALUE(RIGHT($B12,1))-3)</f>
        <v/>
      </c>
      <c r="D12" s="54" t="n"/>
      <c r="E12" s="54" t="n"/>
      <c r="F12" s="54" t="n"/>
      <c r="G12" s="53">
        <f>IF(NOT((COUNTA($B12)+COUNTA($D12:$F12)+COUNTA($H12:$J12))&gt;0),"",IF(ISNUMBER($H12),"Completado",IF(AND(ISNUMBER($C12),$C12&lt;FechaRef),"Vencido",IF(IFERROR(VALUE(RIGHT($B12,1)),5)&lt;=SemanaActual,"En curso","Pendiente"))))</f>
        <v/>
      </c>
      <c r="H12" s="55" t="n"/>
      <c r="I12" s="54" t="n"/>
      <c r="J12" s="54" t="n"/>
    </row>
    <row r="13">
      <c r="A13" s="53">
        <f>IF(NOT((COUNTA($B13)+COUNTA($D13:$F13)+COUNTA($H13:$J13))&gt;0),"",COUNTIF($G$5:$G13,"?*"))</f>
        <v/>
      </c>
      <c r="B13" s="62" t="n"/>
      <c r="C13" s="55">
        <f>IF(OR(InicioCiclo="",$B13=""),"",InicioCiclo+7*VALUE(RIGHT($B13,1))-3)</f>
        <v/>
      </c>
      <c r="D13" s="54" t="n"/>
      <c r="E13" s="54" t="n"/>
      <c r="F13" s="54" t="n"/>
      <c r="G13" s="53">
        <f>IF(NOT((COUNTA($B13)+COUNTA($D13:$F13)+COUNTA($H13:$J13))&gt;0),"",IF(ISNUMBER($H13),"Completado",IF(AND(ISNUMBER($C13),$C13&lt;FechaRef),"Vencido",IF(IFERROR(VALUE(RIGHT($B13,1)),5)&lt;=SemanaActual,"En curso","Pendiente"))))</f>
        <v/>
      </c>
      <c r="H13" s="55" t="n"/>
      <c r="I13" s="54" t="n"/>
      <c r="J13" s="54" t="n"/>
    </row>
    <row r="14">
      <c r="A14" s="53">
        <f>IF(NOT((COUNTA($B14)+COUNTA($D14:$F14)+COUNTA($H14:$J14))&gt;0),"",COUNTIF($G$5:$G14,"?*"))</f>
        <v/>
      </c>
      <c r="B14" s="62" t="n"/>
      <c r="C14" s="55">
        <f>IF(OR(InicioCiclo="",$B14=""),"",InicioCiclo+7*VALUE(RIGHT($B14,1))-3)</f>
        <v/>
      </c>
      <c r="D14" s="54" t="n"/>
      <c r="E14" s="54" t="n"/>
      <c r="F14" s="54" t="n"/>
      <c r="G14" s="53">
        <f>IF(NOT((COUNTA($B14)+COUNTA($D14:$F14)+COUNTA($H14:$J14))&gt;0),"",IF(ISNUMBER($H14),"Completado",IF(AND(ISNUMBER($C14),$C14&lt;FechaRef),"Vencido",IF(IFERROR(VALUE(RIGHT($B14,1)),5)&lt;=SemanaActual,"En curso","Pendiente"))))</f>
        <v/>
      </c>
      <c r="H14" s="55" t="n"/>
      <c r="I14" s="54" t="n"/>
      <c r="J14" s="54" t="n"/>
    </row>
    <row r="15">
      <c r="A15" s="53">
        <f>IF(NOT((COUNTA($B15)+COUNTA($D15:$F15)+COUNTA($H15:$J15))&gt;0),"",COUNTIF($G$5:$G15,"?*"))</f>
        <v/>
      </c>
      <c r="B15" s="62" t="n"/>
      <c r="C15" s="55">
        <f>IF(OR(InicioCiclo="",$B15=""),"",InicioCiclo+7*VALUE(RIGHT($B15,1))-3)</f>
        <v/>
      </c>
      <c r="D15" s="54" t="n"/>
      <c r="E15" s="54" t="n"/>
      <c r="F15" s="54" t="n"/>
      <c r="G15" s="53">
        <f>IF(NOT((COUNTA($B15)+COUNTA($D15:$F15)+COUNTA($H15:$J15))&gt;0),"",IF(ISNUMBER($H15),"Completado",IF(AND(ISNUMBER($C15),$C15&lt;FechaRef),"Vencido",IF(IFERROR(VALUE(RIGHT($B15,1)),5)&lt;=SemanaActual,"En curso","Pendiente"))))</f>
        <v/>
      </c>
      <c r="H15" s="55" t="n"/>
      <c r="I15" s="54" t="n"/>
      <c r="J15" s="54" t="n"/>
    </row>
    <row r="16">
      <c r="A16" s="53">
        <f>IF(NOT((COUNTA($B16)+COUNTA($D16:$F16)+COUNTA($H16:$J16))&gt;0),"",COUNTIF($G$5:$G16,"?*"))</f>
        <v/>
      </c>
      <c r="B16" s="62" t="n"/>
      <c r="C16" s="55">
        <f>IF(OR(InicioCiclo="",$B16=""),"",InicioCiclo+7*VALUE(RIGHT($B16,1))-3)</f>
        <v/>
      </c>
      <c r="D16" s="54" t="n"/>
      <c r="E16" s="54" t="n"/>
      <c r="F16" s="54" t="n"/>
      <c r="G16" s="53">
        <f>IF(NOT((COUNTA($B16)+COUNTA($D16:$F16)+COUNTA($H16:$J16))&gt;0),"",IF(ISNUMBER($H16),"Completado",IF(AND(ISNUMBER($C16),$C16&lt;FechaRef),"Vencido",IF(IFERROR(VALUE(RIGHT($B16,1)),5)&lt;=SemanaActual,"En curso","Pendiente"))))</f>
        <v/>
      </c>
      <c r="H16" s="55" t="n"/>
      <c r="I16" s="54" t="n"/>
      <c r="J16" s="54" t="n"/>
    </row>
    <row r="17">
      <c r="A17" s="53">
        <f>IF(NOT((COUNTA($B17)+COUNTA($D17:$F17)+COUNTA($H17:$J17))&gt;0),"",COUNTIF($G$5:$G17,"?*"))</f>
        <v/>
      </c>
      <c r="B17" s="62" t="n"/>
      <c r="C17" s="55">
        <f>IF(OR(InicioCiclo="",$B17=""),"",InicioCiclo+7*VALUE(RIGHT($B17,1))-3)</f>
        <v/>
      </c>
      <c r="D17" s="54" t="n"/>
      <c r="E17" s="54" t="n"/>
      <c r="F17" s="54" t="n"/>
      <c r="G17" s="53">
        <f>IF(NOT((COUNTA($B17)+COUNTA($D17:$F17)+COUNTA($H17:$J17))&gt;0),"",IF(ISNUMBER($H17),"Completado",IF(AND(ISNUMBER($C17),$C17&lt;FechaRef),"Vencido",IF(IFERROR(VALUE(RIGHT($B17,1)),5)&lt;=SemanaActual,"En curso","Pendiente"))))</f>
        <v/>
      </c>
      <c r="H17" s="55" t="n"/>
      <c r="I17" s="54" t="n"/>
      <c r="J17" s="54" t="n"/>
    </row>
    <row r="18">
      <c r="A18" s="53">
        <f>IF(NOT((COUNTA($B18)+COUNTA($D18:$F18)+COUNTA($H18:$J18))&gt;0),"",COUNTIF($G$5:$G18,"?*"))</f>
        <v/>
      </c>
      <c r="B18" s="62" t="n"/>
      <c r="C18" s="55">
        <f>IF(OR(InicioCiclo="",$B18=""),"",InicioCiclo+7*VALUE(RIGHT($B18,1))-3)</f>
        <v/>
      </c>
      <c r="D18" s="54" t="n"/>
      <c r="E18" s="54" t="n"/>
      <c r="F18" s="54" t="n"/>
      <c r="G18" s="53">
        <f>IF(NOT((COUNTA($B18)+COUNTA($D18:$F18)+COUNTA($H18:$J18))&gt;0),"",IF(ISNUMBER($H18),"Completado",IF(AND(ISNUMBER($C18),$C18&lt;FechaRef),"Vencido",IF(IFERROR(VALUE(RIGHT($B18,1)),5)&lt;=SemanaActual,"En curso","Pendiente"))))</f>
        <v/>
      </c>
      <c r="H18" s="55" t="n"/>
      <c r="I18" s="54" t="n"/>
      <c r="J18" s="54" t="n"/>
    </row>
    <row r="19">
      <c r="A19" s="53">
        <f>IF(NOT((COUNTA($B19)+COUNTA($D19:$F19)+COUNTA($H19:$J19))&gt;0),"",COUNTIF($G$5:$G19,"?*"))</f>
        <v/>
      </c>
      <c r="B19" s="62" t="n"/>
      <c r="C19" s="55">
        <f>IF(OR(InicioCiclo="",$B19=""),"",InicioCiclo+7*VALUE(RIGHT($B19,1))-3)</f>
        <v/>
      </c>
      <c r="D19" s="54" t="n"/>
      <c r="E19" s="54" t="n"/>
      <c r="F19" s="54" t="n"/>
      <c r="G19" s="53">
        <f>IF(NOT((COUNTA($B19)+COUNTA($D19:$F19)+COUNTA($H19:$J19))&gt;0),"",IF(ISNUMBER($H19),"Completado",IF(AND(ISNUMBER($C19),$C19&lt;FechaRef),"Vencido",IF(IFERROR(VALUE(RIGHT($B19,1)),5)&lt;=SemanaActual,"En curso","Pendiente"))))</f>
        <v/>
      </c>
      <c r="H19" s="55" t="n"/>
      <c r="I19" s="54" t="n"/>
      <c r="J19" s="54" t="n"/>
    </row>
    <row r="20">
      <c r="A20" s="53">
        <f>IF(NOT((COUNTA($B20)+COUNTA($D20:$F20)+COUNTA($H20:$J20))&gt;0),"",COUNTIF($G$5:$G20,"?*"))</f>
        <v/>
      </c>
      <c r="B20" s="62" t="n"/>
      <c r="C20" s="55">
        <f>IF(OR(InicioCiclo="",$B20=""),"",InicioCiclo+7*VALUE(RIGHT($B20,1))-3)</f>
        <v/>
      </c>
      <c r="D20" s="54" t="n"/>
      <c r="E20" s="54" t="n"/>
      <c r="F20" s="54" t="n"/>
      <c r="G20" s="53">
        <f>IF(NOT((COUNTA($B20)+COUNTA($D20:$F20)+COUNTA($H20:$J20))&gt;0),"",IF(ISNUMBER($H20),"Completado",IF(AND(ISNUMBER($C20),$C20&lt;FechaRef),"Vencido",IF(IFERROR(VALUE(RIGHT($B20,1)),5)&lt;=SemanaActual,"En curso","Pendiente"))))</f>
        <v/>
      </c>
      <c r="H20" s="55" t="n"/>
      <c r="I20" s="54" t="n"/>
      <c r="J20" s="54" t="n"/>
    </row>
    <row r="21">
      <c r="A21" s="53">
        <f>IF(NOT((COUNTA($B21)+COUNTA($D21:$F21)+COUNTA($H21:$J21))&gt;0),"",COUNTIF($G$5:$G21,"?*"))</f>
        <v/>
      </c>
      <c r="B21" s="62" t="n"/>
      <c r="C21" s="55">
        <f>IF(OR(InicioCiclo="",$B21=""),"",InicioCiclo+7*VALUE(RIGHT($B21,1))-3)</f>
        <v/>
      </c>
      <c r="D21" s="54" t="n"/>
      <c r="E21" s="54" t="n"/>
      <c r="F21" s="54" t="n"/>
      <c r="G21" s="53">
        <f>IF(NOT((COUNTA($B21)+COUNTA($D21:$F21)+COUNTA($H21:$J21))&gt;0),"",IF(ISNUMBER($H21),"Completado",IF(AND(ISNUMBER($C21),$C21&lt;FechaRef),"Vencido",IF(IFERROR(VALUE(RIGHT($B21,1)),5)&lt;=SemanaActual,"En curso","Pendiente"))))</f>
        <v/>
      </c>
      <c r="H21" s="55" t="n"/>
      <c r="I21" s="54" t="n"/>
      <c r="J21" s="54" t="n"/>
    </row>
    <row r="22">
      <c r="A22" s="53">
        <f>IF(NOT((COUNTA($B22)+COUNTA($D22:$F22)+COUNTA($H22:$J22))&gt;0),"",COUNTIF($G$5:$G22,"?*"))</f>
        <v/>
      </c>
      <c r="B22" s="62" t="n"/>
      <c r="C22" s="55">
        <f>IF(OR(InicioCiclo="",$B22=""),"",InicioCiclo+7*VALUE(RIGHT($B22,1))-3)</f>
        <v/>
      </c>
      <c r="D22" s="54" t="n"/>
      <c r="E22" s="54" t="n"/>
      <c r="F22" s="54" t="n"/>
      <c r="G22" s="53">
        <f>IF(NOT((COUNTA($B22)+COUNTA($D22:$F22)+COUNTA($H22:$J22))&gt;0),"",IF(ISNUMBER($H22),"Completado",IF(AND(ISNUMBER($C22),$C22&lt;FechaRef),"Vencido",IF(IFERROR(VALUE(RIGHT($B22,1)),5)&lt;=SemanaActual,"En curso","Pendiente"))))</f>
        <v/>
      </c>
      <c r="H22" s="55" t="n"/>
      <c r="I22" s="54" t="n"/>
      <c r="J22" s="54" t="n"/>
    </row>
    <row r="23">
      <c r="A23" s="53">
        <f>IF(NOT((COUNTA($B23)+COUNTA($D23:$F23)+COUNTA($H23:$J23))&gt;0),"",COUNTIF($G$5:$G23,"?*"))</f>
        <v/>
      </c>
      <c r="B23" s="62" t="n"/>
      <c r="C23" s="55">
        <f>IF(OR(InicioCiclo="",$B23=""),"",InicioCiclo+7*VALUE(RIGHT($B23,1))-3)</f>
        <v/>
      </c>
      <c r="D23" s="54" t="n"/>
      <c r="E23" s="54" t="n"/>
      <c r="F23" s="54" t="n"/>
      <c r="G23" s="53">
        <f>IF(NOT((COUNTA($B23)+COUNTA($D23:$F23)+COUNTA($H23:$J23))&gt;0),"",IF(ISNUMBER($H23),"Completado",IF(AND(ISNUMBER($C23),$C23&lt;FechaRef),"Vencido",IF(IFERROR(VALUE(RIGHT($B23,1)),5)&lt;=SemanaActual,"En curso","Pendiente"))))</f>
        <v/>
      </c>
      <c r="H23" s="55" t="n"/>
      <c r="I23" s="54" t="n"/>
      <c r="J23" s="54" t="n"/>
    </row>
    <row r="24">
      <c r="A24" s="53">
        <f>IF(NOT((COUNTA($B24)+COUNTA($D24:$F24)+COUNTA($H24:$J24))&gt;0),"",COUNTIF($G$5:$G24,"?*"))</f>
        <v/>
      </c>
      <c r="B24" s="62" t="n"/>
      <c r="C24" s="55">
        <f>IF(OR(InicioCiclo="",$B24=""),"",InicioCiclo+7*VALUE(RIGHT($B24,1))-3)</f>
        <v/>
      </c>
      <c r="D24" s="54" t="n"/>
      <c r="E24" s="54" t="n"/>
      <c r="F24" s="54" t="n"/>
      <c r="G24" s="53">
        <f>IF(NOT((COUNTA($B24)+COUNTA($D24:$F24)+COUNTA($H24:$J24))&gt;0),"",IF(ISNUMBER($H24),"Completado",IF(AND(ISNUMBER($C24),$C24&lt;FechaRef),"Vencido",IF(IFERROR(VALUE(RIGHT($B24,1)),5)&lt;=SemanaActual,"En curso","Pendiente"))))</f>
        <v/>
      </c>
      <c r="H24" s="55" t="n"/>
      <c r="I24" s="54" t="n"/>
      <c r="J24" s="54" t="n"/>
    </row>
  </sheetData>
  <sheetProtection selectLockedCells="0" selectUnlockedCells="0" sheet="1" objects="0" insertRows="1" insertHyperlinks="1" autoFilter="0" scenarios="0" formatColumns="0" deleteColumns="1" insertColumns="1" pivotTables="1" deleteRows="1" formatCells="1" formatRows="0" sort="0"/>
  <mergeCells count="2">
    <mergeCell ref="A1:J1"/>
    <mergeCell ref="A2:J2"/>
  </mergeCells>
  <conditionalFormatting sqref="G5:G500">
    <cfRule type="expression" priority="1" dxfId="0">
      <formula>$G5="Completado"</formula>
    </cfRule>
    <cfRule type="expression" priority="2" dxfId="6">
      <formula>$G5="Vencido"</formula>
    </cfRule>
    <cfRule type="expression" priority="3" dxfId="4">
      <formula>$G5="En curso"</formula>
    </cfRule>
    <cfRule type="expression" priority="4" dxfId="5">
      <formula>$G5="Pendiente"</formula>
    </cfRule>
  </conditionalFormatting>
  <conditionalFormatting sqref="C5:C500">
    <cfRule type="expression" priority="5" dxfId="6" stopIfTrue="1">
      <formula>$G5="Vencido"</formula>
    </cfRule>
    <cfRule type="expression" priority="6" dxfId="7">
      <formula>AND(ISNUMBER($C5),$C5&gt;=FechaRef,$C5-FechaRef&lt;=DiasAlerta,$G5&lt;&gt;"Completado")</formula>
    </cfRule>
  </conditionalFormatting>
  <conditionalFormatting sqref="H5:H500">
    <cfRule type="expression" priority="7" dxfId="7">
      <formula>AND(ISNUMBER($H5),ISNUMBER($C5),$H5&gt;$C5)</formula>
    </cfRule>
  </conditionalFormatting>
  <conditionalFormatting sqref="J5:J500">
    <cfRule type="expression" priority="8" dxfId="5">
      <formula>AND(ObsObligatoria="Sí",$G5="Vencido",$J5="")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1" showErrorMessage="1" allowBlank="1" error="Ingrese una fecha válida (dd/mm/aaaa)." promptTitle="Fecha real" prompt="Escriba la fecha en que se cumplió. El estado cambiará a Completado." type="date" operator="greaterThan">
      <formula1>36526</formula1>
    </dataValidation>
    <dataValidation sqref="C5:C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548235"/>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65" t="inlineStr">
        <is>
          <t>Cronograma – Riesgo Financiero</t>
        </is>
      </c>
      <c r="B1" s="65" t="n"/>
      <c r="C1" s="65" t="n"/>
      <c r="D1" s="65" t="n"/>
      <c r="E1" s="65" t="n"/>
      <c r="F1" s="65" t="n"/>
      <c r="G1" s="65" t="n"/>
      <c r="H1" s="65" t="n"/>
      <c r="I1" s="65" t="n"/>
      <c r="J1" s="65" t="n"/>
      <c r="K1" s="65" t="n"/>
      <c r="L1" s="65" t="n"/>
      <c r="M1" s="65" t="n"/>
      <c r="N1" s="65"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66" t="inlineStr">
        <is>
          <t>Macro Actividad</t>
        </is>
      </c>
      <c r="C4" s="66" t="inlineStr">
        <is>
          <t>Responsable</t>
        </is>
      </c>
      <c r="D4" s="66" t="inlineStr">
        <is>
          <t>Fecha de inicio</t>
        </is>
      </c>
      <c r="E4" s="66" t="inlineStr">
        <is>
          <t>Fecha límite</t>
        </is>
      </c>
      <c r="F4" s="66" t="inlineStr">
        <is>
          <t>Peso de actividad (%)</t>
        </is>
      </c>
      <c r="G4" s="66" t="inlineStr">
        <is>
          <t>Avance Semana 1 (%)</t>
        </is>
      </c>
      <c r="H4" s="66" t="inlineStr">
        <is>
          <t>Avance Semana 2 (%)</t>
        </is>
      </c>
      <c r="I4" s="66" t="inlineStr">
        <is>
          <t>Avance Semana 3 (%)</t>
        </is>
      </c>
      <c r="J4" s="66" t="inlineStr">
        <is>
          <t>Avance Semana 4 (%)</t>
        </is>
      </c>
      <c r="K4" s="52" t="inlineStr">
        <is>
          <t>% de Avance Total Actual</t>
        </is>
      </c>
      <c r="L4" s="52" t="inlineStr">
        <is>
          <t>Estado</t>
        </is>
      </c>
      <c r="M4" s="66"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548235"/>
    <outlinePr summaryBelow="1" summaryRight="1"/>
    <pageSetUpPr fitToPage="1"/>
  </sheetPr>
  <dimension ref="A1:J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3" customWidth="1" min="3" max="3"/>
    <col width="50" customWidth="1" min="4" max="4"/>
    <col width="54" customWidth="1" min="5" max="5"/>
    <col width="18" customWidth="1" min="6" max="6"/>
    <col width="13" customWidth="1" min="7" max="7"/>
    <col width="14" customWidth="1" min="8" max="8"/>
    <col width="30" customWidth="1" min="9" max="9"/>
    <col width="36" customWidth="1" min="10" max="10"/>
  </cols>
  <sheetData>
    <row r="1" ht="28" customHeight="1">
      <c r="A1" s="65" t="inlineStr">
        <is>
          <t>Actividades semanales y entregables – Riesgo Financiero</t>
        </is>
      </c>
      <c r="B1" s="65" t="n"/>
      <c r="C1" s="65" t="n"/>
      <c r="D1" s="65" t="n"/>
      <c r="E1" s="65" t="n"/>
      <c r="F1" s="65" t="n"/>
      <c r="G1" s="65" t="n"/>
      <c r="H1" s="65" t="n"/>
      <c r="I1" s="65" t="n"/>
      <c r="J1" s="65" t="n"/>
    </row>
    <row r="2" ht="32" customHeight="1">
      <c r="A2" s="60" t="inlineStr">
        <is>
          <t>Llene las celdas AMARILLAS; las GRISES son automáticas (N°, fecha objetivo propuesta y estado). Cuando cumpla una actividad escriba la FECHA REAL de cumplimiento: el estado cambia solo a «Completado». Las 4 actividades incluidas son una PROPUESTA editable (una por semana); puede cambiarlas o agregar más en las filas vacías.</t>
        </is>
      </c>
      <c r="B2" s="60" t="n"/>
      <c r="C2" s="60" t="n"/>
      <c r="D2" s="60" t="n"/>
      <c r="E2" s="60" t="n"/>
      <c r="F2" s="60" t="n"/>
      <c r="G2" s="60" t="n"/>
      <c r="H2" s="60" t="n"/>
      <c r="I2" s="60" t="n"/>
      <c r="J2" s="60" t="n"/>
    </row>
    <row r="3">
      <c r="A3" s="47" t="inlineStr">
        <is>
          <t>Entrada</t>
        </is>
      </c>
      <c r="B3" s="48" t="inlineStr">
        <is>
          <t>Automático</t>
        </is>
      </c>
      <c r="C3" s="61" t="inlineStr">
        <is>
          <t>Fecha objetivo = viernes de la semana elegida (según el inicio del ciclo en Configuración); puede escribir otra fecha encima.</t>
        </is>
      </c>
    </row>
    <row r="4" ht="34" customHeight="1">
      <c r="A4" s="52" t="inlineStr">
        <is>
          <t>N°</t>
        </is>
      </c>
      <c r="B4" s="66" t="inlineStr">
        <is>
          <t>Semana</t>
        </is>
      </c>
      <c r="C4" s="66" t="inlineStr">
        <is>
          <t>Fecha objetivo</t>
        </is>
      </c>
      <c r="D4" s="66" t="inlineStr">
        <is>
          <t>Actividad / Entregable</t>
        </is>
      </c>
      <c r="E4" s="66" t="inlineStr">
        <is>
          <t>Criterio de aceptación</t>
        </is>
      </c>
      <c r="F4" s="66" t="inlineStr">
        <is>
          <t>Responsable</t>
        </is>
      </c>
      <c r="G4" s="52" t="inlineStr">
        <is>
          <t>Estado</t>
        </is>
      </c>
      <c r="H4" s="66" t="inlineStr">
        <is>
          <t>Fecha real de cumplimiento</t>
        </is>
      </c>
      <c r="I4" s="66" t="inlineStr">
        <is>
          <t>Evidencia / Enlace</t>
        </is>
      </c>
      <c r="J4" s="66" t="inlineStr">
        <is>
          <t>Observaciones</t>
        </is>
      </c>
    </row>
    <row r="5" ht="45" customHeight="1">
      <c r="A5" s="53">
        <f>IF(NOT((COUNTA($B5)+COUNTA($D5:$F5)+COUNTA($H5:$J5))&gt;0),"",COUNTIF($G$5:$G5,"?*"))</f>
        <v/>
      </c>
      <c r="B5" s="62" t="inlineStr">
        <is>
          <t>Semana 1</t>
        </is>
      </c>
      <c r="C5" s="55">
        <f>IF(OR(InicioCiclo="",$B5=""),"",InicioCiclo+7*VALUE(RIGHT($B5,1))-3)</f>
        <v/>
      </c>
      <c r="D5" s="54" t="inlineStr">
        <is>
          <t>Levantamiento de información financiera y definición de indicadores de riesgo (liquidez, mercado, crédito)</t>
        </is>
      </c>
      <c r="E5" s="54" t="inlineStr">
        <is>
          <t>Fuentes de datos identificadas y ficha de cada indicador con fórmula, periodicidad, fuente y responsable.</t>
        </is>
      </c>
      <c r="F5" s="54" t="inlineStr">
        <is>
          <t>Por asignar</t>
        </is>
      </c>
      <c r="G5" s="53">
        <f>IF(NOT((COUNTA($B5)+COUNTA($D5:$F5)+COUNTA($H5:$J5))&gt;0),"",IF(ISNUMBER($H5),"Completado",IF(AND(ISNUMBER($C5),$C5&lt;FechaRef),"Vencido",IF(IFERROR(VALUE(RIGHT($B5,1)),5)&lt;=SemanaActual,"En curso","Pendiente"))))</f>
        <v/>
      </c>
      <c r="H5" s="55" t="n"/>
      <c r="I5" s="54" t="n"/>
      <c r="J5" s="54" t="inlineStr">
        <is>
          <t>Propuesta editable – sujeta a validación del responsable.</t>
        </is>
      </c>
    </row>
    <row r="6" ht="45" customHeight="1">
      <c r="A6" s="53">
        <f>IF(NOT((COUNTA($B6)+COUNTA($D6:$F6)+COUNTA($H6:$J6))&gt;0),"",COUNTIF($G$5:$G6,"?*"))</f>
        <v/>
      </c>
      <c r="B6" s="62" t="inlineStr">
        <is>
          <t>Semana 2</t>
        </is>
      </c>
      <c r="C6" s="55">
        <f>IF(OR(InicioCiclo="",$B6=""),"",InicioCiclo+7*VALUE(RIGHT($B6,1))-3)</f>
        <v/>
      </c>
      <c r="D6" s="54" t="inlineStr">
        <is>
          <t>Cálculo y documentación de indicadores y límites de riesgo financiero</t>
        </is>
      </c>
      <c r="E6" s="54" t="inlineStr">
        <is>
          <t>Indicadores calculados con datos de corte definidos, memoria de cálculo y comparación contra límites vigentes.</t>
        </is>
      </c>
      <c r="F6" s="54" t="inlineStr">
        <is>
          <t>Por asignar</t>
        </is>
      </c>
      <c r="G6" s="53">
        <f>IF(NOT((COUNTA($B6)+COUNTA($D6:$F6)+COUNTA($H6:$J6))&gt;0),"",IF(ISNUMBER($H6),"Completado",IF(AND(ISNUMBER($C6),$C6&lt;FechaRef),"Vencido",IF(IFERROR(VALUE(RIGHT($B6,1)),5)&lt;=SemanaActual,"En curso","Pendiente"))))</f>
        <v/>
      </c>
      <c r="H6" s="55" t="n"/>
      <c r="I6" s="54" t="n"/>
      <c r="J6" s="54" t="inlineStr">
        <is>
          <t>Propuesta editable – sujeta a validación del responsable.</t>
        </is>
      </c>
    </row>
    <row r="7" ht="45" customHeight="1">
      <c r="A7" s="53">
        <f>IF(NOT((COUNTA($B7)+COUNTA($D7:$F7)+COUNTA($H7:$J7))&gt;0),"",COUNTIF($G$5:$G7,"?*"))</f>
        <v/>
      </c>
      <c r="B7" s="62" t="inlineStr">
        <is>
          <t>Semana 3</t>
        </is>
      </c>
      <c r="C7" s="55">
        <f>IF(OR(InicioCiclo="",$B7=""),"",InicioCiclo+7*VALUE(RIGHT($B7,1))-3)</f>
        <v/>
      </c>
      <c r="D7" s="54" t="inlineStr">
        <is>
          <t>Análisis de sensibilidad / escenarios y propuesta de límites o alertas tempranas</t>
        </is>
      </c>
      <c r="E7" s="54" t="inlineStr">
        <is>
          <t>Al menos un escenario base y uno adverso documentados, con propuesta de umbrales de alerta justificada.</t>
        </is>
      </c>
      <c r="F7" s="54" t="inlineStr">
        <is>
          <t>Por asignar</t>
        </is>
      </c>
      <c r="G7" s="53">
        <f>IF(NOT((COUNTA($B7)+COUNTA($D7:$F7)+COUNTA($H7:$J7))&gt;0),"",IF(ISNUMBER($H7),"Completado",IF(AND(ISNUMBER($C7),$C7&lt;FechaRef),"Vencido",IF(IFERROR(VALUE(RIGHT($B7,1)),5)&lt;=SemanaActual,"En curso","Pendiente"))))</f>
        <v/>
      </c>
      <c r="H7" s="55" t="n"/>
      <c r="I7" s="54" t="n"/>
      <c r="J7" s="54" t="inlineStr">
        <is>
          <t>Propuesta editable – sujeta a validación del responsable.</t>
        </is>
      </c>
    </row>
    <row r="8" ht="45" customHeight="1">
      <c r="A8" s="53">
        <f>IF(NOT((COUNTA($B8)+COUNTA($D8:$F8)+COUNTA($H8:$J8))&gt;0),"",COUNTIF($G$5:$G8,"?*"))</f>
        <v/>
      </c>
      <c r="B8" s="62" t="inlineStr">
        <is>
          <t>Semana 4</t>
        </is>
      </c>
      <c r="C8" s="55">
        <f>IF(OR(InicioCiclo="",$B8=""),"",InicioCiclo+7*VALUE(RIGHT($B8,1))-3)</f>
        <v/>
      </c>
      <c r="D8" s="54" t="inlineStr">
        <is>
          <t>Informe de riesgo financiero y presentación ejecutiva</t>
        </is>
      </c>
      <c r="E8" s="54" t="inlineStr">
        <is>
          <t>Informe y presentación entregados en la reunión de cierre y con conformidad registrada de la jefatura.</t>
        </is>
      </c>
      <c r="F8" s="54" t="inlineStr">
        <is>
          <t>Por asignar</t>
        </is>
      </c>
      <c r="G8" s="53">
        <f>IF(NOT((COUNTA($B8)+COUNTA($D8:$F8)+COUNTA($H8:$J8))&gt;0),"",IF(ISNUMBER($H8),"Completado",IF(AND(ISNUMBER($C8),$C8&lt;FechaRef),"Vencido",IF(IFERROR(VALUE(RIGHT($B8,1)),5)&lt;=SemanaActual,"En curso","Pendiente"))))</f>
        <v/>
      </c>
      <c r="H8" s="55" t="n"/>
      <c r="I8" s="54" t="n"/>
      <c r="J8" s="54" t="inlineStr">
        <is>
          <t>Propuesta editable – sujeta a validación del responsable.</t>
        </is>
      </c>
    </row>
    <row r="9">
      <c r="A9" s="53">
        <f>IF(NOT((COUNTA($B9)+COUNTA($D9:$F9)+COUNTA($H9:$J9))&gt;0),"",COUNTIF($G$5:$G9,"?*"))</f>
        <v/>
      </c>
      <c r="B9" s="62" t="n"/>
      <c r="C9" s="55">
        <f>IF(OR(InicioCiclo="",$B9=""),"",InicioCiclo+7*VALUE(RIGHT($B9,1))-3)</f>
        <v/>
      </c>
      <c r="D9" s="54" t="n"/>
      <c r="E9" s="54" t="n"/>
      <c r="F9" s="54" t="n"/>
      <c r="G9" s="53">
        <f>IF(NOT((COUNTA($B9)+COUNTA($D9:$F9)+COUNTA($H9:$J9))&gt;0),"",IF(ISNUMBER($H9),"Completado",IF(AND(ISNUMBER($C9),$C9&lt;FechaRef),"Vencido",IF(IFERROR(VALUE(RIGHT($B9,1)),5)&lt;=SemanaActual,"En curso","Pendiente"))))</f>
        <v/>
      </c>
      <c r="H9" s="55" t="n"/>
      <c r="I9" s="54" t="n"/>
      <c r="J9" s="54" t="n"/>
    </row>
    <row r="10">
      <c r="A10" s="53">
        <f>IF(NOT((COUNTA($B10)+COUNTA($D10:$F10)+COUNTA($H10:$J10))&gt;0),"",COUNTIF($G$5:$G10,"?*"))</f>
        <v/>
      </c>
      <c r="B10" s="62" t="n"/>
      <c r="C10" s="55">
        <f>IF(OR(InicioCiclo="",$B10=""),"",InicioCiclo+7*VALUE(RIGHT($B10,1))-3)</f>
        <v/>
      </c>
      <c r="D10" s="54" t="n"/>
      <c r="E10" s="54" t="n"/>
      <c r="F10" s="54" t="n"/>
      <c r="G10" s="53">
        <f>IF(NOT((COUNTA($B10)+COUNTA($D10:$F10)+COUNTA($H10:$J10))&gt;0),"",IF(ISNUMBER($H10),"Completado",IF(AND(ISNUMBER($C10),$C10&lt;FechaRef),"Vencido",IF(IFERROR(VALUE(RIGHT($B10,1)),5)&lt;=SemanaActual,"En curso","Pendiente"))))</f>
        <v/>
      </c>
      <c r="H10" s="55" t="n"/>
      <c r="I10" s="54" t="n"/>
      <c r="J10" s="54" t="n"/>
    </row>
    <row r="11">
      <c r="A11" s="53">
        <f>IF(NOT((COUNTA($B11)+COUNTA($D11:$F11)+COUNTA($H11:$J11))&gt;0),"",COUNTIF($G$5:$G11,"?*"))</f>
        <v/>
      </c>
      <c r="B11" s="62" t="n"/>
      <c r="C11" s="55">
        <f>IF(OR(InicioCiclo="",$B11=""),"",InicioCiclo+7*VALUE(RIGHT($B11,1))-3)</f>
        <v/>
      </c>
      <c r="D11" s="54" t="n"/>
      <c r="E11" s="54" t="n"/>
      <c r="F11" s="54" t="n"/>
      <c r="G11" s="53">
        <f>IF(NOT((COUNTA($B11)+COUNTA($D11:$F11)+COUNTA($H11:$J11))&gt;0),"",IF(ISNUMBER($H11),"Completado",IF(AND(ISNUMBER($C11),$C11&lt;FechaRef),"Vencido",IF(IFERROR(VALUE(RIGHT($B11,1)),5)&lt;=SemanaActual,"En curso","Pendiente"))))</f>
        <v/>
      </c>
      <c r="H11" s="55" t="n"/>
      <c r="I11" s="54" t="n"/>
      <c r="J11" s="54" t="n"/>
    </row>
    <row r="12">
      <c r="A12" s="53">
        <f>IF(NOT((COUNTA($B12)+COUNTA($D12:$F12)+COUNTA($H12:$J12))&gt;0),"",COUNTIF($G$5:$G12,"?*"))</f>
        <v/>
      </c>
      <c r="B12" s="62" t="n"/>
      <c r="C12" s="55">
        <f>IF(OR(InicioCiclo="",$B12=""),"",InicioCiclo+7*VALUE(RIGHT($B12,1))-3)</f>
        <v/>
      </c>
      <c r="D12" s="54" t="n"/>
      <c r="E12" s="54" t="n"/>
      <c r="F12" s="54" t="n"/>
      <c r="G12" s="53">
        <f>IF(NOT((COUNTA($B12)+COUNTA($D12:$F12)+COUNTA($H12:$J12))&gt;0),"",IF(ISNUMBER($H12),"Completado",IF(AND(ISNUMBER($C12),$C12&lt;FechaRef),"Vencido",IF(IFERROR(VALUE(RIGHT($B12,1)),5)&lt;=SemanaActual,"En curso","Pendiente"))))</f>
        <v/>
      </c>
      <c r="H12" s="55" t="n"/>
      <c r="I12" s="54" t="n"/>
      <c r="J12" s="54" t="n"/>
    </row>
    <row r="13">
      <c r="A13" s="53">
        <f>IF(NOT((COUNTA($B13)+COUNTA($D13:$F13)+COUNTA($H13:$J13))&gt;0),"",COUNTIF($G$5:$G13,"?*"))</f>
        <v/>
      </c>
      <c r="B13" s="62" t="n"/>
      <c r="C13" s="55">
        <f>IF(OR(InicioCiclo="",$B13=""),"",InicioCiclo+7*VALUE(RIGHT($B13,1))-3)</f>
        <v/>
      </c>
      <c r="D13" s="54" t="n"/>
      <c r="E13" s="54" t="n"/>
      <c r="F13" s="54" t="n"/>
      <c r="G13" s="53">
        <f>IF(NOT((COUNTA($B13)+COUNTA($D13:$F13)+COUNTA($H13:$J13))&gt;0),"",IF(ISNUMBER($H13),"Completado",IF(AND(ISNUMBER($C13),$C13&lt;FechaRef),"Vencido",IF(IFERROR(VALUE(RIGHT($B13,1)),5)&lt;=SemanaActual,"En curso","Pendiente"))))</f>
        <v/>
      </c>
      <c r="H13" s="55" t="n"/>
      <c r="I13" s="54" t="n"/>
      <c r="J13" s="54" t="n"/>
    </row>
    <row r="14">
      <c r="A14" s="53">
        <f>IF(NOT((COUNTA($B14)+COUNTA($D14:$F14)+COUNTA($H14:$J14))&gt;0),"",COUNTIF($G$5:$G14,"?*"))</f>
        <v/>
      </c>
      <c r="B14" s="62" t="n"/>
      <c r="C14" s="55">
        <f>IF(OR(InicioCiclo="",$B14=""),"",InicioCiclo+7*VALUE(RIGHT($B14,1))-3)</f>
        <v/>
      </c>
      <c r="D14" s="54" t="n"/>
      <c r="E14" s="54" t="n"/>
      <c r="F14" s="54" t="n"/>
      <c r="G14" s="53">
        <f>IF(NOT((COUNTA($B14)+COUNTA($D14:$F14)+COUNTA($H14:$J14))&gt;0),"",IF(ISNUMBER($H14),"Completado",IF(AND(ISNUMBER($C14),$C14&lt;FechaRef),"Vencido",IF(IFERROR(VALUE(RIGHT($B14,1)),5)&lt;=SemanaActual,"En curso","Pendiente"))))</f>
        <v/>
      </c>
      <c r="H14" s="55" t="n"/>
      <c r="I14" s="54" t="n"/>
      <c r="J14" s="54" t="n"/>
    </row>
    <row r="15">
      <c r="A15" s="53">
        <f>IF(NOT((COUNTA($B15)+COUNTA($D15:$F15)+COUNTA($H15:$J15))&gt;0),"",COUNTIF($G$5:$G15,"?*"))</f>
        <v/>
      </c>
      <c r="B15" s="62" t="n"/>
      <c r="C15" s="55">
        <f>IF(OR(InicioCiclo="",$B15=""),"",InicioCiclo+7*VALUE(RIGHT($B15,1))-3)</f>
        <v/>
      </c>
      <c r="D15" s="54" t="n"/>
      <c r="E15" s="54" t="n"/>
      <c r="F15" s="54" t="n"/>
      <c r="G15" s="53">
        <f>IF(NOT((COUNTA($B15)+COUNTA($D15:$F15)+COUNTA($H15:$J15))&gt;0),"",IF(ISNUMBER($H15),"Completado",IF(AND(ISNUMBER($C15),$C15&lt;FechaRef),"Vencido",IF(IFERROR(VALUE(RIGHT($B15,1)),5)&lt;=SemanaActual,"En curso","Pendiente"))))</f>
        <v/>
      </c>
      <c r="H15" s="55" t="n"/>
      <c r="I15" s="54" t="n"/>
      <c r="J15" s="54" t="n"/>
    </row>
    <row r="16">
      <c r="A16" s="53">
        <f>IF(NOT((COUNTA($B16)+COUNTA($D16:$F16)+COUNTA($H16:$J16))&gt;0),"",COUNTIF($G$5:$G16,"?*"))</f>
        <v/>
      </c>
      <c r="B16" s="62" t="n"/>
      <c r="C16" s="55">
        <f>IF(OR(InicioCiclo="",$B16=""),"",InicioCiclo+7*VALUE(RIGHT($B16,1))-3)</f>
        <v/>
      </c>
      <c r="D16" s="54" t="n"/>
      <c r="E16" s="54" t="n"/>
      <c r="F16" s="54" t="n"/>
      <c r="G16" s="53">
        <f>IF(NOT((COUNTA($B16)+COUNTA($D16:$F16)+COUNTA($H16:$J16))&gt;0),"",IF(ISNUMBER($H16),"Completado",IF(AND(ISNUMBER($C16),$C16&lt;FechaRef),"Vencido",IF(IFERROR(VALUE(RIGHT($B16,1)),5)&lt;=SemanaActual,"En curso","Pendiente"))))</f>
        <v/>
      </c>
      <c r="H16" s="55" t="n"/>
      <c r="I16" s="54" t="n"/>
      <c r="J16" s="54" t="n"/>
    </row>
    <row r="17">
      <c r="A17" s="53">
        <f>IF(NOT((COUNTA($B17)+COUNTA($D17:$F17)+COUNTA($H17:$J17))&gt;0),"",COUNTIF($G$5:$G17,"?*"))</f>
        <v/>
      </c>
      <c r="B17" s="62" t="n"/>
      <c r="C17" s="55">
        <f>IF(OR(InicioCiclo="",$B17=""),"",InicioCiclo+7*VALUE(RIGHT($B17,1))-3)</f>
        <v/>
      </c>
      <c r="D17" s="54" t="n"/>
      <c r="E17" s="54" t="n"/>
      <c r="F17" s="54" t="n"/>
      <c r="G17" s="53">
        <f>IF(NOT((COUNTA($B17)+COUNTA($D17:$F17)+COUNTA($H17:$J17))&gt;0),"",IF(ISNUMBER($H17),"Completado",IF(AND(ISNUMBER($C17),$C17&lt;FechaRef),"Vencido",IF(IFERROR(VALUE(RIGHT($B17,1)),5)&lt;=SemanaActual,"En curso","Pendiente"))))</f>
        <v/>
      </c>
      <c r="H17" s="55" t="n"/>
      <c r="I17" s="54" t="n"/>
      <c r="J17" s="54" t="n"/>
    </row>
    <row r="18">
      <c r="A18" s="53">
        <f>IF(NOT((COUNTA($B18)+COUNTA($D18:$F18)+COUNTA($H18:$J18))&gt;0),"",COUNTIF($G$5:$G18,"?*"))</f>
        <v/>
      </c>
      <c r="B18" s="62" t="n"/>
      <c r="C18" s="55">
        <f>IF(OR(InicioCiclo="",$B18=""),"",InicioCiclo+7*VALUE(RIGHT($B18,1))-3)</f>
        <v/>
      </c>
      <c r="D18" s="54" t="n"/>
      <c r="E18" s="54" t="n"/>
      <c r="F18" s="54" t="n"/>
      <c r="G18" s="53">
        <f>IF(NOT((COUNTA($B18)+COUNTA($D18:$F18)+COUNTA($H18:$J18))&gt;0),"",IF(ISNUMBER($H18),"Completado",IF(AND(ISNUMBER($C18),$C18&lt;FechaRef),"Vencido",IF(IFERROR(VALUE(RIGHT($B18,1)),5)&lt;=SemanaActual,"En curso","Pendiente"))))</f>
        <v/>
      </c>
      <c r="H18" s="55" t="n"/>
      <c r="I18" s="54" t="n"/>
      <c r="J18" s="54" t="n"/>
    </row>
    <row r="19">
      <c r="A19" s="53">
        <f>IF(NOT((COUNTA($B19)+COUNTA($D19:$F19)+COUNTA($H19:$J19))&gt;0),"",COUNTIF($G$5:$G19,"?*"))</f>
        <v/>
      </c>
      <c r="B19" s="62" t="n"/>
      <c r="C19" s="55">
        <f>IF(OR(InicioCiclo="",$B19=""),"",InicioCiclo+7*VALUE(RIGHT($B19,1))-3)</f>
        <v/>
      </c>
      <c r="D19" s="54" t="n"/>
      <c r="E19" s="54" t="n"/>
      <c r="F19" s="54" t="n"/>
      <c r="G19" s="53">
        <f>IF(NOT((COUNTA($B19)+COUNTA($D19:$F19)+COUNTA($H19:$J19))&gt;0),"",IF(ISNUMBER($H19),"Completado",IF(AND(ISNUMBER($C19),$C19&lt;FechaRef),"Vencido",IF(IFERROR(VALUE(RIGHT($B19,1)),5)&lt;=SemanaActual,"En curso","Pendiente"))))</f>
        <v/>
      </c>
      <c r="H19" s="55" t="n"/>
      <c r="I19" s="54" t="n"/>
      <c r="J19" s="54" t="n"/>
    </row>
    <row r="20">
      <c r="A20" s="53">
        <f>IF(NOT((COUNTA($B20)+COUNTA($D20:$F20)+COUNTA($H20:$J20))&gt;0),"",COUNTIF($G$5:$G20,"?*"))</f>
        <v/>
      </c>
      <c r="B20" s="62" t="n"/>
      <c r="C20" s="55">
        <f>IF(OR(InicioCiclo="",$B20=""),"",InicioCiclo+7*VALUE(RIGHT($B20,1))-3)</f>
        <v/>
      </c>
      <c r="D20" s="54" t="n"/>
      <c r="E20" s="54" t="n"/>
      <c r="F20" s="54" t="n"/>
      <c r="G20" s="53">
        <f>IF(NOT((COUNTA($B20)+COUNTA($D20:$F20)+COUNTA($H20:$J20))&gt;0),"",IF(ISNUMBER($H20),"Completado",IF(AND(ISNUMBER($C20),$C20&lt;FechaRef),"Vencido",IF(IFERROR(VALUE(RIGHT($B20,1)),5)&lt;=SemanaActual,"En curso","Pendiente"))))</f>
        <v/>
      </c>
      <c r="H20" s="55" t="n"/>
      <c r="I20" s="54" t="n"/>
      <c r="J20" s="54" t="n"/>
    </row>
    <row r="21">
      <c r="A21" s="53">
        <f>IF(NOT((COUNTA($B21)+COUNTA($D21:$F21)+COUNTA($H21:$J21))&gt;0),"",COUNTIF($G$5:$G21,"?*"))</f>
        <v/>
      </c>
      <c r="B21" s="62" t="n"/>
      <c r="C21" s="55">
        <f>IF(OR(InicioCiclo="",$B21=""),"",InicioCiclo+7*VALUE(RIGHT($B21,1))-3)</f>
        <v/>
      </c>
      <c r="D21" s="54" t="n"/>
      <c r="E21" s="54" t="n"/>
      <c r="F21" s="54" t="n"/>
      <c r="G21" s="53">
        <f>IF(NOT((COUNTA($B21)+COUNTA($D21:$F21)+COUNTA($H21:$J21))&gt;0),"",IF(ISNUMBER($H21),"Completado",IF(AND(ISNUMBER($C21),$C21&lt;FechaRef),"Vencido",IF(IFERROR(VALUE(RIGHT($B21,1)),5)&lt;=SemanaActual,"En curso","Pendiente"))))</f>
        <v/>
      </c>
      <c r="H21" s="55" t="n"/>
      <c r="I21" s="54" t="n"/>
      <c r="J21" s="54" t="n"/>
    </row>
    <row r="22">
      <c r="A22" s="53">
        <f>IF(NOT((COUNTA($B22)+COUNTA($D22:$F22)+COUNTA($H22:$J22))&gt;0),"",COUNTIF($G$5:$G22,"?*"))</f>
        <v/>
      </c>
      <c r="B22" s="62" t="n"/>
      <c r="C22" s="55">
        <f>IF(OR(InicioCiclo="",$B22=""),"",InicioCiclo+7*VALUE(RIGHT($B22,1))-3)</f>
        <v/>
      </c>
      <c r="D22" s="54" t="n"/>
      <c r="E22" s="54" t="n"/>
      <c r="F22" s="54" t="n"/>
      <c r="G22" s="53">
        <f>IF(NOT((COUNTA($B22)+COUNTA($D22:$F22)+COUNTA($H22:$J22))&gt;0),"",IF(ISNUMBER($H22),"Completado",IF(AND(ISNUMBER($C22),$C22&lt;FechaRef),"Vencido",IF(IFERROR(VALUE(RIGHT($B22,1)),5)&lt;=SemanaActual,"En curso","Pendiente"))))</f>
        <v/>
      </c>
      <c r="H22" s="55" t="n"/>
      <c r="I22" s="54" t="n"/>
      <c r="J22" s="54" t="n"/>
    </row>
    <row r="23">
      <c r="A23" s="53">
        <f>IF(NOT((COUNTA($B23)+COUNTA($D23:$F23)+COUNTA($H23:$J23))&gt;0),"",COUNTIF($G$5:$G23,"?*"))</f>
        <v/>
      </c>
      <c r="B23" s="62" t="n"/>
      <c r="C23" s="55">
        <f>IF(OR(InicioCiclo="",$B23=""),"",InicioCiclo+7*VALUE(RIGHT($B23,1))-3)</f>
        <v/>
      </c>
      <c r="D23" s="54" t="n"/>
      <c r="E23" s="54" t="n"/>
      <c r="F23" s="54" t="n"/>
      <c r="G23" s="53">
        <f>IF(NOT((COUNTA($B23)+COUNTA($D23:$F23)+COUNTA($H23:$J23))&gt;0),"",IF(ISNUMBER($H23),"Completado",IF(AND(ISNUMBER($C23),$C23&lt;FechaRef),"Vencido",IF(IFERROR(VALUE(RIGHT($B23,1)),5)&lt;=SemanaActual,"En curso","Pendiente"))))</f>
        <v/>
      </c>
      <c r="H23" s="55" t="n"/>
      <c r="I23" s="54" t="n"/>
      <c r="J23" s="54" t="n"/>
    </row>
    <row r="24">
      <c r="A24" s="53">
        <f>IF(NOT((COUNTA($B24)+COUNTA($D24:$F24)+COUNTA($H24:$J24))&gt;0),"",COUNTIF($G$5:$G24,"?*"))</f>
        <v/>
      </c>
      <c r="B24" s="62" t="n"/>
      <c r="C24" s="55">
        <f>IF(OR(InicioCiclo="",$B24=""),"",InicioCiclo+7*VALUE(RIGHT($B24,1))-3)</f>
        <v/>
      </c>
      <c r="D24" s="54" t="n"/>
      <c r="E24" s="54" t="n"/>
      <c r="F24" s="54" t="n"/>
      <c r="G24" s="53">
        <f>IF(NOT((COUNTA($B24)+COUNTA($D24:$F24)+COUNTA($H24:$J24))&gt;0),"",IF(ISNUMBER($H24),"Completado",IF(AND(ISNUMBER($C24),$C24&lt;FechaRef),"Vencido",IF(IFERROR(VALUE(RIGHT($B24,1)),5)&lt;=SemanaActual,"En curso","Pendiente"))))</f>
        <v/>
      </c>
      <c r="H24" s="55" t="n"/>
      <c r="I24" s="54" t="n"/>
      <c r="J24" s="54" t="n"/>
    </row>
  </sheetData>
  <sheetProtection selectLockedCells="0" selectUnlockedCells="0" sheet="1" objects="0" insertRows="1" insertHyperlinks="1" autoFilter="0" scenarios="0" formatColumns="0" deleteColumns="1" insertColumns="1" pivotTables="1" deleteRows="1" formatCells="1" formatRows="0" sort="0"/>
  <mergeCells count="2">
    <mergeCell ref="A1:J1"/>
    <mergeCell ref="A2:J2"/>
  </mergeCells>
  <conditionalFormatting sqref="G5:G500">
    <cfRule type="expression" priority="1" dxfId="0">
      <formula>$G5="Completado"</formula>
    </cfRule>
    <cfRule type="expression" priority="2" dxfId="6">
      <formula>$G5="Vencido"</formula>
    </cfRule>
    <cfRule type="expression" priority="3" dxfId="4">
      <formula>$G5="En curso"</formula>
    </cfRule>
    <cfRule type="expression" priority="4" dxfId="5">
      <formula>$G5="Pendiente"</formula>
    </cfRule>
  </conditionalFormatting>
  <conditionalFormatting sqref="C5:C500">
    <cfRule type="expression" priority="5" dxfId="6" stopIfTrue="1">
      <formula>$G5="Vencido"</formula>
    </cfRule>
    <cfRule type="expression" priority="6" dxfId="7">
      <formula>AND(ISNUMBER($C5),$C5&gt;=FechaRef,$C5-FechaRef&lt;=DiasAlerta,$G5&lt;&gt;"Completado")</formula>
    </cfRule>
  </conditionalFormatting>
  <conditionalFormatting sqref="H5:H500">
    <cfRule type="expression" priority="7" dxfId="7">
      <formula>AND(ISNUMBER($H5),ISNUMBER($C5),$H5&gt;$C5)</formula>
    </cfRule>
  </conditionalFormatting>
  <conditionalFormatting sqref="J5:J500">
    <cfRule type="expression" priority="8" dxfId="5">
      <formula>AND(ObsObligatoria="Sí",$G5="Vencido",$J5="")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1" showErrorMessage="1" allowBlank="1" error="Ingrese una fecha válida (dd/mm/aaaa)." promptTitle="Fecha real" prompt="Escriba la fecha en que se cumplió. El estado cambiará a Completado." type="date" operator="greaterThan">
      <formula1>36526</formula1>
    </dataValidation>
    <dataValidation sqref="C5:C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C55A11"/>
    <outlinePr summaryBelow="1" summaryRight="1"/>
    <pageSetUpPr fitToPage="1"/>
  </sheetPr>
  <dimension ref="A1:N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2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2" customWidth="1" min="11" max="11"/>
    <col width="13" customWidth="1" min="12" max="12"/>
    <col width="42" customWidth="1" min="13" max="13"/>
    <col width="52" customWidth="1" min="14" max="14"/>
  </cols>
  <sheetData>
    <row r="1" ht="28" customHeight="1">
      <c r="A1" s="67" t="inlineStr">
        <is>
          <t>Cronograma – Asistente Técnico de Riesgo</t>
        </is>
      </c>
      <c r="B1" s="67" t="n"/>
      <c r="C1" s="67" t="n"/>
      <c r="D1" s="67" t="n"/>
      <c r="E1" s="67" t="n"/>
      <c r="F1" s="67" t="n"/>
      <c r="G1" s="67" t="n"/>
      <c r="H1" s="67" t="n"/>
      <c r="I1" s="67" t="n"/>
      <c r="J1" s="67" t="n"/>
      <c r="K1" s="67" t="n"/>
      <c r="L1" s="67" t="n"/>
      <c r="M1" s="67" t="n"/>
      <c r="N1" s="67" t="n"/>
    </row>
    <row r="2" ht="30" customHeight="1">
      <c r="A2" s="46" t="inlineStr">
        <is>
          <t>Llene solo las celdas AMARILLAS; las GRISES se calculan solas (el N° se numera solo). En cada semana escriba el % TOTAL logrado hasta esa semana (ej. 20%, 45%, 75%, 100%). Los pesos de esta hoja deben sumar 100%. Si una actividad no se cumple, explique el motivo en Observaciones.</t>
        </is>
      </c>
      <c r="B2" s="46" t="n"/>
      <c r="C2" s="46" t="n"/>
      <c r="D2" s="46" t="n"/>
      <c r="E2" s="46" t="n"/>
      <c r="F2" s="46" t="n"/>
      <c r="G2" s="46" t="n"/>
      <c r="H2" s="46" t="n"/>
      <c r="I2" s="46" t="n"/>
      <c r="J2" s="46" t="n"/>
      <c r="K2" s="46" t="n"/>
      <c r="L2" s="46" t="n"/>
      <c r="M2" s="46" t="n"/>
      <c r="N2" s="46" t="n"/>
    </row>
    <row r="3">
      <c r="A3" s="47" t="inlineStr">
        <is>
          <t>Entrada</t>
        </is>
      </c>
      <c r="B3" s="48" t="inlineStr">
        <is>
          <t>Gris = automático</t>
        </is>
      </c>
      <c r="C3" s="49" t="inlineStr">
        <is>
          <t>Suma de pesos:</t>
        </is>
      </c>
      <c r="D3" s="50">
        <f>SUM(F5:F1000)</f>
        <v/>
      </c>
      <c r="E3" s="51">
        <f>IF(COUNTIF(N5:N1000,"?*")=0,"",IF(ABS(D3-1)&lt;=0.0001,"✔ 100%","⚠ Debe sumar 100%"))</f>
        <v/>
      </c>
      <c r="F3" s="51" t="n"/>
    </row>
    <row r="4" ht="42" customHeight="1">
      <c r="A4" s="52" t="inlineStr">
        <is>
          <t>N°</t>
        </is>
      </c>
      <c r="B4" s="68" t="inlineStr">
        <is>
          <t>Macro Actividad</t>
        </is>
      </c>
      <c r="C4" s="68" t="inlineStr">
        <is>
          <t>Responsable</t>
        </is>
      </c>
      <c r="D4" s="68" t="inlineStr">
        <is>
          <t>Fecha de inicio</t>
        </is>
      </c>
      <c r="E4" s="68" t="inlineStr">
        <is>
          <t>Fecha límite</t>
        </is>
      </c>
      <c r="F4" s="68" t="inlineStr">
        <is>
          <t>Peso de actividad (%)</t>
        </is>
      </c>
      <c r="G4" s="68" t="inlineStr">
        <is>
          <t>Avance Semana 1 (%)</t>
        </is>
      </c>
      <c r="H4" s="68" t="inlineStr">
        <is>
          <t>Avance Semana 2 (%)</t>
        </is>
      </c>
      <c r="I4" s="68" t="inlineStr">
        <is>
          <t>Avance Semana 3 (%)</t>
        </is>
      </c>
      <c r="J4" s="68" t="inlineStr">
        <is>
          <t>Avance Semana 4 (%)</t>
        </is>
      </c>
      <c r="K4" s="52" t="inlineStr">
        <is>
          <t>% de Avance Total Actual</t>
        </is>
      </c>
      <c r="L4" s="52" t="inlineStr">
        <is>
          <t>Estado</t>
        </is>
      </c>
      <c r="M4" s="68" t="inlineStr">
        <is>
          <t>Observaciones</t>
        </is>
      </c>
      <c r="N4" s="52" t="inlineStr">
        <is>
          <t>Revisión automática (alertas)</t>
        </is>
      </c>
    </row>
    <row r="5">
      <c r="A5" s="53">
        <f>IF(NOT((COUNTA($B5:$J5)+COUNTA($M5))&gt;0),"",COUNTIF($L$5:$L5,"?*"))</f>
        <v/>
      </c>
      <c r="B5" s="54" t="n"/>
      <c r="C5" s="54" t="n"/>
      <c r="D5" s="55" t="n"/>
      <c r="E5" s="55" t="n"/>
      <c r="F5" s="56" t="n"/>
      <c r="G5" s="57" t="n"/>
      <c r="H5" s="57" t="n"/>
      <c r="I5" s="57" t="n"/>
      <c r="J5" s="57" t="n"/>
      <c r="K5" s="58">
        <f>IF(NOT((COUNTA($B5:$J5)+COUNTA($M5))&gt;0),"",IFERROR(LOOKUP(2,1/(G5:J5&lt;&gt;""),G5:J5),0))</f>
        <v/>
      </c>
      <c r="L5" s="53">
        <f>IF(K5="","",IF(K5&gt;=1,"Completado",IF(K5&gt;0,"En curso","Pendiente")))</f>
        <v/>
      </c>
      <c r="M5" s="54" t="n"/>
      <c r="N5" s="59">
        <f>IF(NOT((COUNTA($B5:$J5)+COUNTA($M5))&gt;0),"",IF((IF(B5="","Macroactividad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 OK","⚠ "&amp;LEFT(IF(B5="","Macroactividad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",""),LEN(IF(B5="","Macroactividad vacía"&amp;" · ","")&amp;IF(C5="","Sin responsable"&amp;" · ","")&amp;IF(D5="","Sin fecha de inicio"&amp;" · ","")&amp;IF(E5="","Sin fecha límite"&amp;" · ","")&amp;IF(OR(AND(D5&lt;&gt;"",NOT(ISNUMBER(D5))),AND(E5&lt;&gt;"",NOT(ISNUMBER(E5)))),"Fecha no válida"&amp;" · ","")&amp;IF(AND(ISNUMBER(D5),ISNUMBER(E5),D5&gt;E5),"Inicio posterior a fecha límite"&amp;" · ","")&amp;IF(F5="","Peso vacío"&amp;" · ","")&amp;IF(AND(F5&lt;&gt;"",OR(NOT(ISNUMBER(F5)),F5&lt;=0,F5&gt;1)),"Peso fuera de rango"&amp;" · ","")&amp;IF(ABS(SUM($F$5:$F$1000)-1)&gt;0.0001,"Pesos del puesto suman "&amp;TEXT(SUM($F$5:$F$1000),"0%")&amp;" · ","")&amp;IF((COUNTIF(G5:J5,"&gt;1")+COUNTIF(G5:J5,"&lt;0")+COUNTA(G5:J5)-COUNT(G5:J5))&gt;0,"Avance fuera de rango 0-100%"&amp;" · ","")&amp;IF(OR(AND(H5&lt;&gt;"",H5&lt;G5),AND(I5&lt;&gt;"",I5&lt;MAX(G5:H5)),AND(J5&lt;&gt;"",J5&lt;MAX(G5:I5))),"Avance semanal decreciente"&amp;" · ","")&amp;IF(AND(ISNUMBER(E5),E5&lt;FechaRef,N(K5)&lt;1),"Vencida"&amp;" · ","")&amp;IF(AND(ObsObligatoria="Sí",ISNUMBER(E5),E5&lt;FechaRef,N(K5)&lt;1,M5=""),"Vencida sin observación"&amp;" · ",""))-3)))</f>
        <v/>
      </c>
    </row>
    <row r="6">
      <c r="A6" s="53">
        <f>IF(NOT((COUNTA($B6:$J6)+COUNTA($M6))&gt;0),"",COUNTIF($L$5:$L6,"?*"))</f>
        <v/>
      </c>
      <c r="B6" s="54" t="n"/>
      <c r="C6" s="54" t="n"/>
      <c r="D6" s="55" t="n"/>
      <c r="E6" s="55" t="n"/>
      <c r="F6" s="56" t="n"/>
      <c r="G6" s="57" t="n"/>
      <c r="H6" s="57" t="n"/>
      <c r="I6" s="57" t="n"/>
      <c r="J6" s="57" t="n"/>
      <c r="K6" s="58">
        <f>IF(NOT((COUNTA($B6:$J6)+COUNTA($M6))&gt;0),"",IFERROR(LOOKUP(2,1/(G6:J6&lt;&gt;""),G6:J6),0))</f>
        <v/>
      </c>
      <c r="L6" s="53">
        <f>IF(K6="","",IF(K6&gt;=1,"Completado",IF(K6&gt;0,"En curso","Pendiente")))</f>
        <v/>
      </c>
      <c r="M6" s="54" t="n"/>
      <c r="N6" s="59">
        <f>IF(NOT((COUNTA($B6:$J6)+COUNTA($M6))&gt;0),"",IF((IF(B6="","Macroactividad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 OK","⚠ "&amp;LEFT(IF(B6="","Macroactividad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",""),LEN(IF(B6="","Macroactividad vacía"&amp;" · ","")&amp;IF(C6="","Sin responsable"&amp;" · ","")&amp;IF(D6="","Sin fecha de inicio"&amp;" · ","")&amp;IF(E6="","Sin fecha límite"&amp;" · ","")&amp;IF(OR(AND(D6&lt;&gt;"",NOT(ISNUMBER(D6))),AND(E6&lt;&gt;"",NOT(ISNUMBER(E6)))),"Fecha no válida"&amp;" · ","")&amp;IF(AND(ISNUMBER(D6),ISNUMBER(E6),D6&gt;E6),"Inicio posterior a fecha límite"&amp;" · ","")&amp;IF(F6="","Peso vacío"&amp;" · ","")&amp;IF(AND(F6&lt;&gt;"",OR(NOT(ISNUMBER(F6)),F6&lt;=0,F6&gt;1)),"Peso fuera de rango"&amp;" · ","")&amp;IF(ABS(SUM($F$5:$F$1000)-1)&gt;0.0001,"Pesos del puesto suman "&amp;TEXT(SUM($F$5:$F$1000),"0%")&amp;" · ","")&amp;IF((COUNTIF(G6:J6,"&gt;1")+COUNTIF(G6:J6,"&lt;0")+COUNTA(G6:J6)-COUNT(G6:J6))&gt;0,"Avance fuera de rango 0-100%"&amp;" · ","")&amp;IF(OR(AND(H6&lt;&gt;"",H6&lt;G6),AND(I6&lt;&gt;"",I6&lt;MAX(G6:H6)),AND(J6&lt;&gt;"",J6&lt;MAX(G6:I6))),"Avance semanal decreciente"&amp;" · ","")&amp;IF(AND(ISNUMBER(E6),E6&lt;FechaRef,N(K6)&lt;1),"Vencida"&amp;" · ","")&amp;IF(AND(ObsObligatoria="Sí",ISNUMBER(E6),E6&lt;FechaRef,N(K6)&lt;1,M6=""),"Vencida sin observación"&amp;" · ",""))-3)))</f>
        <v/>
      </c>
    </row>
    <row r="7">
      <c r="A7" s="53">
        <f>IF(NOT((COUNTA($B7:$J7)+COUNTA($M7))&gt;0),"",COUNTIF($L$5:$L7,"?*"))</f>
        <v/>
      </c>
      <c r="B7" s="54" t="n"/>
      <c r="C7" s="54" t="n"/>
      <c r="D7" s="55" t="n"/>
      <c r="E7" s="55" t="n"/>
      <c r="F7" s="56" t="n"/>
      <c r="G7" s="57" t="n"/>
      <c r="H7" s="57" t="n"/>
      <c r="I7" s="57" t="n"/>
      <c r="J7" s="57" t="n"/>
      <c r="K7" s="58">
        <f>IF(NOT((COUNTA($B7:$J7)+COUNTA($M7))&gt;0),"",IFERROR(LOOKUP(2,1/(G7:J7&lt;&gt;""),G7:J7),0))</f>
        <v/>
      </c>
      <c r="L7" s="53">
        <f>IF(K7="","",IF(K7&gt;=1,"Completado",IF(K7&gt;0,"En curso","Pendiente")))</f>
        <v/>
      </c>
      <c r="M7" s="54" t="n"/>
      <c r="N7" s="59">
        <f>IF(NOT((COUNTA($B7:$J7)+COUNTA($M7))&gt;0),"",IF((IF(B7="","Macroactividad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 OK","⚠ "&amp;LEFT(IF(B7="","Macroactividad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",""),LEN(IF(B7="","Macroactividad vacía"&amp;" · ","")&amp;IF(C7="","Sin responsable"&amp;" · ","")&amp;IF(D7="","Sin fecha de inicio"&amp;" · ","")&amp;IF(E7="","Sin fecha límite"&amp;" · ","")&amp;IF(OR(AND(D7&lt;&gt;"",NOT(ISNUMBER(D7))),AND(E7&lt;&gt;"",NOT(ISNUMBER(E7)))),"Fecha no válida"&amp;" · ","")&amp;IF(AND(ISNUMBER(D7),ISNUMBER(E7),D7&gt;E7),"Inicio posterior a fecha límite"&amp;" · ","")&amp;IF(F7="","Peso vacío"&amp;" · ","")&amp;IF(AND(F7&lt;&gt;"",OR(NOT(ISNUMBER(F7)),F7&lt;=0,F7&gt;1)),"Peso fuera de rango"&amp;" · ","")&amp;IF(ABS(SUM($F$5:$F$1000)-1)&gt;0.0001,"Pesos del puesto suman "&amp;TEXT(SUM($F$5:$F$1000),"0%")&amp;" · ","")&amp;IF((COUNTIF(G7:J7,"&gt;1")+COUNTIF(G7:J7,"&lt;0")+COUNTA(G7:J7)-COUNT(G7:J7))&gt;0,"Avance fuera de rango 0-100%"&amp;" · ","")&amp;IF(OR(AND(H7&lt;&gt;"",H7&lt;G7),AND(I7&lt;&gt;"",I7&lt;MAX(G7:H7)),AND(J7&lt;&gt;"",J7&lt;MAX(G7:I7))),"Avance semanal decreciente"&amp;" · ","")&amp;IF(AND(ISNUMBER(E7),E7&lt;FechaRef,N(K7)&lt;1),"Vencida"&amp;" · ","")&amp;IF(AND(ObsObligatoria="Sí",ISNUMBER(E7),E7&lt;FechaRef,N(K7)&lt;1,M7=""),"Vencida sin observación"&amp;" · ",""))-3)))</f>
        <v/>
      </c>
    </row>
    <row r="8">
      <c r="A8" s="53">
        <f>IF(NOT((COUNTA($B8:$J8)+COUNTA($M8))&gt;0),"",COUNTIF($L$5:$L8,"?*"))</f>
        <v/>
      </c>
      <c r="B8" s="54" t="n"/>
      <c r="C8" s="54" t="n"/>
      <c r="D8" s="55" t="n"/>
      <c r="E8" s="55" t="n"/>
      <c r="F8" s="56" t="n"/>
      <c r="G8" s="57" t="n"/>
      <c r="H8" s="57" t="n"/>
      <c r="I8" s="57" t="n"/>
      <c r="J8" s="57" t="n"/>
      <c r="K8" s="58">
        <f>IF(NOT((COUNTA($B8:$J8)+COUNTA($M8))&gt;0),"",IFERROR(LOOKUP(2,1/(G8:J8&lt;&gt;""),G8:J8),0))</f>
        <v/>
      </c>
      <c r="L8" s="53">
        <f>IF(K8="","",IF(K8&gt;=1,"Completado",IF(K8&gt;0,"En curso","Pendiente")))</f>
        <v/>
      </c>
      <c r="M8" s="54" t="n"/>
      <c r="N8" s="59">
        <f>IF(NOT((COUNTA($B8:$J8)+COUNTA($M8))&gt;0),"",IF((IF(B8="","Macroactividad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 OK","⚠ "&amp;LEFT(IF(B8="","Macroactividad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",""),LEN(IF(B8="","Macroactividad vacía"&amp;" · ","")&amp;IF(C8="","Sin responsable"&amp;" · ","")&amp;IF(D8="","Sin fecha de inicio"&amp;" · ","")&amp;IF(E8="","Sin fecha límite"&amp;" · ","")&amp;IF(OR(AND(D8&lt;&gt;"",NOT(ISNUMBER(D8))),AND(E8&lt;&gt;"",NOT(ISNUMBER(E8)))),"Fecha no válida"&amp;" · ","")&amp;IF(AND(ISNUMBER(D8),ISNUMBER(E8),D8&gt;E8),"Inicio posterior a fecha límite"&amp;" · ","")&amp;IF(F8="","Peso vacío"&amp;" · ","")&amp;IF(AND(F8&lt;&gt;"",OR(NOT(ISNUMBER(F8)),F8&lt;=0,F8&gt;1)),"Peso fuera de rango"&amp;" · ","")&amp;IF(ABS(SUM($F$5:$F$1000)-1)&gt;0.0001,"Pesos del puesto suman "&amp;TEXT(SUM($F$5:$F$1000),"0%")&amp;" · ","")&amp;IF((COUNTIF(G8:J8,"&gt;1")+COUNTIF(G8:J8,"&lt;0")+COUNTA(G8:J8)-COUNT(G8:J8))&gt;0,"Avance fuera de rango 0-100%"&amp;" · ","")&amp;IF(OR(AND(H8&lt;&gt;"",H8&lt;G8),AND(I8&lt;&gt;"",I8&lt;MAX(G8:H8)),AND(J8&lt;&gt;"",J8&lt;MAX(G8:I8))),"Avance semanal decreciente"&amp;" · ","")&amp;IF(AND(ISNUMBER(E8),E8&lt;FechaRef,N(K8)&lt;1),"Vencida"&amp;" · ","")&amp;IF(AND(ObsObligatoria="Sí",ISNUMBER(E8),E8&lt;FechaRef,N(K8)&lt;1,M8=""),"Vencida sin observación"&amp;" · ",""))-3)))</f>
        <v/>
      </c>
    </row>
    <row r="9">
      <c r="A9" s="53">
        <f>IF(NOT((COUNTA($B9:$J9)+COUNTA($M9))&gt;0),"",COUNTIF($L$5:$L9,"?*"))</f>
        <v/>
      </c>
      <c r="B9" s="54" t="n"/>
      <c r="C9" s="54" t="n"/>
      <c r="D9" s="55" t="n"/>
      <c r="E9" s="55" t="n"/>
      <c r="F9" s="56" t="n"/>
      <c r="G9" s="57" t="n"/>
      <c r="H9" s="57" t="n"/>
      <c r="I9" s="57" t="n"/>
      <c r="J9" s="57" t="n"/>
      <c r="K9" s="58">
        <f>IF(NOT((COUNTA($B9:$J9)+COUNTA($M9))&gt;0),"",IFERROR(LOOKUP(2,1/(G9:J9&lt;&gt;""),G9:J9),0))</f>
        <v/>
      </c>
      <c r="L9" s="53">
        <f>IF(K9="","",IF(K9&gt;=1,"Completado",IF(K9&gt;0,"En curso","Pendiente")))</f>
        <v/>
      </c>
      <c r="M9" s="54" t="n"/>
      <c r="N9" s="59">
        <f>IF(NOT((COUNTA($B9:$J9)+COUNTA($M9))&gt;0),"",IF((IF(B9="","Macroactividad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 OK","⚠ "&amp;LEFT(IF(B9="","Macroactividad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",""),LEN(IF(B9="","Macroactividad vacía"&amp;" · ","")&amp;IF(C9="","Sin responsable"&amp;" · ","")&amp;IF(D9="","Sin fecha de inicio"&amp;" · ","")&amp;IF(E9="","Sin fecha límite"&amp;" · ","")&amp;IF(OR(AND(D9&lt;&gt;"",NOT(ISNUMBER(D9))),AND(E9&lt;&gt;"",NOT(ISNUMBER(E9)))),"Fecha no válida"&amp;" · ","")&amp;IF(AND(ISNUMBER(D9),ISNUMBER(E9),D9&gt;E9),"Inicio posterior a fecha límite"&amp;" · ","")&amp;IF(F9="","Peso vacío"&amp;" · ","")&amp;IF(AND(F9&lt;&gt;"",OR(NOT(ISNUMBER(F9)),F9&lt;=0,F9&gt;1)),"Peso fuera de rango"&amp;" · ","")&amp;IF(ABS(SUM($F$5:$F$1000)-1)&gt;0.0001,"Pesos del puesto suman "&amp;TEXT(SUM($F$5:$F$1000),"0%")&amp;" · ","")&amp;IF((COUNTIF(G9:J9,"&gt;1")+COUNTIF(G9:J9,"&lt;0")+COUNTA(G9:J9)-COUNT(G9:J9))&gt;0,"Avance fuera de rango 0-100%"&amp;" · ","")&amp;IF(OR(AND(H9&lt;&gt;"",H9&lt;G9),AND(I9&lt;&gt;"",I9&lt;MAX(G9:H9)),AND(J9&lt;&gt;"",J9&lt;MAX(G9:I9))),"Avance semanal decreciente"&amp;" · ","")&amp;IF(AND(ISNUMBER(E9),E9&lt;FechaRef,N(K9)&lt;1),"Vencida"&amp;" · ","")&amp;IF(AND(ObsObligatoria="Sí",ISNUMBER(E9),E9&lt;FechaRef,N(K9)&lt;1,M9=""),"Vencida sin observación"&amp;" · ",""))-3)))</f>
        <v/>
      </c>
    </row>
    <row r="10">
      <c r="A10" s="53">
        <f>IF(NOT((COUNTA($B10:$J10)+COUNTA($M10))&gt;0),"",COUNTIF($L$5:$L10,"?*"))</f>
        <v/>
      </c>
      <c r="B10" s="54" t="n"/>
      <c r="C10" s="54" t="n"/>
      <c r="D10" s="55" t="n"/>
      <c r="E10" s="55" t="n"/>
      <c r="F10" s="56" t="n"/>
      <c r="G10" s="57" t="n"/>
      <c r="H10" s="57" t="n"/>
      <c r="I10" s="57" t="n"/>
      <c r="J10" s="57" t="n"/>
      <c r="K10" s="58">
        <f>IF(NOT((COUNTA($B10:$J10)+COUNTA($M10))&gt;0),"",IFERROR(LOOKUP(2,1/(G10:J10&lt;&gt;""),G10:J10),0))</f>
        <v/>
      </c>
      <c r="L10" s="53">
        <f>IF(K10="","",IF(K10&gt;=1,"Completado",IF(K10&gt;0,"En curso","Pendiente")))</f>
        <v/>
      </c>
      <c r="M10" s="54" t="n"/>
      <c r="N10" s="59">
        <f>IF(NOT((COUNTA($B10:$J10)+COUNTA($M10))&gt;0),"",IF((IF(B10="","Macroactividad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 OK","⚠ "&amp;LEFT(IF(B10="","Macroactividad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",""),LEN(IF(B10="","Macroactividad vacía"&amp;" · ","")&amp;IF(C10="","Sin responsable"&amp;" · ","")&amp;IF(D10="","Sin fecha de inicio"&amp;" · ","")&amp;IF(E10="","Sin fecha límite"&amp;" · ","")&amp;IF(OR(AND(D10&lt;&gt;"",NOT(ISNUMBER(D10))),AND(E10&lt;&gt;"",NOT(ISNUMBER(E10)))),"Fecha no válida"&amp;" · ","")&amp;IF(AND(ISNUMBER(D10),ISNUMBER(E10),D10&gt;E10),"Inicio posterior a fecha límite"&amp;" · ","")&amp;IF(F10="","Peso vacío"&amp;" · ","")&amp;IF(AND(F10&lt;&gt;"",OR(NOT(ISNUMBER(F10)),F10&lt;=0,F10&gt;1)),"Peso fuera de rango"&amp;" · ","")&amp;IF(ABS(SUM($F$5:$F$1000)-1)&gt;0.0001,"Pesos del puesto suman "&amp;TEXT(SUM($F$5:$F$1000),"0%")&amp;" · ","")&amp;IF((COUNTIF(G10:J10,"&gt;1")+COUNTIF(G10:J10,"&lt;0")+COUNTA(G10:J10)-COUNT(G10:J10))&gt;0,"Avance fuera de rango 0-100%"&amp;" · ","")&amp;IF(OR(AND(H10&lt;&gt;"",H10&lt;G10),AND(I10&lt;&gt;"",I10&lt;MAX(G10:H10)),AND(J10&lt;&gt;"",J10&lt;MAX(G10:I10))),"Avance semanal decreciente"&amp;" · ","")&amp;IF(AND(ISNUMBER(E10),E10&lt;FechaRef,N(K10)&lt;1),"Vencida"&amp;" · ","")&amp;IF(AND(ObsObligatoria="Sí",ISNUMBER(E10),E10&lt;FechaRef,N(K10)&lt;1,M10=""),"Vencida sin observación"&amp;" · ",""))-3)))</f>
        <v/>
      </c>
    </row>
    <row r="11">
      <c r="A11" s="53">
        <f>IF(NOT((COUNTA($B11:$J11)+COUNTA($M11))&gt;0),"",COUNTIF($L$5:$L11,"?*"))</f>
        <v/>
      </c>
      <c r="B11" s="54" t="n"/>
      <c r="C11" s="54" t="n"/>
      <c r="D11" s="55" t="n"/>
      <c r="E11" s="55" t="n"/>
      <c r="F11" s="56" t="n"/>
      <c r="G11" s="57" t="n"/>
      <c r="H11" s="57" t="n"/>
      <c r="I11" s="57" t="n"/>
      <c r="J11" s="57" t="n"/>
      <c r="K11" s="58">
        <f>IF(NOT((COUNTA($B11:$J11)+COUNTA($M11))&gt;0),"",IFERROR(LOOKUP(2,1/(G11:J11&lt;&gt;""),G11:J11),0))</f>
        <v/>
      </c>
      <c r="L11" s="53">
        <f>IF(K11="","",IF(K11&gt;=1,"Completado",IF(K11&gt;0,"En curso","Pendiente")))</f>
        <v/>
      </c>
      <c r="M11" s="54" t="n"/>
      <c r="N11" s="59">
        <f>IF(NOT((COUNTA($B11:$J11)+COUNTA($M11))&gt;0),"",IF((IF(B11="","Macroactividad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 OK","⚠ "&amp;LEFT(IF(B11="","Macroactividad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",""),LEN(IF(B11="","Macroactividad vacía"&amp;" · ","")&amp;IF(C11="","Sin responsable"&amp;" · ","")&amp;IF(D11="","Sin fecha de inicio"&amp;" · ","")&amp;IF(E11="","Sin fecha límite"&amp;" · ","")&amp;IF(OR(AND(D11&lt;&gt;"",NOT(ISNUMBER(D11))),AND(E11&lt;&gt;"",NOT(ISNUMBER(E11)))),"Fecha no válida"&amp;" · ","")&amp;IF(AND(ISNUMBER(D11),ISNUMBER(E11),D11&gt;E11),"Inicio posterior a fecha límite"&amp;" · ","")&amp;IF(F11="","Peso vacío"&amp;" · ","")&amp;IF(AND(F11&lt;&gt;"",OR(NOT(ISNUMBER(F11)),F11&lt;=0,F11&gt;1)),"Peso fuera de rango"&amp;" · ","")&amp;IF(ABS(SUM($F$5:$F$1000)-1)&gt;0.0001,"Pesos del puesto suman "&amp;TEXT(SUM($F$5:$F$1000),"0%")&amp;" · ","")&amp;IF((COUNTIF(G11:J11,"&gt;1")+COUNTIF(G11:J11,"&lt;0")+COUNTA(G11:J11)-COUNT(G11:J11))&gt;0,"Avance fuera de rango 0-100%"&amp;" · ","")&amp;IF(OR(AND(H11&lt;&gt;"",H11&lt;G11),AND(I11&lt;&gt;"",I11&lt;MAX(G11:H11)),AND(J11&lt;&gt;"",J11&lt;MAX(G11:I11))),"Avance semanal decreciente"&amp;" · ","")&amp;IF(AND(ISNUMBER(E11),E11&lt;FechaRef,N(K11)&lt;1),"Vencida"&amp;" · ","")&amp;IF(AND(ObsObligatoria="Sí",ISNUMBER(E11),E11&lt;FechaRef,N(K11)&lt;1,M11=""),"Vencida sin observación"&amp;" · ",""))-3)))</f>
        <v/>
      </c>
    </row>
    <row r="12">
      <c r="A12" s="53">
        <f>IF(NOT((COUNTA($B12:$J12)+COUNTA($M12))&gt;0),"",COUNTIF($L$5:$L12,"?*"))</f>
        <v/>
      </c>
      <c r="B12" s="54" t="n"/>
      <c r="C12" s="54" t="n"/>
      <c r="D12" s="55" t="n"/>
      <c r="E12" s="55" t="n"/>
      <c r="F12" s="56" t="n"/>
      <c r="G12" s="57" t="n"/>
      <c r="H12" s="57" t="n"/>
      <c r="I12" s="57" t="n"/>
      <c r="J12" s="57" t="n"/>
      <c r="K12" s="58">
        <f>IF(NOT((COUNTA($B12:$J12)+COUNTA($M12))&gt;0),"",IFERROR(LOOKUP(2,1/(G12:J12&lt;&gt;""),G12:J12),0))</f>
        <v/>
      </c>
      <c r="L12" s="53">
        <f>IF(K12="","",IF(K12&gt;=1,"Completado",IF(K12&gt;0,"En curso","Pendiente")))</f>
        <v/>
      </c>
      <c r="M12" s="54" t="n"/>
      <c r="N12" s="59">
        <f>IF(NOT((COUNTA($B12:$J12)+COUNTA($M12))&gt;0),"",IF((IF(B12="","Macroactividad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 OK","⚠ "&amp;LEFT(IF(B12="","Macroactividad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",""),LEN(IF(B12="","Macroactividad vacía"&amp;" · ","")&amp;IF(C12="","Sin responsable"&amp;" · ","")&amp;IF(D12="","Sin fecha de inicio"&amp;" · ","")&amp;IF(E12="","Sin fecha límite"&amp;" · ","")&amp;IF(OR(AND(D12&lt;&gt;"",NOT(ISNUMBER(D12))),AND(E12&lt;&gt;"",NOT(ISNUMBER(E12)))),"Fecha no válida"&amp;" · ","")&amp;IF(AND(ISNUMBER(D12),ISNUMBER(E12),D12&gt;E12),"Inicio posterior a fecha límite"&amp;" · ","")&amp;IF(F12="","Peso vacío"&amp;" · ","")&amp;IF(AND(F12&lt;&gt;"",OR(NOT(ISNUMBER(F12)),F12&lt;=0,F12&gt;1)),"Peso fuera de rango"&amp;" · ","")&amp;IF(ABS(SUM($F$5:$F$1000)-1)&gt;0.0001,"Pesos del puesto suman "&amp;TEXT(SUM($F$5:$F$1000),"0%")&amp;" · ","")&amp;IF((COUNTIF(G12:J12,"&gt;1")+COUNTIF(G12:J12,"&lt;0")+COUNTA(G12:J12)-COUNT(G12:J12))&gt;0,"Avance fuera de rango 0-100%"&amp;" · ","")&amp;IF(OR(AND(H12&lt;&gt;"",H12&lt;G12),AND(I12&lt;&gt;"",I12&lt;MAX(G12:H12)),AND(J12&lt;&gt;"",J12&lt;MAX(G12:I12))),"Avance semanal decreciente"&amp;" · ","")&amp;IF(AND(ISNUMBER(E12),E12&lt;FechaRef,N(K12)&lt;1),"Vencida"&amp;" · ","")&amp;IF(AND(ObsObligatoria="Sí",ISNUMBER(E12),E12&lt;FechaRef,N(K12)&lt;1,M12=""),"Vencida sin observación"&amp;" · ",""))-3)))</f>
        <v/>
      </c>
    </row>
    <row r="13">
      <c r="A13" s="53">
        <f>IF(NOT((COUNTA($B13:$J13)+COUNTA($M13))&gt;0),"",COUNTIF($L$5:$L13,"?*"))</f>
        <v/>
      </c>
      <c r="B13" s="54" t="n"/>
      <c r="C13" s="54" t="n"/>
      <c r="D13" s="55" t="n"/>
      <c r="E13" s="55" t="n"/>
      <c r="F13" s="56" t="n"/>
      <c r="G13" s="57" t="n"/>
      <c r="H13" s="57" t="n"/>
      <c r="I13" s="57" t="n"/>
      <c r="J13" s="57" t="n"/>
      <c r="K13" s="58">
        <f>IF(NOT((COUNTA($B13:$J13)+COUNTA($M13))&gt;0),"",IFERROR(LOOKUP(2,1/(G13:J13&lt;&gt;""),G13:J13),0))</f>
        <v/>
      </c>
      <c r="L13" s="53">
        <f>IF(K13="","",IF(K13&gt;=1,"Completado",IF(K13&gt;0,"En curso","Pendiente")))</f>
        <v/>
      </c>
      <c r="M13" s="54" t="n"/>
      <c r="N13" s="59">
        <f>IF(NOT((COUNTA($B13:$J13)+COUNTA($M13))&gt;0),"",IF((IF(B13="","Macroactividad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 OK","⚠ "&amp;LEFT(IF(B13="","Macroactividad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",""),LEN(IF(B13="","Macroactividad vacía"&amp;" · ","")&amp;IF(C13="","Sin responsable"&amp;" · ","")&amp;IF(D13="","Sin fecha de inicio"&amp;" · ","")&amp;IF(E13="","Sin fecha límite"&amp;" · ","")&amp;IF(OR(AND(D13&lt;&gt;"",NOT(ISNUMBER(D13))),AND(E13&lt;&gt;"",NOT(ISNUMBER(E13)))),"Fecha no válida"&amp;" · ","")&amp;IF(AND(ISNUMBER(D13),ISNUMBER(E13),D13&gt;E13),"Inicio posterior a fecha límite"&amp;" · ","")&amp;IF(F13="","Peso vacío"&amp;" · ","")&amp;IF(AND(F13&lt;&gt;"",OR(NOT(ISNUMBER(F13)),F13&lt;=0,F13&gt;1)),"Peso fuera de rango"&amp;" · ","")&amp;IF(ABS(SUM($F$5:$F$1000)-1)&gt;0.0001,"Pesos del puesto suman "&amp;TEXT(SUM($F$5:$F$1000),"0%")&amp;" · ","")&amp;IF((COUNTIF(G13:J13,"&gt;1")+COUNTIF(G13:J13,"&lt;0")+COUNTA(G13:J13)-COUNT(G13:J13))&gt;0,"Avance fuera de rango 0-100%"&amp;" · ","")&amp;IF(OR(AND(H13&lt;&gt;"",H13&lt;G13),AND(I13&lt;&gt;"",I13&lt;MAX(G13:H13)),AND(J13&lt;&gt;"",J13&lt;MAX(G13:I13))),"Avance semanal decreciente"&amp;" · ","")&amp;IF(AND(ISNUMBER(E13),E13&lt;FechaRef,N(K13)&lt;1),"Vencida"&amp;" · ","")&amp;IF(AND(ObsObligatoria="Sí",ISNUMBER(E13),E13&lt;FechaRef,N(K13)&lt;1,M13=""),"Vencida sin observación"&amp;" · ",""))-3)))</f>
        <v/>
      </c>
    </row>
    <row r="14">
      <c r="A14" s="53">
        <f>IF(NOT((COUNTA($B14:$J14)+COUNTA($M14))&gt;0),"",COUNTIF($L$5:$L14,"?*"))</f>
        <v/>
      </c>
      <c r="B14" s="54" t="n"/>
      <c r="C14" s="54" t="n"/>
      <c r="D14" s="55" t="n"/>
      <c r="E14" s="55" t="n"/>
      <c r="F14" s="56" t="n"/>
      <c r="G14" s="57" t="n"/>
      <c r="H14" s="57" t="n"/>
      <c r="I14" s="57" t="n"/>
      <c r="J14" s="57" t="n"/>
      <c r="K14" s="58">
        <f>IF(NOT((COUNTA($B14:$J14)+COUNTA($M14))&gt;0),"",IFERROR(LOOKUP(2,1/(G14:J14&lt;&gt;""),G14:J14),0))</f>
        <v/>
      </c>
      <c r="L14" s="53">
        <f>IF(K14="","",IF(K14&gt;=1,"Completado",IF(K14&gt;0,"En curso","Pendiente")))</f>
        <v/>
      </c>
      <c r="M14" s="54" t="n"/>
      <c r="N14" s="59">
        <f>IF(NOT((COUNTA($B14:$J14)+COUNTA($M14))&gt;0),"",IF((IF(B14="","Macroactividad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 OK","⚠ "&amp;LEFT(IF(B14="","Macroactividad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",""),LEN(IF(B14="","Macroactividad vacía"&amp;" · ","")&amp;IF(C14="","Sin responsable"&amp;" · ","")&amp;IF(D14="","Sin fecha de inicio"&amp;" · ","")&amp;IF(E14="","Sin fecha límite"&amp;" · ","")&amp;IF(OR(AND(D14&lt;&gt;"",NOT(ISNUMBER(D14))),AND(E14&lt;&gt;"",NOT(ISNUMBER(E14)))),"Fecha no válida"&amp;" · ","")&amp;IF(AND(ISNUMBER(D14),ISNUMBER(E14),D14&gt;E14),"Inicio posterior a fecha límite"&amp;" · ","")&amp;IF(F14="","Peso vacío"&amp;" · ","")&amp;IF(AND(F14&lt;&gt;"",OR(NOT(ISNUMBER(F14)),F14&lt;=0,F14&gt;1)),"Peso fuera de rango"&amp;" · ","")&amp;IF(ABS(SUM($F$5:$F$1000)-1)&gt;0.0001,"Pesos del puesto suman "&amp;TEXT(SUM($F$5:$F$1000),"0%")&amp;" · ","")&amp;IF((COUNTIF(G14:J14,"&gt;1")+COUNTIF(G14:J14,"&lt;0")+COUNTA(G14:J14)-COUNT(G14:J14))&gt;0,"Avance fuera de rango 0-100%"&amp;" · ","")&amp;IF(OR(AND(H14&lt;&gt;"",H14&lt;G14),AND(I14&lt;&gt;"",I14&lt;MAX(G14:H14)),AND(J14&lt;&gt;"",J14&lt;MAX(G14:I14))),"Avance semanal decreciente"&amp;" · ","")&amp;IF(AND(ISNUMBER(E14),E14&lt;FechaRef,N(K14)&lt;1),"Vencida"&amp;" · ","")&amp;IF(AND(ObsObligatoria="Sí",ISNUMBER(E14),E14&lt;FechaRef,N(K14)&lt;1,M14=""),"Vencida sin observación"&amp;" · ",""))-3)))</f>
        <v/>
      </c>
    </row>
    <row r="15">
      <c r="A15" s="53">
        <f>IF(NOT((COUNTA($B15:$J15)+COUNTA($M15))&gt;0),"",COUNTIF($L$5:$L15,"?*"))</f>
        <v/>
      </c>
      <c r="B15" s="54" t="n"/>
      <c r="C15" s="54" t="n"/>
      <c r="D15" s="55" t="n"/>
      <c r="E15" s="55" t="n"/>
      <c r="F15" s="56" t="n"/>
      <c r="G15" s="57" t="n"/>
      <c r="H15" s="57" t="n"/>
      <c r="I15" s="57" t="n"/>
      <c r="J15" s="57" t="n"/>
      <c r="K15" s="58">
        <f>IF(NOT((COUNTA($B15:$J15)+COUNTA($M15))&gt;0),"",IFERROR(LOOKUP(2,1/(G15:J15&lt;&gt;""),G15:J15),0))</f>
        <v/>
      </c>
      <c r="L15" s="53">
        <f>IF(K15="","",IF(K15&gt;=1,"Completado",IF(K15&gt;0,"En curso","Pendiente")))</f>
        <v/>
      </c>
      <c r="M15" s="54" t="n"/>
      <c r="N15" s="59">
        <f>IF(NOT((COUNTA($B15:$J15)+COUNTA($M15))&gt;0),"",IF((IF(B15="","Macroactividad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 OK","⚠ "&amp;LEFT(IF(B15="","Macroactividad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",""),LEN(IF(B15="","Macroactividad vacía"&amp;" · ","")&amp;IF(C15="","Sin responsable"&amp;" · ","")&amp;IF(D15="","Sin fecha de inicio"&amp;" · ","")&amp;IF(E15="","Sin fecha límite"&amp;" · ","")&amp;IF(OR(AND(D15&lt;&gt;"",NOT(ISNUMBER(D15))),AND(E15&lt;&gt;"",NOT(ISNUMBER(E15)))),"Fecha no válida"&amp;" · ","")&amp;IF(AND(ISNUMBER(D15),ISNUMBER(E15),D15&gt;E15),"Inicio posterior a fecha límite"&amp;" · ","")&amp;IF(F15="","Peso vacío"&amp;" · ","")&amp;IF(AND(F15&lt;&gt;"",OR(NOT(ISNUMBER(F15)),F15&lt;=0,F15&gt;1)),"Peso fuera de rango"&amp;" · ","")&amp;IF(ABS(SUM($F$5:$F$1000)-1)&gt;0.0001,"Pesos del puesto suman "&amp;TEXT(SUM($F$5:$F$1000),"0%")&amp;" · ","")&amp;IF((COUNTIF(G15:J15,"&gt;1")+COUNTIF(G15:J15,"&lt;0")+COUNTA(G15:J15)-COUNT(G15:J15))&gt;0,"Avance fuera de rango 0-100%"&amp;" · ","")&amp;IF(OR(AND(H15&lt;&gt;"",H15&lt;G15),AND(I15&lt;&gt;"",I15&lt;MAX(G15:H15)),AND(J15&lt;&gt;"",J15&lt;MAX(G15:I15))),"Avance semanal decreciente"&amp;" · ","")&amp;IF(AND(ISNUMBER(E15),E15&lt;FechaRef,N(K15)&lt;1),"Vencida"&amp;" · ","")&amp;IF(AND(ObsObligatoria="Sí",ISNUMBER(E15),E15&lt;FechaRef,N(K15)&lt;1,M15=""),"Vencida sin observación"&amp;" · ",""))-3)))</f>
        <v/>
      </c>
    </row>
    <row r="16">
      <c r="A16" s="53">
        <f>IF(NOT((COUNTA($B16:$J16)+COUNTA($M16))&gt;0),"",COUNTIF($L$5:$L16,"?*"))</f>
        <v/>
      </c>
      <c r="B16" s="54" t="n"/>
      <c r="C16" s="54" t="n"/>
      <c r="D16" s="55" t="n"/>
      <c r="E16" s="55" t="n"/>
      <c r="F16" s="56" t="n"/>
      <c r="G16" s="57" t="n"/>
      <c r="H16" s="57" t="n"/>
      <c r="I16" s="57" t="n"/>
      <c r="J16" s="57" t="n"/>
      <c r="K16" s="58">
        <f>IF(NOT((COUNTA($B16:$J16)+COUNTA($M16))&gt;0),"",IFERROR(LOOKUP(2,1/(G16:J16&lt;&gt;""),G16:J16),0))</f>
        <v/>
      </c>
      <c r="L16" s="53">
        <f>IF(K16="","",IF(K16&gt;=1,"Completado",IF(K16&gt;0,"En curso","Pendiente")))</f>
        <v/>
      </c>
      <c r="M16" s="54" t="n"/>
      <c r="N16" s="59">
        <f>IF(NOT((COUNTA($B16:$J16)+COUNTA($M16))&gt;0),"",IF((IF(B16="","Macroactividad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 OK","⚠ "&amp;LEFT(IF(B16="","Macroactividad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",""),LEN(IF(B16="","Macroactividad vacía"&amp;" · ","")&amp;IF(C16="","Sin responsable"&amp;" · ","")&amp;IF(D16="","Sin fecha de inicio"&amp;" · ","")&amp;IF(E16="","Sin fecha límite"&amp;" · ","")&amp;IF(OR(AND(D16&lt;&gt;"",NOT(ISNUMBER(D16))),AND(E16&lt;&gt;"",NOT(ISNUMBER(E16)))),"Fecha no válida"&amp;" · ","")&amp;IF(AND(ISNUMBER(D16),ISNUMBER(E16),D16&gt;E16),"Inicio posterior a fecha límite"&amp;" · ","")&amp;IF(F16="","Peso vacío"&amp;" · ","")&amp;IF(AND(F16&lt;&gt;"",OR(NOT(ISNUMBER(F16)),F16&lt;=0,F16&gt;1)),"Peso fuera de rango"&amp;" · ","")&amp;IF(ABS(SUM($F$5:$F$1000)-1)&gt;0.0001,"Pesos del puesto suman "&amp;TEXT(SUM($F$5:$F$1000),"0%")&amp;" · ","")&amp;IF((COUNTIF(G16:J16,"&gt;1")+COUNTIF(G16:J16,"&lt;0")+COUNTA(G16:J16)-COUNT(G16:J16))&gt;0,"Avance fuera de rango 0-100%"&amp;" · ","")&amp;IF(OR(AND(H16&lt;&gt;"",H16&lt;G16),AND(I16&lt;&gt;"",I16&lt;MAX(G16:H16)),AND(J16&lt;&gt;"",J16&lt;MAX(G16:I16))),"Avance semanal decreciente"&amp;" · ","")&amp;IF(AND(ISNUMBER(E16),E16&lt;FechaRef,N(K16)&lt;1),"Vencida"&amp;" · ","")&amp;IF(AND(ObsObligatoria="Sí",ISNUMBER(E16),E16&lt;FechaRef,N(K16)&lt;1,M16=""),"Vencida sin observación"&amp;" · ",""))-3)))</f>
        <v/>
      </c>
    </row>
    <row r="17">
      <c r="A17" s="53">
        <f>IF(NOT((COUNTA($B17:$J17)+COUNTA($M17))&gt;0),"",COUNTIF($L$5:$L17,"?*"))</f>
        <v/>
      </c>
      <c r="B17" s="54" t="n"/>
      <c r="C17" s="54" t="n"/>
      <c r="D17" s="55" t="n"/>
      <c r="E17" s="55" t="n"/>
      <c r="F17" s="56" t="n"/>
      <c r="G17" s="57" t="n"/>
      <c r="H17" s="57" t="n"/>
      <c r="I17" s="57" t="n"/>
      <c r="J17" s="57" t="n"/>
      <c r="K17" s="58">
        <f>IF(NOT((COUNTA($B17:$J17)+COUNTA($M17))&gt;0),"",IFERROR(LOOKUP(2,1/(G17:J17&lt;&gt;""),G17:J17),0))</f>
        <v/>
      </c>
      <c r="L17" s="53">
        <f>IF(K17="","",IF(K17&gt;=1,"Completado",IF(K17&gt;0,"En curso","Pendiente")))</f>
        <v/>
      </c>
      <c r="M17" s="54" t="n"/>
      <c r="N17" s="59">
        <f>IF(NOT((COUNTA($B17:$J17)+COUNTA($M17))&gt;0),"",IF((IF(B17="","Macroactividad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 OK","⚠ "&amp;LEFT(IF(B17="","Macroactividad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",""),LEN(IF(B17="","Macroactividad vacía"&amp;" · ","")&amp;IF(C17="","Sin responsable"&amp;" · ","")&amp;IF(D17="","Sin fecha de inicio"&amp;" · ","")&amp;IF(E17="","Sin fecha límite"&amp;" · ","")&amp;IF(OR(AND(D17&lt;&gt;"",NOT(ISNUMBER(D17))),AND(E17&lt;&gt;"",NOT(ISNUMBER(E17)))),"Fecha no válida"&amp;" · ","")&amp;IF(AND(ISNUMBER(D17),ISNUMBER(E17),D17&gt;E17),"Inicio posterior a fecha límite"&amp;" · ","")&amp;IF(F17="","Peso vacío"&amp;" · ","")&amp;IF(AND(F17&lt;&gt;"",OR(NOT(ISNUMBER(F17)),F17&lt;=0,F17&gt;1)),"Peso fuera de rango"&amp;" · ","")&amp;IF(ABS(SUM($F$5:$F$1000)-1)&gt;0.0001,"Pesos del puesto suman "&amp;TEXT(SUM($F$5:$F$1000),"0%")&amp;" · ","")&amp;IF((COUNTIF(G17:J17,"&gt;1")+COUNTIF(G17:J17,"&lt;0")+COUNTA(G17:J17)-COUNT(G17:J17))&gt;0,"Avance fuera de rango 0-100%"&amp;" · ","")&amp;IF(OR(AND(H17&lt;&gt;"",H17&lt;G17),AND(I17&lt;&gt;"",I17&lt;MAX(G17:H17)),AND(J17&lt;&gt;"",J17&lt;MAX(G17:I17))),"Avance semanal decreciente"&amp;" · ","")&amp;IF(AND(ISNUMBER(E17),E17&lt;FechaRef,N(K17)&lt;1),"Vencida"&amp;" · ","")&amp;IF(AND(ObsObligatoria="Sí",ISNUMBER(E17),E17&lt;FechaRef,N(K17)&lt;1,M17=""),"Vencida sin observación"&amp;" · ",""))-3)))</f>
        <v/>
      </c>
    </row>
    <row r="18">
      <c r="A18" s="53">
        <f>IF(NOT((COUNTA($B18:$J18)+COUNTA($M18))&gt;0),"",COUNTIF($L$5:$L18,"?*"))</f>
        <v/>
      </c>
      <c r="B18" s="54" t="n"/>
      <c r="C18" s="54" t="n"/>
      <c r="D18" s="55" t="n"/>
      <c r="E18" s="55" t="n"/>
      <c r="F18" s="56" t="n"/>
      <c r="G18" s="57" t="n"/>
      <c r="H18" s="57" t="n"/>
      <c r="I18" s="57" t="n"/>
      <c r="J18" s="57" t="n"/>
      <c r="K18" s="58">
        <f>IF(NOT((COUNTA($B18:$J18)+COUNTA($M18))&gt;0),"",IFERROR(LOOKUP(2,1/(G18:J18&lt;&gt;""),G18:J18),0))</f>
        <v/>
      </c>
      <c r="L18" s="53">
        <f>IF(K18="","",IF(K18&gt;=1,"Completado",IF(K18&gt;0,"En curso","Pendiente")))</f>
        <v/>
      </c>
      <c r="M18" s="54" t="n"/>
      <c r="N18" s="59">
        <f>IF(NOT((COUNTA($B18:$J18)+COUNTA($M18))&gt;0),"",IF((IF(B18="","Macroactividad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 OK","⚠ "&amp;LEFT(IF(B18="","Macroactividad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",""),LEN(IF(B18="","Macroactividad vacía"&amp;" · ","")&amp;IF(C18="","Sin responsable"&amp;" · ","")&amp;IF(D18="","Sin fecha de inicio"&amp;" · ","")&amp;IF(E18="","Sin fecha límite"&amp;" · ","")&amp;IF(OR(AND(D18&lt;&gt;"",NOT(ISNUMBER(D18))),AND(E18&lt;&gt;"",NOT(ISNUMBER(E18)))),"Fecha no válida"&amp;" · ","")&amp;IF(AND(ISNUMBER(D18),ISNUMBER(E18),D18&gt;E18),"Inicio posterior a fecha límite"&amp;" · ","")&amp;IF(F18="","Peso vacío"&amp;" · ","")&amp;IF(AND(F18&lt;&gt;"",OR(NOT(ISNUMBER(F18)),F18&lt;=0,F18&gt;1)),"Peso fuera de rango"&amp;" · ","")&amp;IF(ABS(SUM($F$5:$F$1000)-1)&gt;0.0001,"Pesos del puesto suman "&amp;TEXT(SUM($F$5:$F$1000),"0%")&amp;" · ","")&amp;IF((COUNTIF(G18:J18,"&gt;1")+COUNTIF(G18:J18,"&lt;0")+COUNTA(G18:J18)-COUNT(G18:J18))&gt;0,"Avance fuera de rango 0-100%"&amp;" · ","")&amp;IF(OR(AND(H18&lt;&gt;"",H18&lt;G18),AND(I18&lt;&gt;"",I18&lt;MAX(G18:H18)),AND(J18&lt;&gt;"",J18&lt;MAX(G18:I18))),"Avance semanal decreciente"&amp;" · ","")&amp;IF(AND(ISNUMBER(E18),E18&lt;FechaRef,N(K18)&lt;1),"Vencida"&amp;" · ","")&amp;IF(AND(ObsObligatoria="Sí",ISNUMBER(E18),E18&lt;FechaRef,N(K18)&lt;1,M18=""),"Vencida sin observación"&amp;" · ",""))-3)))</f>
        <v/>
      </c>
    </row>
    <row r="19">
      <c r="A19" s="53">
        <f>IF(NOT((COUNTA($B19:$J19)+COUNTA($M19))&gt;0),"",COUNTIF($L$5:$L19,"?*"))</f>
        <v/>
      </c>
      <c r="B19" s="54" t="n"/>
      <c r="C19" s="54" t="n"/>
      <c r="D19" s="55" t="n"/>
      <c r="E19" s="55" t="n"/>
      <c r="F19" s="56" t="n"/>
      <c r="G19" s="57" t="n"/>
      <c r="H19" s="57" t="n"/>
      <c r="I19" s="57" t="n"/>
      <c r="J19" s="57" t="n"/>
      <c r="K19" s="58">
        <f>IF(NOT((COUNTA($B19:$J19)+COUNTA($M19))&gt;0),"",IFERROR(LOOKUP(2,1/(G19:J19&lt;&gt;""),G19:J19),0))</f>
        <v/>
      </c>
      <c r="L19" s="53">
        <f>IF(K19="","",IF(K19&gt;=1,"Completado",IF(K19&gt;0,"En curso","Pendiente")))</f>
        <v/>
      </c>
      <c r="M19" s="54" t="n"/>
      <c r="N19" s="59">
        <f>IF(NOT((COUNTA($B19:$J19)+COUNTA($M19))&gt;0),"",IF((IF(B19="","Macroactividad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 OK","⚠ "&amp;LEFT(IF(B19="","Macroactividad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",""),LEN(IF(B19="","Macroactividad vacía"&amp;" · ","")&amp;IF(C19="","Sin responsable"&amp;" · ","")&amp;IF(D19="","Sin fecha de inicio"&amp;" · ","")&amp;IF(E19="","Sin fecha límite"&amp;" · ","")&amp;IF(OR(AND(D19&lt;&gt;"",NOT(ISNUMBER(D19))),AND(E19&lt;&gt;"",NOT(ISNUMBER(E19)))),"Fecha no válida"&amp;" · ","")&amp;IF(AND(ISNUMBER(D19),ISNUMBER(E19),D19&gt;E19),"Inicio posterior a fecha límite"&amp;" · ","")&amp;IF(F19="","Peso vacío"&amp;" · ","")&amp;IF(AND(F19&lt;&gt;"",OR(NOT(ISNUMBER(F19)),F19&lt;=0,F19&gt;1)),"Peso fuera de rango"&amp;" · ","")&amp;IF(ABS(SUM($F$5:$F$1000)-1)&gt;0.0001,"Pesos del puesto suman "&amp;TEXT(SUM($F$5:$F$1000),"0%")&amp;" · ","")&amp;IF((COUNTIF(G19:J19,"&gt;1")+COUNTIF(G19:J19,"&lt;0")+COUNTA(G19:J19)-COUNT(G19:J19))&gt;0,"Avance fuera de rango 0-100%"&amp;" · ","")&amp;IF(OR(AND(H19&lt;&gt;"",H19&lt;G19),AND(I19&lt;&gt;"",I19&lt;MAX(G19:H19)),AND(J19&lt;&gt;"",J19&lt;MAX(G19:I19))),"Avance semanal decreciente"&amp;" · ","")&amp;IF(AND(ISNUMBER(E19),E19&lt;FechaRef,N(K19)&lt;1),"Vencida"&amp;" · ","")&amp;IF(AND(ObsObligatoria="Sí",ISNUMBER(E19),E19&lt;FechaRef,N(K19)&lt;1,M19=""),"Vencida sin observación"&amp;" · ",""))-3)))</f>
        <v/>
      </c>
    </row>
    <row r="20">
      <c r="A20" s="53">
        <f>IF(NOT((COUNTA($B20:$J20)+COUNTA($M20))&gt;0),"",COUNTIF($L$5:$L20,"?*"))</f>
        <v/>
      </c>
      <c r="B20" s="54" t="n"/>
      <c r="C20" s="54" t="n"/>
      <c r="D20" s="55" t="n"/>
      <c r="E20" s="55" t="n"/>
      <c r="F20" s="56" t="n"/>
      <c r="G20" s="57" t="n"/>
      <c r="H20" s="57" t="n"/>
      <c r="I20" s="57" t="n"/>
      <c r="J20" s="57" t="n"/>
      <c r="K20" s="58">
        <f>IF(NOT((COUNTA($B20:$J20)+COUNTA($M20))&gt;0),"",IFERROR(LOOKUP(2,1/(G20:J20&lt;&gt;""),G20:J20),0))</f>
        <v/>
      </c>
      <c r="L20" s="53">
        <f>IF(K20="","",IF(K20&gt;=1,"Completado",IF(K20&gt;0,"En curso","Pendiente")))</f>
        <v/>
      </c>
      <c r="M20" s="54" t="n"/>
      <c r="N20" s="59">
        <f>IF(NOT((COUNTA($B20:$J20)+COUNTA($M20))&gt;0),"",IF((IF(B20="","Macroactividad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 OK","⚠ "&amp;LEFT(IF(B20="","Macroactividad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",""),LEN(IF(B20="","Macroactividad vacía"&amp;" · ","")&amp;IF(C20="","Sin responsable"&amp;" · ","")&amp;IF(D20="","Sin fecha de inicio"&amp;" · ","")&amp;IF(E20="","Sin fecha límite"&amp;" · ","")&amp;IF(OR(AND(D20&lt;&gt;"",NOT(ISNUMBER(D20))),AND(E20&lt;&gt;"",NOT(ISNUMBER(E20)))),"Fecha no válida"&amp;" · ","")&amp;IF(AND(ISNUMBER(D20),ISNUMBER(E20),D20&gt;E20),"Inicio posterior a fecha límite"&amp;" · ","")&amp;IF(F20="","Peso vacío"&amp;" · ","")&amp;IF(AND(F20&lt;&gt;"",OR(NOT(ISNUMBER(F20)),F20&lt;=0,F20&gt;1)),"Peso fuera de rango"&amp;" · ","")&amp;IF(ABS(SUM($F$5:$F$1000)-1)&gt;0.0001,"Pesos del puesto suman "&amp;TEXT(SUM($F$5:$F$1000),"0%")&amp;" · ","")&amp;IF((COUNTIF(G20:J20,"&gt;1")+COUNTIF(G20:J20,"&lt;0")+COUNTA(G20:J20)-COUNT(G20:J20))&gt;0,"Avance fuera de rango 0-100%"&amp;" · ","")&amp;IF(OR(AND(H20&lt;&gt;"",H20&lt;G20),AND(I20&lt;&gt;"",I20&lt;MAX(G20:H20)),AND(J20&lt;&gt;"",J20&lt;MAX(G20:I20))),"Avance semanal decreciente"&amp;" · ","")&amp;IF(AND(ISNUMBER(E20),E20&lt;FechaRef,N(K20)&lt;1),"Vencida"&amp;" · ","")&amp;IF(AND(ObsObligatoria="Sí",ISNUMBER(E20),E20&lt;FechaRef,N(K20)&lt;1,M20=""),"Vencida sin observación"&amp;" · ",""))-3)))</f>
        <v/>
      </c>
    </row>
    <row r="21">
      <c r="A21" s="53">
        <f>IF(NOT((COUNTA($B21:$J21)+COUNTA($M21))&gt;0),"",COUNTIF($L$5:$L21,"?*"))</f>
        <v/>
      </c>
      <c r="B21" s="54" t="n"/>
      <c r="C21" s="54" t="n"/>
      <c r="D21" s="55" t="n"/>
      <c r="E21" s="55" t="n"/>
      <c r="F21" s="56" t="n"/>
      <c r="G21" s="57" t="n"/>
      <c r="H21" s="57" t="n"/>
      <c r="I21" s="57" t="n"/>
      <c r="J21" s="57" t="n"/>
      <c r="K21" s="58">
        <f>IF(NOT((COUNTA($B21:$J21)+COUNTA($M21))&gt;0),"",IFERROR(LOOKUP(2,1/(G21:J21&lt;&gt;""),G21:J21),0))</f>
        <v/>
      </c>
      <c r="L21" s="53">
        <f>IF(K21="","",IF(K21&gt;=1,"Completado",IF(K21&gt;0,"En curso","Pendiente")))</f>
        <v/>
      </c>
      <c r="M21" s="54" t="n"/>
      <c r="N21" s="59">
        <f>IF(NOT((COUNTA($B21:$J21)+COUNTA($M21))&gt;0),"",IF((IF(B21="","Macroactividad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 OK","⚠ "&amp;LEFT(IF(B21="","Macroactividad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",""),LEN(IF(B21="","Macroactividad vacía"&amp;" · ","")&amp;IF(C21="","Sin responsable"&amp;" · ","")&amp;IF(D21="","Sin fecha de inicio"&amp;" · ","")&amp;IF(E21="","Sin fecha límite"&amp;" · ","")&amp;IF(OR(AND(D21&lt;&gt;"",NOT(ISNUMBER(D21))),AND(E21&lt;&gt;"",NOT(ISNUMBER(E21)))),"Fecha no válida"&amp;" · ","")&amp;IF(AND(ISNUMBER(D21),ISNUMBER(E21),D21&gt;E21),"Inicio posterior a fecha límite"&amp;" · ","")&amp;IF(F21="","Peso vacío"&amp;" · ","")&amp;IF(AND(F21&lt;&gt;"",OR(NOT(ISNUMBER(F21)),F21&lt;=0,F21&gt;1)),"Peso fuera de rango"&amp;" · ","")&amp;IF(ABS(SUM($F$5:$F$1000)-1)&gt;0.0001,"Pesos del puesto suman "&amp;TEXT(SUM($F$5:$F$1000),"0%")&amp;" · ","")&amp;IF((COUNTIF(G21:J21,"&gt;1")+COUNTIF(G21:J21,"&lt;0")+COUNTA(G21:J21)-COUNT(G21:J21))&gt;0,"Avance fuera de rango 0-100%"&amp;" · ","")&amp;IF(OR(AND(H21&lt;&gt;"",H21&lt;G21),AND(I21&lt;&gt;"",I21&lt;MAX(G21:H21)),AND(J21&lt;&gt;"",J21&lt;MAX(G21:I21))),"Avance semanal decreciente"&amp;" · ","")&amp;IF(AND(ISNUMBER(E21),E21&lt;FechaRef,N(K21)&lt;1),"Vencida"&amp;" · ","")&amp;IF(AND(ObsObligatoria="Sí",ISNUMBER(E21),E21&lt;FechaRef,N(K21)&lt;1,M21=""),"Vencida sin observación"&amp;" · ",""))-3)))</f>
        <v/>
      </c>
    </row>
    <row r="22">
      <c r="A22" s="53">
        <f>IF(NOT((COUNTA($B22:$J22)+COUNTA($M22))&gt;0),"",COUNTIF($L$5:$L22,"?*"))</f>
        <v/>
      </c>
      <c r="B22" s="54" t="n"/>
      <c r="C22" s="54" t="n"/>
      <c r="D22" s="55" t="n"/>
      <c r="E22" s="55" t="n"/>
      <c r="F22" s="56" t="n"/>
      <c r="G22" s="57" t="n"/>
      <c r="H22" s="57" t="n"/>
      <c r="I22" s="57" t="n"/>
      <c r="J22" s="57" t="n"/>
      <c r="K22" s="58">
        <f>IF(NOT((COUNTA($B22:$J22)+COUNTA($M22))&gt;0),"",IFERROR(LOOKUP(2,1/(G22:J22&lt;&gt;""),G22:J22),0))</f>
        <v/>
      </c>
      <c r="L22" s="53">
        <f>IF(K22="","",IF(K22&gt;=1,"Completado",IF(K22&gt;0,"En curso","Pendiente")))</f>
        <v/>
      </c>
      <c r="M22" s="54" t="n"/>
      <c r="N22" s="59">
        <f>IF(NOT((COUNTA($B22:$J22)+COUNTA($M22))&gt;0),"",IF((IF(B22="","Macroactividad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 OK","⚠ "&amp;LEFT(IF(B22="","Macroactividad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",""),LEN(IF(B22="","Macroactividad vacía"&amp;" · ","")&amp;IF(C22="","Sin responsable"&amp;" · ","")&amp;IF(D22="","Sin fecha de inicio"&amp;" · ","")&amp;IF(E22="","Sin fecha límite"&amp;" · ","")&amp;IF(OR(AND(D22&lt;&gt;"",NOT(ISNUMBER(D22))),AND(E22&lt;&gt;"",NOT(ISNUMBER(E22)))),"Fecha no válida"&amp;" · ","")&amp;IF(AND(ISNUMBER(D22),ISNUMBER(E22),D22&gt;E22),"Inicio posterior a fecha límite"&amp;" · ","")&amp;IF(F22="","Peso vacío"&amp;" · ","")&amp;IF(AND(F22&lt;&gt;"",OR(NOT(ISNUMBER(F22)),F22&lt;=0,F22&gt;1)),"Peso fuera de rango"&amp;" · ","")&amp;IF(ABS(SUM($F$5:$F$1000)-1)&gt;0.0001,"Pesos del puesto suman "&amp;TEXT(SUM($F$5:$F$1000),"0%")&amp;" · ","")&amp;IF((COUNTIF(G22:J22,"&gt;1")+COUNTIF(G22:J22,"&lt;0")+COUNTA(G22:J22)-COUNT(G22:J22))&gt;0,"Avance fuera de rango 0-100%"&amp;" · ","")&amp;IF(OR(AND(H22&lt;&gt;"",H22&lt;G22),AND(I22&lt;&gt;"",I22&lt;MAX(G22:H22)),AND(J22&lt;&gt;"",J22&lt;MAX(G22:I22))),"Avance semanal decreciente"&amp;" · ","")&amp;IF(AND(ISNUMBER(E22),E22&lt;FechaRef,N(K22)&lt;1),"Vencida"&amp;" · ","")&amp;IF(AND(ObsObligatoria="Sí",ISNUMBER(E22),E22&lt;FechaRef,N(K22)&lt;1,M22=""),"Vencida sin observación"&amp;" · ",""))-3)))</f>
        <v/>
      </c>
    </row>
    <row r="23">
      <c r="A23" s="53">
        <f>IF(NOT((COUNTA($B23:$J23)+COUNTA($M23))&gt;0),"",COUNTIF($L$5:$L23,"?*"))</f>
        <v/>
      </c>
      <c r="B23" s="54" t="n"/>
      <c r="C23" s="54" t="n"/>
      <c r="D23" s="55" t="n"/>
      <c r="E23" s="55" t="n"/>
      <c r="F23" s="56" t="n"/>
      <c r="G23" s="57" t="n"/>
      <c r="H23" s="57" t="n"/>
      <c r="I23" s="57" t="n"/>
      <c r="J23" s="57" t="n"/>
      <c r="K23" s="58">
        <f>IF(NOT((COUNTA($B23:$J23)+COUNTA($M23))&gt;0),"",IFERROR(LOOKUP(2,1/(G23:J23&lt;&gt;""),G23:J23),0))</f>
        <v/>
      </c>
      <c r="L23" s="53">
        <f>IF(K23="","",IF(K23&gt;=1,"Completado",IF(K23&gt;0,"En curso","Pendiente")))</f>
        <v/>
      </c>
      <c r="M23" s="54" t="n"/>
      <c r="N23" s="59">
        <f>IF(NOT((COUNTA($B23:$J23)+COUNTA($M23))&gt;0),"",IF((IF(B23="","Macroactividad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 OK","⚠ "&amp;LEFT(IF(B23="","Macroactividad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",""),LEN(IF(B23="","Macroactividad vacía"&amp;" · ","")&amp;IF(C23="","Sin responsable"&amp;" · ","")&amp;IF(D23="","Sin fecha de inicio"&amp;" · ","")&amp;IF(E23="","Sin fecha límite"&amp;" · ","")&amp;IF(OR(AND(D23&lt;&gt;"",NOT(ISNUMBER(D23))),AND(E23&lt;&gt;"",NOT(ISNUMBER(E23)))),"Fecha no válida"&amp;" · ","")&amp;IF(AND(ISNUMBER(D23),ISNUMBER(E23),D23&gt;E23),"Inicio posterior a fecha límite"&amp;" · ","")&amp;IF(F23="","Peso vacío"&amp;" · ","")&amp;IF(AND(F23&lt;&gt;"",OR(NOT(ISNUMBER(F23)),F23&lt;=0,F23&gt;1)),"Peso fuera de rango"&amp;" · ","")&amp;IF(ABS(SUM($F$5:$F$1000)-1)&gt;0.0001,"Pesos del puesto suman "&amp;TEXT(SUM($F$5:$F$1000),"0%")&amp;" · ","")&amp;IF((COUNTIF(G23:J23,"&gt;1")+COUNTIF(G23:J23,"&lt;0")+COUNTA(G23:J23)-COUNT(G23:J23))&gt;0,"Avance fuera de rango 0-100%"&amp;" · ","")&amp;IF(OR(AND(H23&lt;&gt;"",H23&lt;G23),AND(I23&lt;&gt;"",I23&lt;MAX(G23:H23)),AND(J23&lt;&gt;"",J23&lt;MAX(G23:I23))),"Avance semanal decreciente"&amp;" · ","")&amp;IF(AND(ISNUMBER(E23),E23&lt;FechaRef,N(K23)&lt;1),"Vencida"&amp;" · ","")&amp;IF(AND(ObsObligatoria="Sí",ISNUMBER(E23),E23&lt;FechaRef,N(K23)&lt;1,M23=""),"Vencida sin observación"&amp;" · ",""))-3)))</f>
        <v/>
      </c>
    </row>
    <row r="24">
      <c r="A24" s="53">
        <f>IF(NOT((COUNTA($B24:$J24)+COUNTA($M24))&gt;0),"",COUNTIF($L$5:$L24,"?*"))</f>
        <v/>
      </c>
      <c r="B24" s="54" t="n"/>
      <c r="C24" s="54" t="n"/>
      <c r="D24" s="55" t="n"/>
      <c r="E24" s="55" t="n"/>
      <c r="F24" s="56" t="n"/>
      <c r="G24" s="57" t="n"/>
      <c r="H24" s="57" t="n"/>
      <c r="I24" s="57" t="n"/>
      <c r="J24" s="57" t="n"/>
      <c r="K24" s="58">
        <f>IF(NOT((COUNTA($B24:$J24)+COUNTA($M24))&gt;0),"",IFERROR(LOOKUP(2,1/(G24:J24&lt;&gt;""),G24:J24),0))</f>
        <v/>
      </c>
      <c r="L24" s="53">
        <f>IF(K24="","",IF(K24&gt;=1,"Completado",IF(K24&gt;0,"En curso","Pendiente")))</f>
        <v/>
      </c>
      <c r="M24" s="54" t="n"/>
      <c r="N24" s="59">
        <f>IF(NOT((COUNTA($B24:$J24)+COUNTA($M24))&gt;0),"",IF((IF(B24="","Macroactividad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 OK","⚠ "&amp;LEFT(IF(B24="","Macroactividad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",""),LEN(IF(B24="","Macroactividad vacía"&amp;" · ","")&amp;IF(C24="","Sin responsable"&amp;" · ","")&amp;IF(D24="","Sin fecha de inicio"&amp;" · ","")&amp;IF(E24="","Sin fecha límite"&amp;" · ","")&amp;IF(OR(AND(D24&lt;&gt;"",NOT(ISNUMBER(D24))),AND(E24&lt;&gt;"",NOT(ISNUMBER(E24)))),"Fecha no válida"&amp;" · ","")&amp;IF(AND(ISNUMBER(D24),ISNUMBER(E24),D24&gt;E24),"Inicio posterior a fecha límite"&amp;" · ","")&amp;IF(F24="","Peso vacío"&amp;" · ","")&amp;IF(AND(F24&lt;&gt;"",OR(NOT(ISNUMBER(F24)),F24&lt;=0,F24&gt;1)),"Peso fuera de rango"&amp;" · ","")&amp;IF(ABS(SUM($F$5:$F$1000)-1)&gt;0.0001,"Pesos del puesto suman "&amp;TEXT(SUM($F$5:$F$1000),"0%")&amp;" · ","")&amp;IF((COUNTIF(G24:J24,"&gt;1")+COUNTIF(G24:J24,"&lt;0")+COUNTA(G24:J24)-COUNT(G24:J24))&gt;0,"Avance fuera de rango 0-100%"&amp;" · ","")&amp;IF(OR(AND(H24&lt;&gt;"",H24&lt;G24),AND(I24&lt;&gt;"",I24&lt;MAX(G24:H24)),AND(J24&lt;&gt;"",J24&lt;MAX(G24:I24))),"Avance semanal decreciente"&amp;" · ","")&amp;IF(AND(ISNUMBER(E24),E24&lt;FechaRef,N(K24)&lt;1),"Vencida"&amp;" · ","")&amp;IF(AND(ObsObligatoria="Sí",ISNUMBER(E24),E24&lt;FechaRef,N(K24)&lt;1,M24=""),"Vencida sin observación"&amp;" · ",""))-3)))</f>
        <v/>
      </c>
    </row>
    <row r="25">
      <c r="A25" s="53">
        <f>IF(NOT((COUNTA($B25:$J25)+COUNTA($M25))&gt;0),"",COUNTIF($L$5:$L25,"?*"))</f>
        <v/>
      </c>
      <c r="B25" s="54" t="n"/>
      <c r="C25" s="54" t="n"/>
      <c r="D25" s="55" t="n"/>
      <c r="E25" s="55" t="n"/>
      <c r="F25" s="56" t="n"/>
      <c r="G25" s="57" t="n"/>
      <c r="H25" s="57" t="n"/>
      <c r="I25" s="57" t="n"/>
      <c r="J25" s="57" t="n"/>
      <c r="K25" s="58">
        <f>IF(NOT((COUNTA($B25:$J25)+COUNTA($M25))&gt;0),"",IFERROR(LOOKUP(2,1/(G25:J25&lt;&gt;""),G25:J25),0))</f>
        <v/>
      </c>
      <c r="L25" s="53">
        <f>IF(K25="","",IF(K25&gt;=1,"Completado",IF(K25&gt;0,"En curso","Pendiente")))</f>
        <v/>
      </c>
      <c r="M25" s="54" t="n"/>
      <c r="N25" s="59">
        <f>IF(NOT((COUNTA($B25:$J25)+COUNTA($M25))&gt;0),"",IF((IF(B25="","Macroactividad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 OK","⚠ "&amp;LEFT(IF(B25="","Macroactividad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",""),LEN(IF(B25="","Macroactividad vacía"&amp;" · ","")&amp;IF(C25="","Sin responsable"&amp;" · ","")&amp;IF(D25="","Sin fecha de inicio"&amp;" · ","")&amp;IF(E25="","Sin fecha límite"&amp;" · ","")&amp;IF(OR(AND(D25&lt;&gt;"",NOT(ISNUMBER(D25))),AND(E25&lt;&gt;"",NOT(ISNUMBER(E25)))),"Fecha no válida"&amp;" · ","")&amp;IF(AND(ISNUMBER(D25),ISNUMBER(E25),D25&gt;E25),"Inicio posterior a fecha límite"&amp;" · ","")&amp;IF(F25="","Peso vacío"&amp;" · ","")&amp;IF(AND(F25&lt;&gt;"",OR(NOT(ISNUMBER(F25)),F25&lt;=0,F25&gt;1)),"Peso fuera de rango"&amp;" · ","")&amp;IF(ABS(SUM($F$5:$F$1000)-1)&gt;0.0001,"Pesos del puesto suman "&amp;TEXT(SUM($F$5:$F$1000),"0%")&amp;" · ","")&amp;IF((COUNTIF(G25:J25,"&gt;1")+COUNTIF(G25:J25,"&lt;0")+COUNTA(G25:J25)-COUNT(G25:J25))&gt;0,"Avance fuera de rango 0-100%"&amp;" · ","")&amp;IF(OR(AND(H25&lt;&gt;"",H25&lt;G25),AND(I25&lt;&gt;"",I25&lt;MAX(G25:H25)),AND(J25&lt;&gt;"",J25&lt;MAX(G25:I25))),"Avance semanal decreciente"&amp;" · ","")&amp;IF(AND(ISNUMBER(E25),E25&lt;FechaRef,N(K25)&lt;1),"Vencida"&amp;" · ","")&amp;IF(AND(ObsObligatoria="Sí",ISNUMBER(E25),E25&lt;FechaRef,N(K25)&lt;1,M25=""),"Vencida sin observación"&amp;" · ",""))-3)))</f>
        <v/>
      </c>
    </row>
    <row r="26">
      <c r="A26" s="53">
        <f>IF(NOT((COUNTA($B26:$J26)+COUNTA($M26))&gt;0),"",COUNTIF($L$5:$L26,"?*"))</f>
        <v/>
      </c>
      <c r="B26" s="54" t="n"/>
      <c r="C26" s="54" t="n"/>
      <c r="D26" s="55" t="n"/>
      <c r="E26" s="55" t="n"/>
      <c r="F26" s="56" t="n"/>
      <c r="G26" s="57" t="n"/>
      <c r="H26" s="57" t="n"/>
      <c r="I26" s="57" t="n"/>
      <c r="J26" s="57" t="n"/>
      <c r="K26" s="58">
        <f>IF(NOT((COUNTA($B26:$J26)+COUNTA($M26))&gt;0),"",IFERROR(LOOKUP(2,1/(G26:J26&lt;&gt;""),G26:J26),0))</f>
        <v/>
      </c>
      <c r="L26" s="53">
        <f>IF(K26="","",IF(K26&gt;=1,"Completado",IF(K26&gt;0,"En curso","Pendiente")))</f>
        <v/>
      </c>
      <c r="M26" s="54" t="n"/>
      <c r="N26" s="59">
        <f>IF(NOT((COUNTA($B26:$J26)+COUNTA($M26))&gt;0),"",IF((IF(B26="","Macroactividad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 OK","⚠ "&amp;LEFT(IF(B26="","Macroactividad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",""),LEN(IF(B26="","Macroactividad vacía"&amp;" · ","")&amp;IF(C26="","Sin responsable"&amp;" · ","")&amp;IF(D26="","Sin fecha de inicio"&amp;" · ","")&amp;IF(E26="","Sin fecha límite"&amp;" · ","")&amp;IF(OR(AND(D26&lt;&gt;"",NOT(ISNUMBER(D26))),AND(E26&lt;&gt;"",NOT(ISNUMBER(E26)))),"Fecha no válida"&amp;" · ","")&amp;IF(AND(ISNUMBER(D26),ISNUMBER(E26),D26&gt;E26),"Inicio posterior a fecha límite"&amp;" · ","")&amp;IF(F26="","Peso vacío"&amp;" · ","")&amp;IF(AND(F26&lt;&gt;"",OR(NOT(ISNUMBER(F26)),F26&lt;=0,F26&gt;1)),"Peso fuera de rango"&amp;" · ","")&amp;IF(ABS(SUM($F$5:$F$1000)-1)&gt;0.0001,"Pesos del puesto suman "&amp;TEXT(SUM($F$5:$F$1000),"0%")&amp;" · ","")&amp;IF((COUNTIF(G26:J26,"&gt;1")+COUNTIF(G26:J26,"&lt;0")+COUNTA(G26:J26)-COUNT(G26:J26))&gt;0,"Avance fuera de rango 0-100%"&amp;" · ","")&amp;IF(OR(AND(H26&lt;&gt;"",H26&lt;G26),AND(I26&lt;&gt;"",I26&lt;MAX(G26:H26)),AND(J26&lt;&gt;"",J26&lt;MAX(G26:I26))),"Avance semanal decreciente"&amp;" · ","")&amp;IF(AND(ISNUMBER(E26),E26&lt;FechaRef,N(K26)&lt;1),"Vencida"&amp;" · ","")&amp;IF(AND(ObsObligatoria="Sí",ISNUMBER(E26),E26&lt;FechaRef,N(K26)&lt;1,M26=""),"Vencida sin observación"&amp;" · ",""))-3)))</f>
        <v/>
      </c>
    </row>
    <row r="27">
      <c r="A27" s="53">
        <f>IF(NOT((COUNTA($B27:$J27)+COUNTA($M27))&gt;0),"",COUNTIF($L$5:$L27,"?*"))</f>
        <v/>
      </c>
      <c r="B27" s="54" t="n"/>
      <c r="C27" s="54" t="n"/>
      <c r="D27" s="55" t="n"/>
      <c r="E27" s="55" t="n"/>
      <c r="F27" s="56" t="n"/>
      <c r="G27" s="57" t="n"/>
      <c r="H27" s="57" t="n"/>
      <c r="I27" s="57" t="n"/>
      <c r="J27" s="57" t="n"/>
      <c r="K27" s="58">
        <f>IF(NOT((COUNTA($B27:$J27)+COUNTA($M27))&gt;0),"",IFERROR(LOOKUP(2,1/(G27:J27&lt;&gt;""),G27:J27),0))</f>
        <v/>
      </c>
      <c r="L27" s="53">
        <f>IF(K27="","",IF(K27&gt;=1,"Completado",IF(K27&gt;0,"En curso","Pendiente")))</f>
        <v/>
      </c>
      <c r="M27" s="54" t="n"/>
      <c r="N27" s="59">
        <f>IF(NOT((COUNTA($B27:$J27)+COUNTA($M27))&gt;0),"",IF((IF(B27="","Macroactividad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 OK","⚠ "&amp;LEFT(IF(B27="","Macroactividad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",""),LEN(IF(B27="","Macroactividad vacía"&amp;" · ","")&amp;IF(C27="","Sin responsable"&amp;" · ","")&amp;IF(D27="","Sin fecha de inicio"&amp;" · ","")&amp;IF(E27="","Sin fecha límite"&amp;" · ","")&amp;IF(OR(AND(D27&lt;&gt;"",NOT(ISNUMBER(D27))),AND(E27&lt;&gt;"",NOT(ISNUMBER(E27)))),"Fecha no válida"&amp;" · ","")&amp;IF(AND(ISNUMBER(D27),ISNUMBER(E27),D27&gt;E27),"Inicio posterior a fecha límite"&amp;" · ","")&amp;IF(F27="","Peso vacío"&amp;" · ","")&amp;IF(AND(F27&lt;&gt;"",OR(NOT(ISNUMBER(F27)),F27&lt;=0,F27&gt;1)),"Peso fuera de rango"&amp;" · ","")&amp;IF(ABS(SUM($F$5:$F$1000)-1)&gt;0.0001,"Pesos del puesto suman "&amp;TEXT(SUM($F$5:$F$1000),"0%")&amp;" · ","")&amp;IF((COUNTIF(G27:J27,"&gt;1")+COUNTIF(G27:J27,"&lt;0")+COUNTA(G27:J27)-COUNT(G27:J27))&gt;0,"Avance fuera de rango 0-100%"&amp;" · ","")&amp;IF(OR(AND(H27&lt;&gt;"",H27&lt;G27),AND(I27&lt;&gt;"",I27&lt;MAX(G27:H27)),AND(J27&lt;&gt;"",J27&lt;MAX(G27:I27))),"Avance semanal decreciente"&amp;" · ","")&amp;IF(AND(ISNUMBER(E27),E27&lt;FechaRef,N(K27)&lt;1),"Vencida"&amp;" · ","")&amp;IF(AND(ObsObligatoria="Sí",ISNUMBER(E27),E27&lt;FechaRef,N(K27)&lt;1,M27=""),"Vencida sin observación"&amp;" · ",""))-3)))</f>
        <v/>
      </c>
    </row>
    <row r="28">
      <c r="A28" s="53">
        <f>IF(NOT((COUNTA($B28:$J28)+COUNTA($M28))&gt;0),"",COUNTIF($L$5:$L28,"?*"))</f>
        <v/>
      </c>
      <c r="B28" s="54" t="n"/>
      <c r="C28" s="54" t="n"/>
      <c r="D28" s="55" t="n"/>
      <c r="E28" s="55" t="n"/>
      <c r="F28" s="56" t="n"/>
      <c r="G28" s="57" t="n"/>
      <c r="H28" s="57" t="n"/>
      <c r="I28" s="57" t="n"/>
      <c r="J28" s="57" t="n"/>
      <c r="K28" s="58">
        <f>IF(NOT((COUNTA($B28:$J28)+COUNTA($M28))&gt;0),"",IFERROR(LOOKUP(2,1/(G28:J28&lt;&gt;""),G28:J28),0))</f>
        <v/>
      </c>
      <c r="L28" s="53">
        <f>IF(K28="","",IF(K28&gt;=1,"Completado",IF(K28&gt;0,"En curso","Pendiente")))</f>
        <v/>
      </c>
      <c r="M28" s="54" t="n"/>
      <c r="N28" s="59">
        <f>IF(NOT((COUNTA($B28:$J28)+COUNTA($M28))&gt;0),"",IF((IF(B28="","Macroactividad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 OK","⚠ "&amp;LEFT(IF(B28="","Macroactividad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",""),LEN(IF(B28="","Macroactividad vacía"&amp;" · ","")&amp;IF(C28="","Sin responsable"&amp;" · ","")&amp;IF(D28="","Sin fecha de inicio"&amp;" · ","")&amp;IF(E28="","Sin fecha límite"&amp;" · ","")&amp;IF(OR(AND(D28&lt;&gt;"",NOT(ISNUMBER(D28))),AND(E28&lt;&gt;"",NOT(ISNUMBER(E28)))),"Fecha no válida"&amp;" · ","")&amp;IF(AND(ISNUMBER(D28),ISNUMBER(E28),D28&gt;E28),"Inicio posterior a fecha límite"&amp;" · ","")&amp;IF(F28="","Peso vacío"&amp;" · ","")&amp;IF(AND(F28&lt;&gt;"",OR(NOT(ISNUMBER(F28)),F28&lt;=0,F28&gt;1)),"Peso fuera de rango"&amp;" · ","")&amp;IF(ABS(SUM($F$5:$F$1000)-1)&gt;0.0001,"Pesos del puesto suman "&amp;TEXT(SUM($F$5:$F$1000),"0%")&amp;" · ","")&amp;IF((COUNTIF(G28:J28,"&gt;1")+COUNTIF(G28:J28,"&lt;0")+COUNTA(G28:J28)-COUNT(G28:J28))&gt;0,"Avance fuera de rango 0-100%"&amp;" · ","")&amp;IF(OR(AND(H28&lt;&gt;"",H28&lt;G28),AND(I28&lt;&gt;"",I28&lt;MAX(G28:H28)),AND(J28&lt;&gt;"",J28&lt;MAX(G28:I28))),"Avance semanal decreciente"&amp;" · ","")&amp;IF(AND(ISNUMBER(E28),E28&lt;FechaRef,N(K28)&lt;1),"Vencida"&amp;" · ","")&amp;IF(AND(ObsObligatoria="Sí",ISNUMBER(E28),E28&lt;FechaRef,N(K28)&lt;1,M28=""),"Vencida sin observación"&amp;" · ",""))-3)))</f>
        <v/>
      </c>
    </row>
    <row r="29">
      <c r="A29" s="53">
        <f>IF(NOT((COUNTA($B29:$J29)+COUNTA($M29))&gt;0),"",COUNTIF($L$5:$L29,"?*"))</f>
        <v/>
      </c>
      <c r="B29" s="54" t="n"/>
      <c r="C29" s="54" t="n"/>
      <c r="D29" s="55" t="n"/>
      <c r="E29" s="55" t="n"/>
      <c r="F29" s="56" t="n"/>
      <c r="G29" s="57" t="n"/>
      <c r="H29" s="57" t="n"/>
      <c r="I29" s="57" t="n"/>
      <c r="J29" s="57" t="n"/>
      <c r="K29" s="58">
        <f>IF(NOT((COUNTA($B29:$J29)+COUNTA($M29))&gt;0),"",IFERROR(LOOKUP(2,1/(G29:J29&lt;&gt;""),G29:J29),0))</f>
        <v/>
      </c>
      <c r="L29" s="53">
        <f>IF(K29="","",IF(K29&gt;=1,"Completado",IF(K29&gt;0,"En curso","Pendiente")))</f>
        <v/>
      </c>
      <c r="M29" s="54" t="n"/>
      <c r="N29" s="59">
        <f>IF(NOT((COUNTA($B29:$J29)+COUNTA($M29))&gt;0),"",IF((IF(B29="","Macroactividad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 OK","⚠ "&amp;LEFT(IF(B29="","Macroactividad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",""),LEN(IF(B29="","Macroactividad vacía"&amp;" · ","")&amp;IF(C29="","Sin responsable"&amp;" · ","")&amp;IF(D29="","Sin fecha de inicio"&amp;" · ","")&amp;IF(E29="","Sin fecha límite"&amp;" · ","")&amp;IF(OR(AND(D29&lt;&gt;"",NOT(ISNUMBER(D29))),AND(E29&lt;&gt;"",NOT(ISNUMBER(E29)))),"Fecha no válida"&amp;" · ","")&amp;IF(AND(ISNUMBER(D29),ISNUMBER(E29),D29&gt;E29),"Inicio posterior a fecha límite"&amp;" · ","")&amp;IF(F29="","Peso vacío"&amp;" · ","")&amp;IF(AND(F29&lt;&gt;"",OR(NOT(ISNUMBER(F29)),F29&lt;=0,F29&gt;1)),"Peso fuera de rango"&amp;" · ","")&amp;IF(ABS(SUM($F$5:$F$1000)-1)&gt;0.0001,"Pesos del puesto suman "&amp;TEXT(SUM($F$5:$F$1000),"0%")&amp;" · ","")&amp;IF((COUNTIF(G29:J29,"&gt;1")+COUNTIF(G29:J29,"&lt;0")+COUNTA(G29:J29)-COUNT(G29:J29))&gt;0,"Avance fuera de rango 0-100%"&amp;" · ","")&amp;IF(OR(AND(H29&lt;&gt;"",H29&lt;G29),AND(I29&lt;&gt;"",I29&lt;MAX(G29:H29)),AND(J29&lt;&gt;"",J29&lt;MAX(G29:I29))),"Avance semanal decreciente"&amp;" · ","")&amp;IF(AND(ISNUMBER(E29),E29&lt;FechaRef,N(K29)&lt;1),"Vencida"&amp;" · ","")&amp;IF(AND(ObsObligatoria="Sí",ISNUMBER(E29),E29&lt;FechaRef,N(K29)&lt;1,M29=""),"Vencida sin observación"&amp;" · ",""))-3)))</f>
        <v/>
      </c>
    </row>
    <row r="30">
      <c r="A30" s="53">
        <f>IF(NOT((COUNTA($B30:$J30)+COUNTA($M30))&gt;0),"",COUNTIF($L$5:$L30,"?*"))</f>
        <v/>
      </c>
      <c r="B30" s="54" t="n"/>
      <c r="C30" s="54" t="n"/>
      <c r="D30" s="55" t="n"/>
      <c r="E30" s="55" t="n"/>
      <c r="F30" s="56" t="n"/>
      <c r="G30" s="57" t="n"/>
      <c r="H30" s="57" t="n"/>
      <c r="I30" s="57" t="n"/>
      <c r="J30" s="57" t="n"/>
      <c r="K30" s="58">
        <f>IF(NOT((COUNTA($B30:$J30)+COUNTA($M30))&gt;0),"",IFERROR(LOOKUP(2,1/(G30:J30&lt;&gt;""),G30:J30),0))</f>
        <v/>
      </c>
      <c r="L30" s="53">
        <f>IF(K30="","",IF(K30&gt;=1,"Completado",IF(K30&gt;0,"En curso","Pendiente")))</f>
        <v/>
      </c>
      <c r="M30" s="54" t="n"/>
      <c r="N30" s="59">
        <f>IF(NOT((COUNTA($B30:$J30)+COUNTA($M30))&gt;0),"",IF((IF(B30="","Macroactividad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 OK","⚠ "&amp;LEFT(IF(B30="","Macroactividad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",""),LEN(IF(B30="","Macroactividad vacía"&amp;" · ","")&amp;IF(C30="","Sin responsable"&amp;" · ","")&amp;IF(D30="","Sin fecha de inicio"&amp;" · ","")&amp;IF(E30="","Sin fecha límite"&amp;" · ","")&amp;IF(OR(AND(D30&lt;&gt;"",NOT(ISNUMBER(D30))),AND(E30&lt;&gt;"",NOT(ISNUMBER(E30)))),"Fecha no válida"&amp;" · ","")&amp;IF(AND(ISNUMBER(D30),ISNUMBER(E30),D30&gt;E30),"Inicio posterior a fecha límite"&amp;" · ","")&amp;IF(F30="","Peso vacío"&amp;" · ","")&amp;IF(AND(F30&lt;&gt;"",OR(NOT(ISNUMBER(F30)),F30&lt;=0,F30&gt;1)),"Peso fuera de rango"&amp;" · ","")&amp;IF(ABS(SUM($F$5:$F$1000)-1)&gt;0.0001,"Pesos del puesto suman "&amp;TEXT(SUM($F$5:$F$1000),"0%")&amp;" · ","")&amp;IF((COUNTIF(G30:J30,"&gt;1")+COUNTIF(G30:J30,"&lt;0")+COUNTA(G30:J30)-COUNT(G30:J30))&gt;0,"Avance fuera de rango 0-100%"&amp;" · ","")&amp;IF(OR(AND(H30&lt;&gt;"",H30&lt;G30),AND(I30&lt;&gt;"",I30&lt;MAX(G30:H30)),AND(J30&lt;&gt;"",J30&lt;MAX(G30:I30))),"Avance semanal decreciente"&amp;" · ","")&amp;IF(AND(ISNUMBER(E30),E30&lt;FechaRef,N(K30)&lt;1),"Vencida"&amp;" · ","")&amp;IF(AND(ObsObligatoria="Sí",ISNUMBER(E30),E30&lt;FechaRef,N(K30)&lt;1,M30=""),"Vencida sin observación"&amp;" · ",""))-3)))</f>
        <v/>
      </c>
    </row>
    <row r="31">
      <c r="A31" s="53">
        <f>IF(NOT((COUNTA($B31:$J31)+COUNTA($M31))&gt;0),"",COUNTIF($L$5:$L31,"?*"))</f>
        <v/>
      </c>
      <c r="B31" s="54" t="n"/>
      <c r="C31" s="54" t="n"/>
      <c r="D31" s="55" t="n"/>
      <c r="E31" s="55" t="n"/>
      <c r="F31" s="56" t="n"/>
      <c r="G31" s="57" t="n"/>
      <c r="H31" s="57" t="n"/>
      <c r="I31" s="57" t="n"/>
      <c r="J31" s="57" t="n"/>
      <c r="K31" s="58">
        <f>IF(NOT((COUNTA($B31:$J31)+COUNTA($M31))&gt;0),"",IFERROR(LOOKUP(2,1/(G31:J31&lt;&gt;""),G31:J31),0))</f>
        <v/>
      </c>
      <c r="L31" s="53">
        <f>IF(K31="","",IF(K31&gt;=1,"Completado",IF(K31&gt;0,"En curso","Pendiente")))</f>
        <v/>
      </c>
      <c r="M31" s="54" t="n"/>
      <c r="N31" s="59">
        <f>IF(NOT((COUNTA($B31:$J31)+COUNTA($M31))&gt;0),"",IF((IF(B31="","Macroactividad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 OK","⚠ "&amp;LEFT(IF(B31="","Macroactividad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",""),LEN(IF(B31="","Macroactividad vacía"&amp;" · ","")&amp;IF(C31="","Sin responsable"&amp;" · ","")&amp;IF(D31="","Sin fecha de inicio"&amp;" · ","")&amp;IF(E31="","Sin fecha límite"&amp;" · ","")&amp;IF(OR(AND(D31&lt;&gt;"",NOT(ISNUMBER(D31))),AND(E31&lt;&gt;"",NOT(ISNUMBER(E31)))),"Fecha no válida"&amp;" · ","")&amp;IF(AND(ISNUMBER(D31),ISNUMBER(E31),D31&gt;E31),"Inicio posterior a fecha límite"&amp;" · ","")&amp;IF(F31="","Peso vacío"&amp;" · ","")&amp;IF(AND(F31&lt;&gt;"",OR(NOT(ISNUMBER(F31)),F31&lt;=0,F31&gt;1)),"Peso fuera de rango"&amp;" · ","")&amp;IF(ABS(SUM($F$5:$F$1000)-1)&gt;0.0001,"Pesos del puesto suman "&amp;TEXT(SUM($F$5:$F$1000),"0%")&amp;" · ","")&amp;IF((COUNTIF(G31:J31,"&gt;1")+COUNTIF(G31:J31,"&lt;0")+COUNTA(G31:J31)-COUNT(G31:J31))&gt;0,"Avance fuera de rango 0-100%"&amp;" · ","")&amp;IF(OR(AND(H31&lt;&gt;"",H31&lt;G31),AND(I31&lt;&gt;"",I31&lt;MAX(G31:H31)),AND(J31&lt;&gt;"",J31&lt;MAX(G31:I31))),"Avance semanal decreciente"&amp;" · ","")&amp;IF(AND(ISNUMBER(E31),E31&lt;FechaRef,N(K31)&lt;1),"Vencida"&amp;" · ","")&amp;IF(AND(ObsObligatoria="Sí",ISNUMBER(E31),E31&lt;FechaRef,N(K31)&lt;1,M31=""),"Vencida sin observación"&amp;" · ",""))-3)))</f>
        <v/>
      </c>
    </row>
    <row r="32">
      <c r="A32" s="53">
        <f>IF(NOT((COUNTA($B32:$J32)+COUNTA($M32))&gt;0),"",COUNTIF($L$5:$L32,"?*"))</f>
        <v/>
      </c>
      <c r="B32" s="54" t="n"/>
      <c r="C32" s="54" t="n"/>
      <c r="D32" s="55" t="n"/>
      <c r="E32" s="55" t="n"/>
      <c r="F32" s="56" t="n"/>
      <c r="G32" s="57" t="n"/>
      <c r="H32" s="57" t="n"/>
      <c r="I32" s="57" t="n"/>
      <c r="J32" s="57" t="n"/>
      <c r="K32" s="58">
        <f>IF(NOT((COUNTA($B32:$J32)+COUNTA($M32))&gt;0),"",IFERROR(LOOKUP(2,1/(G32:J32&lt;&gt;""),G32:J32),0))</f>
        <v/>
      </c>
      <c r="L32" s="53">
        <f>IF(K32="","",IF(K32&gt;=1,"Completado",IF(K32&gt;0,"En curso","Pendiente")))</f>
        <v/>
      </c>
      <c r="M32" s="54" t="n"/>
      <c r="N32" s="59">
        <f>IF(NOT((COUNTA($B32:$J32)+COUNTA($M32))&gt;0),"",IF((IF(B32="","Macroactividad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 OK","⚠ "&amp;LEFT(IF(B32="","Macroactividad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",""),LEN(IF(B32="","Macroactividad vacía"&amp;" · ","")&amp;IF(C32="","Sin responsable"&amp;" · ","")&amp;IF(D32="","Sin fecha de inicio"&amp;" · ","")&amp;IF(E32="","Sin fecha límite"&amp;" · ","")&amp;IF(OR(AND(D32&lt;&gt;"",NOT(ISNUMBER(D32))),AND(E32&lt;&gt;"",NOT(ISNUMBER(E32)))),"Fecha no válida"&amp;" · ","")&amp;IF(AND(ISNUMBER(D32),ISNUMBER(E32),D32&gt;E32),"Inicio posterior a fecha límite"&amp;" · ","")&amp;IF(F32="","Peso vacío"&amp;" · ","")&amp;IF(AND(F32&lt;&gt;"",OR(NOT(ISNUMBER(F32)),F32&lt;=0,F32&gt;1)),"Peso fuera de rango"&amp;" · ","")&amp;IF(ABS(SUM($F$5:$F$1000)-1)&gt;0.0001,"Pesos del puesto suman "&amp;TEXT(SUM($F$5:$F$1000),"0%")&amp;" · ","")&amp;IF((COUNTIF(G32:J32,"&gt;1")+COUNTIF(G32:J32,"&lt;0")+COUNTA(G32:J32)-COUNT(G32:J32))&gt;0,"Avance fuera de rango 0-100%"&amp;" · ","")&amp;IF(OR(AND(H32&lt;&gt;"",H32&lt;G32),AND(I32&lt;&gt;"",I32&lt;MAX(G32:H32)),AND(J32&lt;&gt;"",J32&lt;MAX(G32:I32))),"Avance semanal decreciente"&amp;" · ","")&amp;IF(AND(ISNUMBER(E32),E32&lt;FechaRef,N(K32)&lt;1),"Vencida"&amp;" · ","")&amp;IF(AND(ObsObligatoria="Sí",ISNUMBER(E32),E32&lt;FechaRef,N(K32)&lt;1,M32=""),"Vencida sin observación"&amp;" · ",""))-3)))</f>
        <v/>
      </c>
    </row>
    <row r="33">
      <c r="A33" s="53">
        <f>IF(NOT((COUNTA($B33:$J33)+COUNTA($M33))&gt;0),"",COUNTIF($L$5:$L33,"?*"))</f>
        <v/>
      </c>
      <c r="B33" s="54" t="n"/>
      <c r="C33" s="54" t="n"/>
      <c r="D33" s="55" t="n"/>
      <c r="E33" s="55" t="n"/>
      <c r="F33" s="56" t="n"/>
      <c r="G33" s="57" t="n"/>
      <c r="H33" s="57" t="n"/>
      <c r="I33" s="57" t="n"/>
      <c r="J33" s="57" t="n"/>
      <c r="K33" s="58">
        <f>IF(NOT((COUNTA($B33:$J33)+COUNTA($M33))&gt;0),"",IFERROR(LOOKUP(2,1/(G33:J33&lt;&gt;""),G33:J33),0))</f>
        <v/>
      </c>
      <c r="L33" s="53">
        <f>IF(K33="","",IF(K33&gt;=1,"Completado",IF(K33&gt;0,"En curso","Pendiente")))</f>
        <v/>
      </c>
      <c r="M33" s="54" t="n"/>
      <c r="N33" s="59">
        <f>IF(NOT((COUNTA($B33:$J33)+COUNTA($M33))&gt;0),"",IF((IF(B33="","Macroactividad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 OK","⚠ "&amp;LEFT(IF(B33="","Macroactividad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",""),LEN(IF(B33="","Macroactividad vacía"&amp;" · ","")&amp;IF(C33="","Sin responsable"&amp;" · ","")&amp;IF(D33="","Sin fecha de inicio"&amp;" · ","")&amp;IF(E33="","Sin fecha límite"&amp;" · ","")&amp;IF(OR(AND(D33&lt;&gt;"",NOT(ISNUMBER(D33))),AND(E33&lt;&gt;"",NOT(ISNUMBER(E33)))),"Fecha no válida"&amp;" · ","")&amp;IF(AND(ISNUMBER(D33),ISNUMBER(E33),D33&gt;E33),"Inicio posterior a fecha límite"&amp;" · ","")&amp;IF(F33="","Peso vacío"&amp;" · ","")&amp;IF(AND(F33&lt;&gt;"",OR(NOT(ISNUMBER(F33)),F33&lt;=0,F33&gt;1)),"Peso fuera de rango"&amp;" · ","")&amp;IF(ABS(SUM($F$5:$F$1000)-1)&gt;0.0001,"Pesos del puesto suman "&amp;TEXT(SUM($F$5:$F$1000),"0%")&amp;" · ","")&amp;IF((COUNTIF(G33:J33,"&gt;1")+COUNTIF(G33:J33,"&lt;0")+COUNTA(G33:J33)-COUNT(G33:J33))&gt;0,"Avance fuera de rango 0-100%"&amp;" · ","")&amp;IF(OR(AND(H33&lt;&gt;"",H33&lt;G33),AND(I33&lt;&gt;"",I33&lt;MAX(G33:H33)),AND(J33&lt;&gt;"",J33&lt;MAX(G33:I33))),"Avance semanal decreciente"&amp;" · ","")&amp;IF(AND(ISNUMBER(E33),E33&lt;FechaRef,N(K33)&lt;1),"Vencida"&amp;" · ","")&amp;IF(AND(ObsObligatoria="Sí",ISNUMBER(E33),E33&lt;FechaRef,N(K33)&lt;1,M33=""),"Vencida sin observación"&amp;" · ",""))-3)))</f>
        <v/>
      </c>
    </row>
    <row r="34">
      <c r="A34" s="53">
        <f>IF(NOT((COUNTA($B34:$J34)+COUNTA($M34))&gt;0),"",COUNTIF($L$5:$L34,"?*"))</f>
        <v/>
      </c>
      <c r="B34" s="54" t="n"/>
      <c r="C34" s="54" t="n"/>
      <c r="D34" s="55" t="n"/>
      <c r="E34" s="55" t="n"/>
      <c r="F34" s="56" t="n"/>
      <c r="G34" s="57" t="n"/>
      <c r="H34" s="57" t="n"/>
      <c r="I34" s="57" t="n"/>
      <c r="J34" s="57" t="n"/>
      <c r="K34" s="58">
        <f>IF(NOT((COUNTA($B34:$J34)+COUNTA($M34))&gt;0),"",IFERROR(LOOKUP(2,1/(G34:J34&lt;&gt;""),G34:J34),0))</f>
        <v/>
      </c>
      <c r="L34" s="53">
        <f>IF(K34="","",IF(K34&gt;=1,"Completado",IF(K34&gt;0,"En curso","Pendiente")))</f>
        <v/>
      </c>
      <c r="M34" s="54" t="n"/>
      <c r="N34" s="59">
        <f>IF(NOT((COUNTA($B34:$J34)+COUNTA($M34))&gt;0),"",IF((IF(B34="","Macroactividad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 OK","⚠ "&amp;LEFT(IF(B34="","Macroactividad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",""),LEN(IF(B34="","Macroactividad vacía"&amp;" · ","")&amp;IF(C34="","Sin responsable"&amp;" · ","")&amp;IF(D34="","Sin fecha de inicio"&amp;" · ","")&amp;IF(E34="","Sin fecha límite"&amp;" · ","")&amp;IF(OR(AND(D34&lt;&gt;"",NOT(ISNUMBER(D34))),AND(E34&lt;&gt;"",NOT(ISNUMBER(E34)))),"Fecha no válida"&amp;" · ","")&amp;IF(AND(ISNUMBER(D34),ISNUMBER(E34),D34&gt;E34),"Inicio posterior a fecha límite"&amp;" · ","")&amp;IF(F34="","Peso vacío"&amp;" · ","")&amp;IF(AND(F34&lt;&gt;"",OR(NOT(ISNUMBER(F34)),F34&lt;=0,F34&gt;1)),"Peso fuera de rango"&amp;" · ","")&amp;IF(ABS(SUM($F$5:$F$1000)-1)&gt;0.0001,"Pesos del puesto suman "&amp;TEXT(SUM($F$5:$F$1000),"0%")&amp;" · ","")&amp;IF((COUNTIF(G34:J34,"&gt;1")+COUNTIF(G34:J34,"&lt;0")+COUNTA(G34:J34)-COUNT(G34:J34))&gt;0,"Avance fuera de rango 0-100%"&amp;" · ","")&amp;IF(OR(AND(H34&lt;&gt;"",H34&lt;G34),AND(I34&lt;&gt;"",I34&lt;MAX(G34:H34)),AND(J34&lt;&gt;"",J34&lt;MAX(G34:I34))),"Avance semanal decreciente"&amp;" · ","")&amp;IF(AND(ISNUMBER(E34),E34&lt;FechaRef,N(K34)&lt;1),"Vencida"&amp;" · ","")&amp;IF(AND(ObsObligatoria="Sí",ISNUMBER(E34),E34&lt;FechaRef,N(K34)&lt;1,M34=""),"Vencida sin observación"&amp;" · ",""))-3)))</f>
        <v/>
      </c>
    </row>
    <row r="35">
      <c r="A35" s="53">
        <f>IF(NOT((COUNTA($B35:$J35)+COUNTA($M35))&gt;0),"",COUNTIF($L$5:$L35,"?*"))</f>
        <v/>
      </c>
      <c r="B35" s="54" t="n"/>
      <c r="C35" s="54" t="n"/>
      <c r="D35" s="55" t="n"/>
      <c r="E35" s="55" t="n"/>
      <c r="F35" s="56" t="n"/>
      <c r="G35" s="57" t="n"/>
      <c r="H35" s="57" t="n"/>
      <c r="I35" s="57" t="n"/>
      <c r="J35" s="57" t="n"/>
      <c r="K35" s="58">
        <f>IF(NOT((COUNTA($B35:$J35)+COUNTA($M35))&gt;0),"",IFERROR(LOOKUP(2,1/(G35:J35&lt;&gt;""),G35:J35),0))</f>
        <v/>
      </c>
      <c r="L35" s="53">
        <f>IF(K35="","",IF(K35&gt;=1,"Completado",IF(K35&gt;0,"En curso","Pendiente")))</f>
        <v/>
      </c>
      <c r="M35" s="54" t="n"/>
      <c r="N35" s="59">
        <f>IF(NOT((COUNTA($B35:$J35)+COUNTA($M35))&gt;0),"",IF((IF(B35="","Macroactividad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 OK","⚠ "&amp;LEFT(IF(B35="","Macroactividad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",""),LEN(IF(B35="","Macroactividad vacía"&amp;" · ","")&amp;IF(C35="","Sin responsable"&amp;" · ","")&amp;IF(D35="","Sin fecha de inicio"&amp;" · ","")&amp;IF(E35="","Sin fecha límite"&amp;" · ","")&amp;IF(OR(AND(D35&lt;&gt;"",NOT(ISNUMBER(D35))),AND(E35&lt;&gt;"",NOT(ISNUMBER(E35)))),"Fecha no válida"&amp;" · ","")&amp;IF(AND(ISNUMBER(D35),ISNUMBER(E35),D35&gt;E35),"Inicio posterior a fecha límite"&amp;" · ","")&amp;IF(F35="","Peso vacío"&amp;" · ","")&amp;IF(AND(F35&lt;&gt;"",OR(NOT(ISNUMBER(F35)),F35&lt;=0,F35&gt;1)),"Peso fuera de rango"&amp;" · ","")&amp;IF(ABS(SUM($F$5:$F$1000)-1)&gt;0.0001,"Pesos del puesto suman "&amp;TEXT(SUM($F$5:$F$1000),"0%")&amp;" · ","")&amp;IF((COUNTIF(G35:J35,"&gt;1")+COUNTIF(G35:J35,"&lt;0")+COUNTA(G35:J35)-COUNT(G35:J35))&gt;0,"Avance fuera de rango 0-100%"&amp;" · ","")&amp;IF(OR(AND(H35&lt;&gt;"",H35&lt;G35),AND(I35&lt;&gt;"",I35&lt;MAX(G35:H35)),AND(J35&lt;&gt;"",J35&lt;MAX(G35:I35))),"Avance semanal decreciente"&amp;" · ","")&amp;IF(AND(ISNUMBER(E35),E35&lt;FechaRef,N(K35)&lt;1),"Vencida"&amp;" · ","")&amp;IF(AND(ObsObligatoria="Sí",ISNUMBER(E35),E35&lt;FechaRef,N(K35)&lt;1,M35=""),"Vencida sin observación"&amp;" · ",""))-3)))</f>
        <v/>
      </c>
    </row>
    <row r="36">
      <c r="A36" s="53">
        <f>IF(NOT((COUNTA($B36:$J36)+COUNTA($M36))&gt;0),"",COUNTIF($L$5:$L36,"?*"))</f>
        <v/>
      </c>
      <c r="B36" s="54" t="n"/>
      <c r="C36" s="54" t="n"/>
      <c r="D36" s="55" t="n"/>
      <c r="E36" s="55" t="n"/>
      <c r="F36" s="56" t="n"/>
      <c r="G36" s="57" t="n"/>
      <c r="H36" s="57" t="n"/>
      <c r="I36" s="57" t="n"/>
      <c r="J36" s="57" t="n"/>
      <c r="K36" s="58">
        <f>IF(NOT((COUNTA($B36:$J36)+COUNTA($M36))&gt;0),"",IFERROR(LOOKUP(2,1/(G36:J36&lt;&gt;""),G36:J36),0))</f>
        <v/>
      </c>
      <c r="L36" s="53">
        <f>IF(K36="","",IF(K36&gt;=1,"Completado",IF(K36&gt;0,"En curso","Pendiente")))</f>
        <v/>
      </c>
      <c r="M36" s="54" t="n"/>
      <c r="N36" s="59">
        <f>IF(NOT((COUNTA($B36:$J36)+COUNTA($M36))&gt;0),"",IF((IF(B36="","Macroactividad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 OK","⚠ "&amp;LEFT(IF(B36="","Macroactividad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",""),LEN(IF(B36="","Macroactividad vacía"&amp;" · ","")&amp;IF(C36="","Sin responsable"&amp;" · ","")&amp;IF(D36="","Sin fecha de inicio"&amp;" · ","")&amp;IF(E36="","Sin fecha límite"&amp;" · ","")&amp;IF(OR(AND(D36&lt;&gt;"",NOT(ISNUMBER(D36))),AND(E36&lt;&gt;"",NOT(ISNUMBER(E36)))),"Fecha no válida"&amp;" · ","")&amp;IF(AND(ISNUMBER(D36),ISNUMBER(E36),D36&gt;E36),"Inicio posterior a fecha límite"&amp;" · ","")&amp;IF(F36="","Peso vacío"&amp;" · ","")&amp;IF(AND(F36&lt;&gt;"",OR(NOT(ISNUMBER(F36)),F36&lt;=0,F36&gt;1)),"Peso fuera de rango"&amp;" · ","")&amp;IF(ABS(SUM($F$5:$F$1000)-1)&gt;0.0001,"Pesos del puesto suman "&amp;TEXT(SUM($F$5:$F$1000),"0%")&amp;" · ","")&amp;IF((COUNTIF(G36:J36,"&gt;1")+COUNTIF(G36:J36,"&lt;0")+COUNTA(G36:J36)-COUNT(G36:J36))&gt;0,"Avance fuera de rango 0-100%"&amp;" · ","")&amp;IF(OR(AND(H36&lt;&gt;"",H36&lt;G36),AND(I36&lt;&gt;"",I36&lt;MAX(G36:H36)),AND(J36&lt;&gt;"",J36&lt;MAX(G36:I36))),"Avance semanal decreciente"&amp;" · ","")&amp;IF(AND(ISNUMBER(E36),E36&lt;FechaRef,N(K36)&lt;1),"Vencida"&amp;" · ","")&amp;IF(AND(ObsObligatoria="Sí",ISNUMBER(E36),E36&lt;FechaRef,N(K36)&lt;1,M36=""),"Vencida sin observación"&amp;" · ",""))-3)))</f>
        <v/>
      </c>
    </row>
    <row r="37">
      <c r="A37" s="53">
        <f>IF(NOT((COUNTA($B37:$J37)+COUNTA($M37))&gt;0),"",COUNTIF($L$5:$L37,"?*"))</f>
        <v/>
      </c>
      <c r="B37" s="54" t="n"/>
      <c r="C37" s="54" t="n"/>
      <c r="D37" s="55" t="n"/>
      <c r="E37" s="55" t="n"/>
      <c r="F37" s="56" t="n"/>
      <c r="G37" s="57" t="n"/>
      <c r="H37" s="57" t="n"/>
      <c r="I37" s="57" t="n"/>
      <c r="J37" s="57" t="n"/>
      <c r="K37" s="58">
        <f>IF(NOT((COUNTA($B37:$J37)+COUNTA($M37))&gt;0),"",IFERROR(LOOKUP(2,1/(G37:J37&lt;&gt;""),G37:J37),0))</f>
        <v/>
      </c>
      <c r="L37" s="53">
        <f>IF(K37="","",IF(K37&gt;=1,"Completado",IF(K37&gt;0,"En curso","Pendiente")))</f>
        <v/>
      </c>
      <c r="M37" s="54" t="n"/>
      <c r="N37" s="59">
        <f>IF(NOT((COUNTA($B37:$J37)+COUNTA($M37))&gt;0),"",IF((IF(B37="","Macroactividad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 OK","⚠ "&amp;LEFT(IF(B37="","Macroactividad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",""),LEN(IF(B37="","Macroactividad vacía"&amp;" · ","")&amp;IF(C37="","Sin responsable"&amp;" · ","")&amp;IF(D37="","Sin fecha de inicio"&amp;" · ","")&amp;IF(E37="","Sin fecha límite"&amp;" · ","")&amp;IF(OR(AND(D37&lt;&gt;"",NOT(ISNUMBER(D37))),AND(E37&lt;&gt;"",NOT(ISNUMBER(E37)))),"Fecha no válida"&amp;" · ","")&amp;IF(AND(ISNUMBER(D37),ISNUMBER(E37),D37&gt;E37),"Inicio posterior a fecha límite"&amp;" · ","")&amp;IF(F37="","Peso vacío"&amp;" · ","")&amp;IF(AND(F37&lt;&gt;"",OR(NOT(ISNUMBER(F37)),F37&lt;=0,F37&gt;1)),"Peso fuera de rango"&amp;" · ","")&amp;IF(ABS(SUM($F$5:$F$1000)-1)&gt;0.0001,"Pesos del puesto suman "&amp;TEXT(SUM($F$5:$F$1000),"0%")&amp;" · ","")&amp;IF((COUNTIF(G37:J37,"&gt;1")+COUNTIF(G37:J37,"&lt;0")+COUNTA(G37:J37)-COUNT(G37:J37))&gt;0,"Avance fuera de rango 0-100%"&amp;" · ","")&amp;IF(OR(AND(H37&lt;&gt;"",H37&lt;G37),AND(I37&lt;&gt;"",I37&lt;MAX(G37:H37)),AND(J37&lt;&gt;"",J37&lt;MAX(G37:I37))),"Avance semanal decreciente"&amp;" · ","")&amp;IF(AND(ISNUMBER(E37),E37&lt;FechaRef,N(K37)&lt;1),"Vencida"&amp;" · ","")&amp;IF(AND(ObsObligatoria="Sí",ISNUMBER(E37),E37&lt;FechaRef,N(K37)&lt;1,M37=""),"Vencida sin observación"&amp;" · ",""))-3)))</f>
        <v/>
      </c>
    </row>
    <row r="38">
      <c r="A38" s="53">
        <f>IF(NOT((COUNTA($B38:$J38)+COUNTA($M38))&gt;0),"",COUNTIF($L$5:$L38,"?*"))</f>
        <v/>
      </c>
      <c r="B38" s="54" t="n"/>
      <c r="C38" s="54" t="n"/>
      <c r="D38" s="55" t="n"/>
      <c r="E38" s="55" t="n"/>
      <c r="F38" s="56" t="n"/>
      <c r="G38" s="57" t="n"/>
      <c r="H38" s="57" t="n"/>
      <c r="I38" s="57" t="n"/>
      <c r="J38" s="57" t="n"/>
      <c r="K38" s="58">
        <f>IF(NOT((COUNTA($B38:$J38)+COUNTA($M38))&gt;0),"",IFERROR(LOOKUP(2,1/(G38:J38&lt;&gt;""),G38:J38),0))</f>
        <v/>
      </c>
      <c r="L38" s="53">
        <f>IF(K38="","",IF(K38&gt;=1,"Completado",IF(K38&gt;0,"En curso","Pendiente")))</f>
        <v/>
      </c>
      <c r="M38" s="54" t="n"/>
      <c r="N38" s="59">
        <f>IF(NOT((COUNTA($B38:$J38)+COUNTA($M38))&gt;0),"",IF((IF(B38="","Macroactividad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 OK","⚠ "&amp;LEFT(IF(B38="","Macroactividad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",""),LEN(IF(B38="","Macroactividad vacía"&amp;" · ","")&amp;IF(C38="","Sin responsable"&amp;" · ","")&amp;IF(D38="","Sin fecha de inicio"&amp;" · ","")&amp;IF(E38="","Sin fecha límite"&amp;" · ","")&amp;IF(OR(AND(D38&lt;&gt;"",NOT(ISNUMBER(D38))),AND(E38&lt;&gt;"",NOT(ISNUMBER(E38)))),"Fecha no válida"&amp;" · ","")&amp;IF(AND(ISNUMBER(D38),ISNUMBER(E38),D38&gt;E38),"Inicio posterior a fecha límite"&amp;" · ","")&amp;IF(F38="","Peso vacío"&amp;" · ","")&amp;IF(AND(F38&lt;&gt;"",OR(NOT(ISNUMBER(F38)),F38&lt;=0,F38&gt;1)),"Peso fuera de rango"&amp;" · ","")&amp;IF(ABS(SUM($F$5:$F$1000)-1)&gt;0.0001,"Pesos del puesto suman "&amp;TEXT(SUM($F$5:$F$1000),"0%")&amp;" · ","")&amp;IF((COUNTIF(G38:J38,"&gt;1")+COUNTIF(G38:J38,"&lt;0")+COUNTA(G38:J38)-COUNT(G38:J38))&gt;0,"Avance fuera de rango 0-100%"&amp;" · ","")&amp;IF(OR(AND(H38&lt;&gt;"",H38&lt;G38),AND(I38&lt;&gt;"",I38&lt;MAX(G38:H38)),AND(J38&lt;&gt;"",J38&lt;MAX(G38:I38))),"Avance semanal decreciente"&amp;" · ","")&amp;IF(AND(ISNUMBER(E38),E38&lt;FechaRef,N(K38)&lt;1),"Vencida"&amp;" · ","")&amp;IF(AND(ObsObligatoria="Sí",ISNUMBER(E38),E38&lt;FechaRef,N(K38)&lt;1,M38=""),"Vencida sin observación"&amp;" · ",""))-3)))</f>
        <v/>
      </c>
    </row>
    <row r="39">
      <c r="A39" s="53">
        <f>IF(NOT((COUNTA($B39:$J39)+COUNTA($M39))&gt;0),"",COUNTIF($L$5:$L39,"?*"))</f>
        <v/>
      </c>
      <c r="B39" s="54" t="n"/>
      <c r="C39" s="54" t="n"/>
      <c r="D39" s="55" t="n"/>
      <c r="E39" s="55" t="n"/>
      <c r="F39" s="56" t="n"/>
      <c r="G39" s="57" t="n"/>
      <c r="H39" s="57" t="n"/>
      <c r="I39" s="57" t="n"/>
      <c r="J39" s="57" t="n"/>
      <c r="K39" s="58">
        <f>IF(NOT((COUNTA($B39:$J39)+COUNTA($M39))&gt;0),"",IFERROR(LOOKUP(2,1/(G39:J39&lt;&gt;""),G39:J39),0))</f>
        <v/>
      </c>
      <c r="L39" s="53">
        <f>IF(K39="","",IF(K39&gt;=1,"Completado",IF(K39&gt;0,"En curso","Pendiente")))</f>
        <v/>
      </c>
      <c r="M39" s="54" t="n"/>
      <c r="N39" s="59">
        <f>IF(NOT((COUNTA($B39:$J39)+COUNTA($M39))&gt;0),"",IF((IF(B39="","Macroactividad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 OK","⚠ "&amp;LEFT(IF(B39="","Macroactividad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",""),LEN(IF(B39="","Macroactividad vacía"&amp;" · ","")&amp;IF(C39="","Sin responsable"&amp;" · ","")&amp;IF(D39="","Sin fecha de inicio"&amp;" · ","")&amp;IF(E39="","Sin fecha límite"&amp;" · ","")&amp;IF(OR(AND(D39&lt;&gt;"",NOT(ISNUMBER(D39))),AND(E39&lt;&gt;"",NOT(ISNUMBER(E39)))),"Fecha no válida"&amp;" · ","")&amp;IF(AND(ISNUMBER(D39),ISNUMBER(E39),D39&gt;E39),"Inicio posterior a fecha límite"&amp;" · ","")&amp;IF(F39="","Peso vacío"&amp;" · ","")&amp;IF(AND(F39&lt;&gt;"",OR(NOT(ISNUMBER(F39)),F39&lt;=0,F39&gt;1)),"Peso fuera de rango"&amp;" · ","")&amp;IF(ABS(SUM($F$5:$F$1000)-1)&gt;0.0001,"Pesos del puesto suman "&amp;TEXT(SUM($F$5:$F$1000),"0%")&amp;" · ","")&amp;IF((COUNTIF(G39:J39,"&gt;1")+COUNTIF(G39:J39,"&lt;0")+COUNTA(G39:J39)-COUNT(G39:J39))&gt;0,"Avance fuera de rango 0-100%"&amp;" · ","")&amp;IF(OR(AND(H39&lt;&gt;"",H39&lt;G39),AND(I39&lt;&gt;"",I39&lt;MAX(G39:H39)),AND(J39&lt;&gt;"",J39&lt;MAX(G39:I39))),"Avance semanal decreciente"&amp;" · ","")&amp;IF(AND(ISNUMBER(E39),E39&lt;FechaRef,N(K39)&lt;1),"Vencida"&amp;" · ","")&amp;IF(AND(ObsObligatoria="Sí",ISNUMBER(E39),E39&lt;FechaRef,N(K39)&lt;1,M39=""),"Vencida sin observación"&amp;" · ",""))-3)))</f>
        <v/>
      </c>
    </row>
    <row r="40">
      <c r="A40" s="53">
        <f>IF(NOT((COUNTA($B40:$J40)+COUNTA($M40))&gt;0),"",COUNTIF($L$5:$L40,"?*"))</f>
        <v/>
      </c>
      <c r="B40" s="54" t="n"/>
      <c r="C40" s="54" t="n"/>
      <c r="D40" s="55" t="n"/>
      <c r="E40" s="55" t="n"/>
      <c r="F40" s="56" t="n"/>
      <c r="G40" s="57" t="n"/>
      <c r="H40" s="57" t="n"/>
      <c r="I40" s="57" t="n"/>
      <c r="J40" s="57" t="n"/>
      <c r="K40" s="58">
        <f>IF(NOT((COUNTA($B40:$J40)+COUNTA($M40))&gt;0),"",IFERROR(LOOKUP(2,1/(G40:J40&lt;&gt;""),G40:J40),0))</f>
        <v/>
      </c>
      <c r="L40" s="53">
        <f>IF(K40="","",IF(K40&gt;=1,"Completado",IF(K40&gt;0,"En curso","Pendiente")))</f>
        <v/>
      </c>
      <c r="M40" s="54" t="n"/>
      <c r="N40" s="59">
        <f>IF(NOT((COUNTA($B40:$J40)+COUNTA($M40))&gt;0),"",IF((IF(B40="","Macroactividad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 OK","⚠ "&amp;LEFT(IF(B40="","Macroactividad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",""),LEN(IF(B40="","Macroactividad vacía"&amp;" · ","")&amp;IF(C40="","Sin responsable"&amp;" · ","")&amp;IF(D40="","Sin fecha de inicio"&amp;" · ","")&amp;IF(E40="","Sin fecha límite"&amp;" · ","")&amp;IF(OR(AND(D40&lt;&gt;"",NOT(ISNUMBER(D40))),AND(E40&lt;&gt;"",NOT(ISNUMBER(E40)))),"Fecha no válida"&amp;" · ","")&amp;IF(AND(ISNUMBER(D40),ISNUMBER(E40),D40&gt;E40),"Inicio posterior a fecha límite"&amp;" · ","")&amp;IF(F40="","Peso vacío"&amp;" · ","")&amp;IF(AND(F40&lt;&gt;"",OR(NOT(ISNUMBER(F40)),F40&lt;=0,F40&gt;1)),"Peso fuera de rango"&amp;" · ","")&amp;IF(ABS(SUM($F$5:$F$1000)-1)&gt;0.0001,"Pesos del puesto suman "&amp;TEXT(SUM($F$5:$F$1000),"0%")&amp;" · ","")&amp;IF((COUNTIF(G40:J40,"&gt;1")+COUNTIF(G40:J40,"&lt;0")+COUNTA(G40:J40)-COUNT(G40:J40))&gt;0,"Avance fuera de rango 0-100%"&amp;" · ","")&amp;IF(OR(AND(H40&lt;&gt;"",H40&lt;G40),AND(I40&lt;&gt;"",I40&lt;MAX(G40:H40)),AND(J40&lt;&gt;"",J40&lt;MAX(G40:I40))),"Avance semanal decreciente"&amp;" · ","")&amp;IF(AND(ISNUMBER(E40),E40&lt;FechaRef,N(K40)&lt;1),"Vencida"&amp;" · ","")&amp;IF(AND(ObsObligatoria="Sí",ISNUMBER(E40),E40&lt;FechaRef,N(K40)&lt;1,M40=""),"Vencida sin observación"&amp;" · ",""))-3)))</f>
        <v/>
      </c>
    </row>
    <row r="41">
      <c r="A41" s="53">
        <f>IF(NOT((COUNTA($B41:$J41)+COUNTA($M41))&gt;0),"",COUNTIF($L$5:$L41,"?*"))</f>
        <v/>
      </c>
      <c r="B41" s="54" t="n"/>
      <c r="C41" s="54" t="n"/>
      <c r="D41" s="55" t="n"/>
      <c r="E41" s="55" t="n"/>
      <c r="F41" s="56" t="n"/>
      <c r="G41" s="57" t="n"/>
      <c r="H41" s="57" t="n"/>
      <c r="I41" s="57" t="n"/>
      <c r="J41" s="57" t="n"/>
      <c r="K41" s="58">
        <f>IF(NOT((COUNTA($B41:$J41)+COUNTA($M41))&gt;0),"",IFERROR(LOOKUP(2,1/(G41:J41&lt;&gt;""),G41:J41),0))</f>
        <v/>
      </c>
      <c r="L41" s="53">
        <f>IF(K41="","",IF(K41&gt;=1,"Completado",IF(K41&gt;0,"En curso","Pendiente")))</f>
        <v/>
      </c>
      <c r="M41" s="54" t="n"/>
      <c r="N41" s="59">
        <f>IF(NOT((COUNTA($B41:$J41)+COUNTA($M41))&gt;0),"",IF((IF(B41="","Macroactividad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 OK","⚠ "&amp;LEFT(IF(B41="","Macroactividad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",""),LEN(IF(B41="","Macroactividad vacía"&amp;" · ","")&amp;IF(C41="","Sin responsable"&amp;" · ","")&amp;IF(D41="","Sin fecha de inicio"&amp;" · ","")&amp;IF(E41="","Sin fecha límite"&amp;" · ","")&amp;IF(OR(AND(D41&lt;&gt;"",NOT(ISNUMBER(D41))),AND(E41&lt;&gt;"",NOT(ISNUMBER(E41)))),"Fecha no válida"&amp;" · ","")&amp;IF(AND(ISNUMBER(D41),ISNUMBER(E41),D41&gt;E41),"Inicio posterior a fecha límite"&amp;" · ","")&amp;IF(F41="","Peso vacío"&amp;" · ","")&amp;IF(AND(F41&lt;&gt;"",OR(NOT(ISNUMBER(F41)),F41&lt;=0,F41&gt;1)),"Peso fuera de rango"&amp;" · ","")&amp;IF(ABS(SUM($F$5:$F$1000)-1)&gt;0.0001,"Pesos del puesto suman "&amp;TEXT(SUM($F$5:$F$1000),"0%")&amp;" · ","")&amp;IF((COUNTIF(G41:J41,"&gt;1")+COUNTIF(G41:J41,"&lt;0")+COUNTA(G41:J41)-COUNT(G41:J41))&gt;0,"Avance fuera de rango 0-100%"&amp;" · ","")&amp;IF(OR(AND(H41&lt;&gt;"",H41&lt;G41),AND(I41&lt;&gt;"",I41&lt;MAX(G41:H41)),AND(J41&lt;&gt;"",J41&lt;MAX(G41:I41))),"Avance semanal decreciente"&amp;" · ","")&amp;IF(AND(ISNUMBER(E41),E41&lt;FechaRef,N(K41)&lt;1),"Vencida"&amp;" · ","")&amp;IF(AND(ObsObligatoria="Sí",ISNUMBER(E41),E41&lt;FechaRef,N(K41)&lt;1,M41=""),"Vencida sin observación"&amp;" · ",""))-3)))</f>
        <v/>
      </c>
    </row>
    <row r="42">
      <c r="A42" s="53">
        <f>IF(NOT((COUNTA($B42:$J42)+COUNTA($M42))&gt;0),"",COUNTIF($L$5:$L42,"?*"))</f>
        <v/>
      </c>
      <c r="B42" s="54" t="n"/>
      <c r="C42" s="54" t="n"/>
      <c r="D42" s="55" t="n"/>
      <c r="E42" s="55" t="n"/>
      <c r="F42" s="56" t="n"/>
      <c r="G42" s="57" t="n"/>
      <c r="H42" s="57" t="n"/>
      <c r="I42" s="57" t="n"/>
      <c r="J42" s="57" t="n"/>
      <c r="K42" s="58">
        <f>IF(NOT((COUNTA($B42:$J42)+COUNTA($M42))&gt;0),"",IFERROR(LOOKUP(2,1/(G42:J42&lt;&gt;""),G42:J42),0))</f>
        <v/>
      </c>
      <c r="L42" s="53">
        <f>IF(K42="","",IF(K42&gt;=1,"Completado",IF(K42&gt;0,"En curso","Pendiente")))</f>
        <v/>
      </c>
      <c r="M42" s="54" t="n"/>
      <c r="N42" s="59">
        <f>IF(NOT((COUNTA($B42:$J42)+COUNTA($M42))&gt;0),"",IF((IF(B42="","Macroactividad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 OK","⚠ "&amp;LEFT(IF(B42="","Macroactividad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",""),LEN(IF(B42="","Macroactividad vacía"&amp;" · ","")&amp;IF(C42="","Sin responsable"&amp;" · ","")&amp;IF(D42="","Sin fecha de inicio"&amp;" · ","")&amp;IF(E42="","Sin fecha límite"&amp;" · ","")&amp;IF(OR(AND(D42&lt;&gt;"",NOT(ISNUMBER(D42))),AND(E42&lt;&gt;"",NOT(ISNUMBER(E42)))),"Fecha no válida"&amp;" · ","")&amp;IF(AND(ISNUMBER(D42),ISNUMBER(E42),D42&gt;E42),"Inicio posterior a fecha límite"&amp;" · ","")&amp;IF(F42="","Peso vacío"&amp;" · ","")&amp;IF(AND(F42&lt;&gt;"",OR(NOT(ISNUMBER(F42)),F42&lt;=0,F42&gt;1)),"Peso fuera de rango"&amp;" · ","")&amp;IF(ABS(SUM($F$5:$F$1000)-1)&gt;0.0001,"Pesos del puesto suman "&amp;TEXT(SUM($F$5:$F$1000),"0%")&amp;" · ","")&amp;IF((COUNTIF(G42:J42,"&gt;1")+COUNTIF(G42:J42,"&lt;0")+COUNTA(G42:J42)-COUNT(G42:J42))&gt;0,"Avance fuera de rango 0-100%"&amp;" · ","")&amp;IF(OR(AND(H42&lt;&gt;"",H42&lt;G42),AND(I42&lt;&gt;"",I42&lt;MAX(G42:H42)),AND(J42&lt;&gt;"",J42&lt;MAX(G42:I42))),"Avance semanal decreciente"&amp;" · ","")&amp;IF(AND(ISNUMBER(E42),E42&lt;FechaRef,N(K42)&lt;1),"Vencida"&amp;" · ","")&amp;IF(AND(ObsObligatoria="Sí",ISNUMBER(E42),E42&lt;FechaRef,N(K42)&lt;1,M42=""),"Vencida sin observación"&amp;" · ",""))-3)))</f>
        <v/>
      </c>
    </row>
    <row r="43">
      <c r="A43" s="53">
        <f>IF(NOT((COUNTA($B43:$J43)+COUNTA($M43))&gt;0),"",COUNTIF($L$5:$L43,"?*"))</f>
        <v/>
      </c>
      <c r="B43" s="54" t="n"/>
      <c r="C43" s="54" t="n"/>
      <c r="D43" s="55" t="n"/>
      <c r="E43" s="55" t="n"/>
      <c r="F43" s="56" t="n"/>
      <c r="G43" s="57" t="n"/>
      <c r="H43" s="57" t="n"/>
      <c r="I43" s="57" t="n"/>
      <c r="J43" s="57" t="n"/>
      <c r="K43" s="58">
        <f>IF(NOT((COUNTA($B43:$J43)+COUNTA($M43))&gt;0),"",IFERROR(LOOKUP(2,1/(G43:J43&lt;&gt;""),G43:J43),0))</f>
        <v/>
      </c>
      <c r="L43" s="53">
        <f>IF(K43="","",IF(K43&gt;=1,"Completado",IF(K43&gt;0,"En curso","Pendiente")))</f>
        <v/>
      </c>
      <c r="M43" s="54" t="n"/>
      <c r="N43" s="59">
        <f>IF(NOT((COUNTA($B43:$J43)+COUNTA($M43))&gt;0),"",IF((IF(B43="","Macroactividad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 OK","⚠ "&amp;LEFT(IF(B43="","Macroactividad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",""),LEN(IF(B43="","Macroactividad vacía"&amp;" · ","")&amp;IF(C43="","Sin responsable"&amp;" · ","")&amp;IF(D43="","Sin fecha de inicio"&amp;" · ","")&amp;IF(E43="","Sin fecha límite"&amp;" · ","")&amp;IF(OR(AND(D43&lt;&gt;"",NOT(ISNUMBER(D43))),AND(E43&lt;&gt;"",NOT(ISNUMBER(E43)))),"Fecha no válida"&amp;" · ","")&amp;IF(AND(ISNUMBER(D43),ISNUMBER(E43),D43&gt;E43),"Inicio posterior a fecha límite"&amp;" · ","")&amp;IF(F43="","Peso vacío"&amp;" · ","")&amp;IF(AND(F43&lt;&gt;"",OR(NOT(ISNUMBER(F43)),F43&lt;=0,F43&gt;1)),"Peso fuera de rango"&amp;" · ","")&amp;IF(ABS(SUM($F$5:$F$1000)-1)&gt;0.0001,"Pesos del puesto suman "&amp;TEXT(SUM($F$5:$F$1000),"0%")&amp;" · ","")&amp;IF((COUNTIF(G43:J43,"&gt;1")+COUNTIF(G43:J43,"&lt;0")+COUNTA(G43:J43)-COUNT(G43:J43))&gt;0,"Avance fuera de rango 0-100%"&amp;" · ","")&amp;IF(OR(AND(H43&lt;&gt;"",H43&lt;G43),AND(I43&lt;&gt;"",I43&lt;MAX(G43:H43)),AND(J43&lt;&gt;"",J43&lt;MAX(G43:I43))),"Avance semanal decreciente"&amp;" · ","")&amp;IF(AND(ISNUMBER(E43),E43&lt;FechaRef,N(K43)&lt;1),"Vencida"&amp;" · ","")&amp;IF(AND(ObsObligatoria="Sí",ISNUMBER(E43),E43&lt;FechaRef,N(K43)&lt;1,M43=""),"Vencida sin observación"&amp;" · ",""))-3)))</f>
        <v/>
      </c>
    </row>
    <row r="44">
      <c r="A44" s="53">
        <f>IF(NOT((COUNTA($B44:$J44)+COUNTA($M44))&gt;0),"",COUNTIF($L$5:$L44,"?*"))</f>
        <v/>
      </c>
      <c r="B44" s="54" t="n"/>
      <c r="C44" s="54" t="n"/>
      <c r="D44" s="55" t="n"/>
      <c r="E44" s="55" t="n"/>
      <c r="F44" s="56" t="n"/>
      <c r="G44" s="57" t="n"/>
      <c r="H44" s="57" t="n"/>
      <c r="I44" s="57" t="n"/>
      <c r="J44" s="57" t="n"/>
      <c r="K44" s="58">
        <f>IF(NOT((COUNTA($B44:$J44)+COUNTA($M44))&gt;0),"",IFERROR(LOOKUP(2,1/(G44:J44&lt;&gt;""),G44:J44),0))</f>
        <v/>
      </c>
      <c r="L44" s="53">
        <f>IF(K44="","",IF(K44&gt;=1,"Completado",IF(K44&gt;0,"En curso","Pendiente")))</f>
        <v/>
      </c>
      <c r="M44" s="54" t="n"/>
      <c r="N44" s="59">
        <f>IF(NOT((COUNTA($B44:$J44)+COUNTA($M44))&gt;0),"",IF((IF(B44="","Macroactividad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 OK","⚠ "&amp;LEFT(IF(B44="","Macroactividad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",""),LEN(IF(B44="","Macroactividad vacía"&amp;" · ","")&amp;IF(C44="","Sin responsable"&amp;" · ","")&amp;IF(D44="","Sin fecha de inicio"&amp;" · ","")&amp;IF(E44="","Sin fecha límite"&amp;" · ","")&amp;IF(OR(AND(D44&lt;&gt;"",NOT(ISNUMBER(D44))),AND(E44&lt;&gt;"",NOT(ISNUMBER(E44)))),"Fecha no válida"&amp;" · ","")&amp;IF(AND(ISNUMBER(D44),ISNUMBER(E44),D44&gt;E44),"Inicio posterior a fecha límite"&amp;" · ","")&amp;IF(F44="","Peso vacío"&amp;" · ","")&amp;IF(AND(F44&lt;&gt;"",OR(NOT(ISNUMBER(F44)),F44&lt;=0,F44&gt;1)),"Peso fuera de rango"&amp;" · ","")&amp;IF(ABS(SUM($F$5:$F$1000)-1)&gt;0.0001,"Pesos del puesto suman "&amp;TEXT(SUM($F$5:$F$1000),"0%")&amp;" · ","")&amp;IF((COUNTIF(G44:J44,"&gt;1")+COUNTIF(G44:J44,"&lt;0")+COUNTA(G44:J44)-COUNT(G44:J44))&gt;0,"Avance fuera de rango 0-100%"&amp;" · ","")&amp;IF(OR(AND(H44&lt;&gt;"",H44&lt;G44),AND(I44&lt;&gt;"",I44&lt;MAX(G44:H44)),AND(J44&lt;&gt;"",J44&lt;MAX(G44:I44))),"Avance semanal decreciente"&amp;" · ","")&amp;IF(AND(ISNUMBER(E44),E44&lt;FechaRef,N(K44)&lt;1),"Vencida"&amp;" · ","")&amp;IF(AND(ObsObligatoria="Sí",ISNUMBER(E44),E44&lt;FechaRef,N(K44)&lt;1,M44=""),"Vencida sin observación"&amp;" · ",""))-3)))</f>
        <v/>
      </c>
    </row>
    <row r="45">
      <c r="A45" s="53">
        <f>IF(NOT((COUNTA($B45:$J45)+COUNTA($M45))&gt;0),"",COUNTIF($L$5:$L45,"?*"))</f>
        <v/>
      </c>
      <c r="B45" s="54" t="n"/>
      <c r="C45" s="54" t="n"/>
      <c r="D45" s="55" t="n"/>
      <c r="E45" s="55" t="n"/>
      <c r="F45" s="56" t="n"/>
      <c r="G45" s="57" t="n"/>
      <c r="H45" s="57" t="n"/>
      <c r="I45" s="57" t="n"/>
      <c r="J45" s="57" t="n"/>
      <c r="K45" s="58">
        <f>IF(NOT((COUNTA($B45:$J45)+COUNTA($M45))&gt;0),"",IFERROR(LOOKUP(2,1/(G45:J45&lt;&gt;""),G45:J45),0))</f>
        <v/>
      </c>
      <c r="L45" s="53">
        <f>IF(K45="","",IF(K45&gt;=1,"Completado",IF(K45&gt;0,"En curso","Pendiente")))</f>
        <v/>
      </c>
      <c r="M45" s="54" t="n"/>
      <c r="N45" s="59">
        <f>IF(NOT((COUNTA($B45:$J45)+COUNTA($M45))&gt;0),"",IF((IF(B45="","Macroactividad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 OK","⚠ "&amp;LEFT(IF(B45="","Macroactividad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",""),LEN(IF(B45="","Macroactividad vacía"&amp;" · ","")&amp;IF(C45="","Sin responsable"&amp;" · ","")&amp;IF(D45="","Sin fecha de inicio"&amp;" · ","")&amp;IF(E45="","Sin fecha límite"&amp;" · ","")&amp;IF(OR(AND(D45&lt;&gt;"",NOT(ISNUMBER(D45))),AND(E45&lt;&gt;"",NOT(ISNUMBER(E45)))),"Fecha no válida"&amp;" · ","")&amp;IF(AND(ISNUMBER(D45),ISNUMBER(E45),D45&gt;E45),"Inicio posterior a fecha límite"&amp;" · ","")&amp;IF(F45="","Peso vacío"&amp;" · ","")&amp;IF(AND(F45&lt;&gt;"",OR(NOT(ISNUMBER(F45)),F45&lt;=0,F45&gt;1)),"Peso fuera de rango"&amp;" · ","")&amp;IF(ABS(SUM($F$5:$F$1000)-1)&gt;0.0001,"Pesos del puesto suman "&amp;TEXT(SUM($F$5:$F$1000),"0%")&amp;" · ","")&amp;IF((COUNTIF(G45:J45,"&gt;1")+COUNTIF(G45:J45,"&lt;0")+COUNTA(G45:J45)-COUNT(G45:J45))&gt;0,"Avance fuera de rango 0-100%"&amp;" · ","")&amp;IF(OR(AND(H45&lt;&gt;"",H45&lt;G45),AND(I45&lt;&gt;"",I45&lt;MAX(G45:H45)),AND(J45&lt;&gt;"",J45&lt;MAX(G45:I45))),"Avance semanal decreciente"&amp;" · ","")&amp;IF(AND(ISNUMBER(E45),E45&lt;FechaRef,N(K45)&lt;1),"Vencida"&amp;" · ","")&amp;IF(AND(ObsObligatoria="Sí",ISNUMBER(E45),E45&lt;FechaRef,N(K45)&lt;1,M45=""),"Vencida sin observación"&amp;" · ",""))-3)))</f>
        <v/>
      </c>
    </row>
    <row r="46">
      <c r="A46" s="53">
        <f>IF(NOT((COUNTA($B46:$J46)+COUNTA($M46))&gt;0),"",COUNTIF($L$5:$L46,"?*"))</f>
        <v/>
      </c>
      <c r="B46" s="54" t="n"/>
      <c r="C46" s="54" t="n"/>
      <c r="D46" s="55" t="n"/>
      <c r="E46" s="55" t="n"/>
      <c r="F46" s="56" t="n"/>
      <c r="G46" s="57" t="n"/>
      <c r="H46" s="57" t="n"/>
      <c r="I46" s="57" t="n"/>
      <c r="J46" s="57" t="n"/>
      <c r="K46" s="58">
        <f>IF(NOT((COUNTA($B46:$J46)+COUNTA($M46))&gt;0),"",IFERROR(LOOKUP(2,1/(G46:J46&lt;&gt;""),G46:J46),0))</f>
        <v/>
      </c>
      <c r="L46" s="53">
        <f>IF(K46="","",IF(K46&gt;=1,"Completado",IF(K46&gt;0,"En curso","Pendiente")))</f>
        <v/>
      </c>
      <c r="M46" s="54" t="n"/>
      <c r="N46" s="59">
        <f>IF(NOT((COUNTA($B46:$J46)+COUNTA($M46))&gt;0),"",IF((IF(B46="","Macroactividad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 OK","⚠ "&amp;LEFT(IF(B46="","Macroactividad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",""),LEN(IF(B46="","Macroactividad vacía"&amp;" · ","")&amp;IF(C46="","Sin responsable"&amp;" · ","")&amp;IF(D46="","Sin fecha de inicio"&amp;" · ","")&amp;IF(E46="","Sin fecha límite"&amp;" · ","")&amp;IF(OR(AND(D46&lt;&gt;"",NOT(ISNUMBER(D46))),AND(E46&lt;&gt;"",NOT(ISNUMBER(E46)))),"Fecha no válida"&amp;" · ","")&amp;IF(AND(ISNUMBER(D46),ISNUMBER(E46),D46&gt;E46),"Inicio posterior a fecha límite"&amp;" · ","")&amp;IF(F46="","Peso vacío"&amp;" · ","")&amp;IF(AND(F46&lt;&gt;"",OR(NOT(ISNUMBER(F46)),F46&lt;=0,F46&gt;1)),"Peso fuera de rango"&amp;" · ","")&amp;IF(ABS(SUM($F$5:$F$1000)-1)&gt;0.0001,"Pesos del puesto suman "&amp;TEXT(SUM($F$5:$F$1000),"0%")&amp;" · ","")&amp;IF((COUNTIF(G46:J46,"&gt;1")+COUNTIF(G46:J46,"&lt;0")+COUNTA(G46:J46)-COUNT(G46:J46))&gt;0,"Avance fuera de rango 0-100%"&amp;" · ","")&amp;IF(OR(AND(H46&lt;&gt;"",H46&lt;G46),AND(I46&lt;&gt;"",I46&lt;MAX(G46:H46)),AND(J46&lt;&gt;"",J46&lt;MAX(G46:I46))),"Avance semanal decreciente"&amp;" · ","")&amp;IF(AND(ISNUMBER(E46),E46&lt;FechaRef,N(K46)&lt;1),"Vencida"&amp;" · ","")&amp;IF(AND(ObsObligatoria="Sí",ISNUMBER(E46),E46&lt;FechaRef,N(K46)&lt;1,M46=""),"Vencida sin observación"&amp;" · ",""))-3)))</f>
        <v/>
      </c>
    </row>
    <row r="47">
      <c r="A47" s="53">
        <f>IF(NOT((COUNTA($B47:$J47)+COUNTA($M47))&gt;0),"",COUNTIF($L$5:$L47,"?*"))</f>
        <v/>
      </c>
      <c r="B47" s="54" t="n"/>
      <c r="C47" s="54" t="n"/>
      <c r="D47" s="55" t="n"/>
      <c r="E47" s="55" t="n"/>
      <c r="F47" s="56" t="n"/>
      <c r="G47" s="57" t="n"/>
      <c r="H47" s="57" t="n"/>
      <c r="I47" s="57" t="n"/>
      <c r="J47" s="57" t="n"/>
      <c r="K47" s="58">
        <f>IF(NOT((COUNTA($B47:$J47)+COUNTA($M47))&gt;0),"",IFERROR(LOOKUP(2,1/(G47:J47&lt;&gt;""),G47:J47),0))</f>
        <v/>
      </c>
      <c r="L47" s="53">
        <f>IF(K47="","",IF(K47&gt;=1,"Completado",IF(K47&gt;0,"En curso","Pendiente")))</f>
        <v/>
      </c>
      <c r="M47" s="54" t="n"/>
      <c r="N47" s="59">
        <f>IF(NOT((COUNTA($B47:$J47)+COUNTA($M47))&gt;0),"",IF((IF(B47="","Macroactividad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 OK","⚠ "&amp;LEFT(IF(B47="","Macroactividad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",""),LEN(IF(B47="","Macroactividad vacía"&amp;" · ","")&amp;IF(C47="","Sin responsable"&amp;" · ","")&amp;IF(D47="","Sin fecha de inicio"&amp;" · ","")&amp;IF(E47="","Sin fecha límite"&amp;" · ","")&amp;IF(OR(AND(D47&lt;&gt;"",NOT(ISNUMBER(D47))),AND(E47&lt;&gt;"",NOT(ISNUMBER(E47)))),"Fecha no válida"&amp;" · ","")&amp;IF(AND(ISNUMBER(D47),ISNUMBER(E47),D47&gt;E47),"Inicio posterior a fecha límite"&amp;" · ","")&amp;IF(F47="","Peso vacío"&amp;" · ","")&amp;IF(AND(F47&lt;&gt;"",OR(NOT(ISNUMBER(F47)),F47&lt;=0,F47&gt;1)),"Peso fuera de rango"&amp;" · ","")&amp;IF(ABS(SUM($F$5:$F$1000)-1)&gt;0.0001,"Pesos del puesto suman "&amp;TEXT(SUM($F$5:$F$1000),"0%")&amp;" · ","")&amp;IF((COUNTIF(G47:J47,"&gt;1")+COUNTIF(G47:J47,"&lt;0")+COUNTA(G47:J47)-COUNT(G47:J47))&gt;0,"Avance fuera de rango 0-100%"&amp;" · ","")&amp;IF(OR(AND(H47&lt;&gt;"",H47&lt;G47),AND(I47&lt;&gt;"",I47&lt;MAX(G47:H47)),AND(J47&lt;&gt;"",J47&lt;MAX(G47:I47))),"Avance semanal decreciente"&amp;" · ","")&amp;IF(AND(ISNUMBER(E47),E47&lt;FechaRef,N(K47)&lt;1),"Vencida"&amp;" · ","")&amp;IF(AND(ObsObligatoria="Sí",ISNUMBER(E47),E47&lt;FechaRef,N(K47)&lt;1,M47=""),"Vencida sin observación"&amp;" · ",""))-3)))</f>
        <v/>
      </c>
    </row>
    <row r="48">
      <c r="A48" s="53">
        <f>IF(NOT((COUNTA($B48:$J48)+COUNTA($M48))&gt;0),"",COUNTIF($L$5:$L48,"?*"))</f>
        <v/>
      </c>
      <c r="B48" s="54" t="n"/>
      <c r="C48" s="54" t="n"/>
      <c r="D48" s="55" t="n"/>
      <c r="E48" s="55" t="n"/>
      <c r="F48" s="56" t="n"/>
      <c r="G48" s="57" t="n"/>
      <c r="H48" s="57" t="n"/>
      <c r="I48" s="57" t="n"/>
      <c r="J48" s="57" t="n"/>
      <c r="K48" s="58">
        <f>IF(NOT((COUNTA($B48:$J48)+COUNTA($M48))&gt;0),"",IFERROR(LOOKUP(2,1/(G48:J48&lt;&gt;""),G48:J48),0))</f>
        <v/>
      </c>
      <c r="L48" s="53">
        <f>IF(K48="","",IF(K48&gt;=1,"Completado",IF(K48&gt;0,"En curso","Pendiente")))</f>
        <v/>
      </c>
      <c r="M48" s="54" t="n"/>
      <c r="N48" s="59">
        <f>IF(NOT((COUNTA($B48:$J48)+COUNTA($M48))&gt;0),"",IF((IF(B48="","Macroactividad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 OK","⚠ "&amp;LEFT(IF(B48="","Macroactividad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",""),LEN(IF(B48="","Macroactividad vacía"&amp;" · ","")&amp;IF(C48="","Sin responsable"&amp;" · ","")&amp;IF(D48="","Sin fecha de inicio"&amp;" · ","")&amp;IF(E48="","Sin fecha límite"&amp;" · ","")&amp;IF(OR(AND(D48&lt;&gt;"",NOT(ISNUMBER(D48))),AND(E48&lt;&gt;"",NOT(ISNUMBER(E48)))),"Fecha no válida"&amp;" · ","")&amp;IF(AND(ISNUMBER(D48),ISNUMBER(E48),D48&gt;E48),"Inicio posterior a fecha límite"&amp;" · ","")&amp;IF(F48="","Peso vacío"&amp;" · ","")&amp;IF(AND(F48&lt;&gt;"",OR(NOT(ISNUMBER(F48)),F48&lt;=0,F48&gt;1)),"Peso fuera de rango"&amp;" · ","")&amp;IF(ABS(SUM($F$5:$F$1000)-1)&gt;0.0001,"Pesos del puesto suman "&amp;TEXT(SUM($F$5:$F$1000),"0%")&amp;" · ","")&amp;IF((COUNTIF(G48:J48,"&gt;1")+COUNTIF(G48:J48,"&lt;0")+COUNTA(G48:J48)-COUNT(G48:J48))&gt;0,"Avance fuera de rango 0-100%"&amp;" · ","")&amp;IF(OR(AND(H48&lt;&gt;"",H48&lt;G48),AND(I48&lt;&gt;"",I48&lt;MAX(G48:H48)),AND(J48&lt;&gt;"",J48&lt;MAX(G48:I48))),"Avance semanal decreciente"&amp;" · ","")&amp;IF(AND(ISNUMBER(E48),E48&lt;FechaRef,N(K48)&lt;1),"Vencida"&amp;" · ","")&amp;IF(AND(ObsObligatoria="Sí",ISNUMBER(E48),E48&lt;FechaRef,N(K48)&lt;1,M48=""),"Vencida sin observación"&amp;" · ",""))-3)))</f>
        <v/>
      </c>
    </row>
    <row r="49">
      <c r="A49" s="53">
        <f>IF(NOT((COUNTA($B49:$J49)+COUNTA($M49))&gt;0),"",COUNTIF($L$5:$L49,"?*"))</f>
        <v/>
      </c>
      <c r="B49" s="54" t="n"/>
      <c r="C49" s="54" t="n"/>
      <c r="D49" s="55" t="n"/>
      <c r="E49" s="55" t="n"/>
      <c r="F49" s="56" t="n"/>
      <c r="G49" s="57" t="n"/>
      <c r="H49" s="57" t="n"/>
      <c r="I49" s="57" t="n"/>
      <c r="J49" s="57" t="n"/>
      <c r="K49" s="58">
        <f>IF(NOT((COUNTA($B49:$J49)+COUNTA($M49))&gt;0),"",IFERROR(LOOKUP(2,1/(G49:J49&lt;&gt;""),G49:J49),0))</f>
        <v/>
      </c>
      <c r="L49" s="53">
        <f>IF(K49="","",IF(K49&gt;=1,"Completado",IF(K49&gt;0,"En curso","Pendiente")))</f>
        <v/>
      </c>
      <c r="M49" s="54" t="n"/>
      <c r="N49" s="59">
        <f>IF(NOT((COUNTA($B49:$J49)+COUNTA($M49))&gt;0),"",IF((IF(B49="","Macroactividad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 OK","⚠ "&amp;LEFT(IF(B49="","Macroactividad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",""),LEN(IF(B49="","Macroactividad vacía"&amp;" · ","")&amp;IF(C49="","Sin responsable"&amp;" · ","")&amp;IF(D49="","Sin fecha de inicio"&amp;" · ","")&amp;IF(E49="","Sin fecha límite"&amp;" · ","")&amp;IF(OR(AND(D49&lt;&gt;"",NOT(ISNUMBER(D49))),AND(E49&lt;&gt;"",NOT(ISNUMBER(E49)))),"Fecha no válida"&amp;" · ","")&amp;IF(AND(ISNUMBER(D49),ISNUMBER(E49),D49&gt;E49),"Inicio posterior a fecha límite"&amp;" · ","")&amp;IF(F49="","Peso vacío"&amp;" · ","")&amp;IF(AND(F49&lt;&gt;"",OR(NOT(ISNUMBER(F49)),F49&lt;=0,F49&gt;1)),"Peso fuera de rango"&amp;" · ","")&amp;IF(ABS(SUM($F$5:$F$1000)-1)&gt;0.0001,"Pesos del puesto suman "&amp;TEXT(SUM($F$5:$F$1000),"0%")&amp;" · ","")&amp;IF((COUNTIF(G49:J49,"&gt;1")+COUNTIF(G49:J49,"&lt;0")+COUNTA(G49:J49)-COUNT(G49:J49))&gt;0,"Avance fuera de rango 0-100%"&amp;" · ","")&amp;IF(OR(AND(H49&lt;&gt;"",H49&lt;G49),AND(I49&lt;&gt;"",I49&lt;MAX(G49:H49)),AND(J49&lt;&gt;"",J49&lt;MAX(G49:I49))),"Avance semanal decreciente"&amp;" · ","")&amp;IF(AND(ISNUMBER(E49),E49&lt;FechaRef,N(K49)&lt;1),"Vencida"&amp;" · ","")&amp;IF(AND(ObsObligatoria="Sí",ISNUMBER(E49),E49&lt;FechaRef,N(K49)&lt;1,M49=""),"Vencida sin observación"&amp;" · ",""))-3)))</f>
        <v/>
      </c>
    </row>
    <row r="50">
      <c r="A50" s="53">
        <f>IF(NOT((COUNTA($B50:$J50)+COUNTA($M50))&gt;0),"",COUNTIF($L$5:$L50,"?*"))</f>
        <v/>
      </c>
      <c r="B50" s="54" t="n"/>
      <c r="C50" s="54" t="n"/>
      <c r="D50" s="55" t="n"/>
      <c r="E50" s="55" t="n"/>
      <c r="F50" s="56" t="n"/>
      <c r="G50" s="57" t="n"/>
      <c r="H50" s="57" t="n"/>
      <c r="I50" s="57" t="n"/>
      <c r="J50" s="57" t="n"/>
      <c r="K50" s="58">
        <f>IF(NOT((COUNTA($B50:$J50)+COUNTA($M50))&gt;0),"",IFERROR(LOOKUP(2,1/(G50:J50&lt;&gt;""),G50:J50),0))</f>
        <v/>
      </c>
      <c r="L50" s="53">
        <f>IF(K50="","",IF(K50&gt;=1,"Completado",IF(K50&gt;0,"En curso","Pendiente")))</f>
        <v/>
      </c>
      <c r="M50" s="54" t="n"/>
      <c r="N50" s="59">
        <f>IF(NOT((COUNTA($B50:$J50)+COUNTA($M50))&gt;0),"",IF((IF(B50="","Macroactividad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 OK","⚠ "&amp;LEFT(IF(B50="","Macroactividad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",""),LEN(IF(B50="","Macroactividad vacía"&amp;" · ","")&amp;IF(C50="","Sin responsable"&amp;" · ","")&amp;IF(D50="","Sin fecha de inicio"&amp;" · ","")&amp;IF(E50="","Sin fecha límite"&amp;" · ","")&amp;IF(OR(AND(D50&lt;&gt;"",NOT(ISNUMBER(D50))),AND(E50&lt;&gt;"",NOT(ISNUMBER(E50)))),"Fecha no válida"&amp;" · ","")&amp;IF(AND(ISNUMBER(D50),ISNUMBER(E50),D50&gt;E50),"Inicio posterior a fecha límite"&amp;" · ","")&amp;IF(F50="","Peso vacío"&amp;" · ","")&amp;IF(AND(F50&lt;&gt;"",OR(NOT(ISNUMBER(F50)),F50&lt;=0,F50&gt;1)),"Peso fuera de rango"&amp;" · ","")&amp;IF(ABS(SUM($F$5:$F$1000)-1)&gt;0.0001,"Pesos del puesto suman "&amp;TEXT(SUM($F$5:$F$1000),"0%")&amp;" · ","")&amp;IF((COUNTIF(G50:J50,"&gt;1")+COUNTIF(G50:J50,"&lt;0")+COUNTA(G50:J50)-COUNT(G50:J50))&gt;0,"Avance fuera de rango 0-100%"&amp;" · ","")&amp;IF(OR(AND(H50&lt;&gt;"",H50&lt;G50),AND(I50&lt;&gt;"",I50&lt;MAX(G50:H50)),AND(J50&lt;&gt;"",J50&lt;MAX(G50:I50))),"Avance semanal decreciente"&amp;" · ","")&amp;IF(AND(ISNUMBER(E50),E50&lt;FechaRef,N(K50)&lt;1),"Vencida"&amp;" · ","")&amp;IF(AND(ObsObligatoria="Sí",ISNUMBER(E50),E50&lt;FechaRef,N(K50)&lt;1,M50=""),"Vencida sin observación"&amp;" · ",""))-3)))</f>
        <v/>
      </c>
    </row>
    <row r="51">
      <c r="A51" s="53">
        <f>IF(NOT((COUNTA($B51:$J51)+COUNTA($M51))&gt;0),"",COUNTIF($L$5:$L51,"?*"))</f>
        <v/>
      </c>
      <c r="B51" s="54" t="n"/>
      <c r="C51" s="54" t="n"/>
      <c r="D51" s="55" t="n"/>
      <c r="E51" s="55" t="n"/>
      <c r="F51" s="56" t="n"/>
      <c r="G51" s="57" t="n"/>
      <c r="H51" s="57" t="n"/>
      <c r="I51" s="57" t="n"/>
      <c r="J51" s="57" t="n"/>
      <c r="K51" s="58">
        <f>IF(NOT((COUNTA($B51:$J51)+COUNTA($M51))&gt;0),"",IFERROR(LOOKUP(2,1/(G51:J51&lt;&gt;""),G51:J51),0))</f>
        <v/>
      </c>
      <c r="L51" s="53">
        <f>IF(K51="","",IF(K51&gt;=1,"Completado",IF(K51&gt;0,"En curso","Pendiente")))</f>
        <v/>
      </c>
      <c r="M51" s="54" t="n"/>
      <c r="N51" s="59">
        <f>IF(NOT((COUNTA($B51:$J51)+COUNTA($M51))&gt;0),"",IF((IF(B51="","Macroactividad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 OK","⚠ "&amp;LEFT(IF(B51="","Macroactividad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",""),LEN(IF(B51="","Macroactividad vacía"&amp;" · ","")&amp;IF(C51="","Sin responsable"&amp;" · ","")&amp;IF(D51="","Sin fecha de inicio"&amp;" · ","")&amp;IF(E51="","Sin fecha límite"&amp;" · ","")&amp;IF(OR(AND(D51&lt;&gt;"",NOT(ISNUMBER(D51))),AND(E51&lt;&gt;"",NOT(ISNUMBER(E51)))),"Fecha no válida"&amp;" · ","")&amp;IF(AND(ISNUMBER(D51),ISNUMBER(E51),D51&gt;E51),"Inicio posterior a fecha límite"&amp;" · ","")&amp;IF(F51="","Peso vacío"&amp;" · ","")&amp;IF(AND(F51&lt;&gt;"",OR(NOT(ISNUMBER(F51)),F51&lt;=0,F51&gt;1)),"Peso fuera de rango"&amp;" · ","")&amp;IF(ABS(SUM($F$5:$F$1000)-1)&gt;0.0001,"Pesos del puesto suman "&amp;TEXT(SUM($F$5:$F$1000),"0%")&amp;" · ","")&amp;IF((COUNTIF(G51:J51,"&gt;1")+COUNTIF(G51:J51,"&lt;0")+COUNTA(G51:J51)-COUNT(G51:J51))&gt;0,"Avance fuera de rango 0-100%"&amp;" · ","")&amp;IF(OR(AND(H51&lt;&gt;"",H51&lt;G51),AND(I51&lt;&gt;"",I51&lt;MAX(G51:H51)),AND(J51&lt;&gt;"",J51&lt;MAX(G51:I51))),"Avance semanal decreciente"&amp;" · ","")&amp;IF(AND(ISNUMBER(E51),E51&lt;FechaRef,N(K51)&lt;1),"Vencida"&amp;" · ","")&amp;IF(AND(ObsObligatoria="Sí",ISNUMBER(E51),E51&lt;FechaRef,N(K51)&lt;1,M51=""),"Vencida sin observación"&amp;" · ",""))-3)))</f>
        <v/>
      </c>
    </row>
    <row r="52">
      <c r="A52" s="53">
        <f>IF(NOT((COUNTA($B52:$J52)+COUNTA($M52))&gt;0),"",COUNTIF($L$5:$L52,"?*"))</f>
        <v/>
      </c>
      <c r="B52" s="54" t="n"/>
      <c r="C52" s="54" t="n"/>
      <c r="D52" s="55" t="n"/>
      <c r="E52" s="55" t="n"/>
      <c r="F52" s="56" t="n"/>
      <c r="G52" s="57" t="n"/>
      <c r="H52" s="57" t="n"/>
      <c r="I52" s="57" t="n"/>
      <c r="J52" s="57" t="n"/>
      <c r="K52" s="58">
        <f>IF(NOT((COUNTA($B52:$J52)+COUNTA($M52))&gt;0),"",IFERROR(LOOKUP(2,1/(G52:J52&lt;&gt;""),G52:J52),0))</f>
        <v/>
      </c>
      <c r="L52" s="53">
        <f>IF(K52="","",IF(K52&gt;=1,"Completado",IF(K52&gt;0,"En curso","Pendiente")))</f>
        <v/>
      </c>
      <c r="M52" s="54" t="n"/>
      <c r="N52" s="59">
        <f>IF(NOT((COUNTA($B52:$J52)+COUNTA($M52))&gt;0),"",IF((IF(B52="","Macroactividad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 OK","⚠ "&amp;LEFT(IF(B52="","Macroactividad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",""),LEN(IF(B52="","Macroactividad vacía"&amp;" · ","")&amp;IF(C52="","Sin responsable"&amp;" · ","")&amp;IF(D52="","Sin fecha de inicio"&amp;" · ","")&amp;IF(E52="","Sin fecha límite"&amp;" · ","")&amp;IF(OR(AND(D52&lt;&gt;"",NOT(ISNUMBER(D52))),AND(E52&lt;&gt;"",NOT(ISNUMBER(E52)))),"Fecha no válida"&amp;" · ","")&amp;IF(AND(ISNUMBER(D52),ISNUMBER(E52),D52&gt;E52),"Inicio posterior a fecha límite"&amp;" · ","")&amp;IF(F52="","Peso vacío"&amp;" · ","")&amp;IF(AND(F52&lt;&gt;"",OR(NOT(ISNUMBER(F52)),F52&lt;=0,F52&gt;1)),"Peso fuera de rango"&amp;" · ","")&amp;IF(ABS(SUM($F$5:$F$1000)-1)&gt;0.0001,"Pesos del puesto suman "&amp;TEXT(SUM($F$5:$F$1000),"0%")&amp;" · ","")&amp;IF((COUNTIF(G52:J52,"&gt;1")+COUNTIF(G52:J52,"&lt;0")+COUNTA(G52:J52)-COUNT(G52:J52))&gt;0,"Avance fuera de rango 0-100%"&amp;" · ","")&amp;IF(OR(AND(H52&lt;&gt;"",H52&lt;G52),AND(I52&lt;&gt;"",I52&lt;MAX(G52:H52)),AND(J52&lt;&gt;"",J52&lt;MAX(G52:I52))),"Avance semanal decreciente"&amp;" · ","")&amp;IF(AND(ISNUMBER(E52),E52&lt;FechaRef,N(K52)&lt;1),"Vencida"&amp;" · ","")&amp;IF(AND(ObsObligatoria="Sí",ISNUMBER(E52),E52&lt;FechaRef,N(K52)&lt;1,M52=""),"Vencida sin observación"&amp;" · ",""))-3)))</f>
        <v/>
      </c>
    </row>
    <row r="53">
      <c r="A53" s="53">
        <f>IF(NOT((COUNTA($B53:$J53)+COUNTA($M53))&gt;0),"",COUNTIF($L$5:$L53,"?*"))</f>
        <v/>
      </c>
      <c r="B53" s="54" t="n"/>
      <c r="C53" s="54" t="n"/>
      <c r="D53" s="55" t="n"/>
      <c r="E53" s="55" t="n"/>
      <c r="F53" s="56" t="n"/>
      <c r="G53" s="57" t="n"/>
      <c r="H53" s="57" t="n"/>
      <c r="I53" s="57" t="n"/>
      <c r="J53" s="57" t="n"/>
      <c r="K53" s="58">
        <f>IF(NOT((COUNTA($B53:$J53)+COUNTA($M53))&gt;0),"",IFERROR(LOOKUP(2,1/(G53:J53&lt;&gt;""),G53:J53),0))</f>
        <v/>
      </c>
      <c r="L53" s="53">
        <f>IF(K53="","",IF(K53&gt;=1,"Completado",IF(K53&gt;0,"En curso","Pendiente")))</f>
        <v/>
      </c>
      <c r="M53" s="54" t="n"/>
      <c r="N53" s="59">
        <f>IF(NOT((COUNTA($B53:$J53)+COUNTA($M53))&gt;0),"",IF((IF(B53="","Macroactividad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 OK","⚠ "&amp;LEFT(IF(B53="","Macroactividad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",""),LEN(IF(B53="","Macroactividad vacía"&amp;" · ","")&amp;IF(C53="","Sin responsable"&amp;" · ","")&amp;IF(D53="","Sin fecha de inicio"&amp;" · ","")&amp;IF(E53="","Sin fecha límite"&amp;" · ","")&amp;IF(OR(AND(D53&lt;&gt;"",NOT(ISNUMBER(D53))),AND(E53&lt;&gt;"",NOT(ISNUMBER(E53)))),"Fecha no válida"&amp;" · ","")&amp;IF(AND(ISNUMBER(D53),ISNUMBER(E53),D53&gt;E53),"Inicio posterior a fecha límite"&amp;" · ","")&amp;IF(F53="","Peso vacío"&amp;" · ","")&amp;IF(AND(F53&lt;&gt;"",OR(NOT(ISNUMBER(F53)),F53&lt;=0,F53&gt;1)),"Peso fuera de rango"&amp;" · ","")&amp;IF(ABS(SUM($F$5:$F$1000)-1)&gt;0.0001,"Pesos del puesto suman "&amp;TEXT(SUM($F$5:$F$1000),"0%")&amp;" · ","")&amp;IF((COUNTIF(G53:J53,"&gt;1")+COUNTIF(G53:J53,"&lt;0")+COUNTA(G53:J53)-COUNT(G53:J53))&gt;0,"Avance fuera de rango 0-100%"&amp;" · ","")&amp;IF(OR(AND(H53&lt;&gt;"",H53&lt;G53),AND(I53&lt;&gt;"",I53&lt;MAX(G53:H53)),AND(J53&lt;&gt;"",J53&lt;MAX(G53:I53))),"Avance semanal decreciente"&amp;" · ","")&amp;IF(AND(ISNUMBER(E53),E53&lt;FechaRef,N(K53)&lt;1),"Vencida"&amp;" · ","")&amp;IF(AND(ObsObligatoria="Sí",ISNUMBER(E53),E53&lt;FechaRef,N(K53)&lt;1,M53=""),"Vencida sin observación"&amp;" · ",""))-3)))</f>
        <v/>
      </c>
    </row>
    <row r="54">
      <c r="A54" s="53">
        <f>IF(NOT((COUNTA($B54:$J54)+COUNTA($M54))&gt;0),"",COUNTIF($L$5:$L54,"?*"))</f>
        <v/>
      </c>
      <c r="B54" s="54" t="n"/>
      <c r="C54" s="54" t="n"/>
      <c r="D54" s="55" t="n"/>
      <c r="E54" s="55" t="n"/>
      <c r="F54" s="56" t="n"/>
      <c r="G54" s="57" t="n"/>
      <c r="H54" s="57" t="n"/>
      <c r="I54" s="57" t="n"/>
      <c r="J54" s="57" t="n"/>
      <c r="K54" s="58">
        <f>IF(NOT((COUNTA($B54:$J54)+COUNTA($M54))&gt;0),"",IFERROR(LOOKUP(2,1/(G54:J54&lt;&gt;""),G54:J54),0))</f>
        <v/>
      </c>
      <c r="L54" s="53">
        <f>IF(K54="","",IF(K54&gt;=1,"Completado",IF(K54&gt;0,"En curso","Pendiente")))</f>
        <v/>
      </c>
      <c r="M54" s="54" t="n"/>
      <c r="N54" s="59">
        <f>IF(NOT((COUNTA($B54:$J54)+COUNTA($M54))&gt;0),"",IF((IF(B54="","Macroactividad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 OK","⚠ "&amp;LEFT(IF(B54="","Macroactividad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",""),LEN(IF(B54="","Macroactividad vacía"&amp;" · ","")&amp;IF(C54="","Sin responsable"&amp;" · ","")&amp;IF(D54="","Sin fecha de inicio"&amp;" · ","")&amp;IF(E54="","Sin fecha límite"&amp;" · ","")&amp;IF(OR(AND(D54&lt;&gt;"",NOT(ISNUMBER(D54))),AND(E54&lt;&gt;"",NOT(ISNUMBER(E54)))),"Fecha no válida"&amp;" · ","")&amp;IF(AND(ISNUMBER(D54),ISNUMBER(E54),D54&gt;E54),"Inicio posterior a fecha límite"&amp;" · ","")&amp;IF(F54="","Peso vacío"&amp;" · ","")&amp;IF(AND(F54&lt;&gt;"",OR(NOT(ISNUMBER(F54)),F54&lt;=0,F54&gt;1)),"Peso fuera de rango"&amp;" · ","")&amp;IF(ABS(SUM($F$5:$F$1000)-1)&gt;0.0001,"Pesos del puesto suman "&amp;TEXT(SUM($F$5:$F$1000),"0%")&amp;" · ","")&amp;IF((COUNTIF(G54:J54,"&gt;1")+COUNTIF(G54:J54,"&lt;0")+COUNTA(G54:J54)-COUNT(G54:J54))&gt;0,"Avance fuera de rango 0-100%"&amp;" · ","")&amp;IF(OR(AND(H54&lt;&gt;"",H54&lt;G54),AND(I54&lt;&gt;"",I54&lt;MAX(G54:H54)),AND(J54&lt;&gt;"",J54&lt;MAX(G54:I54))),"Avance semanal decreciente"&amp;" · ","")&amp;IF(AND(ISNUMBER(E54),E54&lt;FechaRef,N(K54)&lt;1),"Vencida"&amp;" · ","")&amp;IF(AND(ObsObligatoria="Sí",ISNUMBER(E54),E54&lt;FechaRef,N(K54)&lt;1,M54=""),"Vencida sin observación"&amp;" · ",""))-3)))</f>
        <v/>
      </c>
    </row>
    <row r="55">
      <c r="A55" s="53">
        <f>IF(NOT((COUNTA($B55:$J55)+COUNTA($M55))&gt;0),"",COUNTIF($L$5:$L55,"?*"))</f>
        <v/>
      </c>
      <c r="B55" s="54" t="n"/>
      <c r="C55" s="54" t="n"/>
      <c r="D55" s="55" t="n"/>
      <c r="E55" s="55" t="n"/>
      <c r="F55" s="56" t="n"/>
      <c r="G55" s="57" t="n"/>
      <c r="H55" s="57" t="n"/>
      <c r="I55" s="57" t="n"/>
      <c r="J55" s="57" t="n"/>
      <c r="K55" s="58">
        <f>IF(NOT((COUNTA($B55:$J55)+COUNTA($M55))&gt;0),"",IFERROR(LOOKUP(2,1/(G55:J55&lt;&gt;""),G55:J55),0))</f>
        <v/>
      </c>
      <c r="L55" s="53">
        <f>IF(K55="","",IF(K55&gt;=1,"Completado",IF(K55&gt;0,"En curso","Pendiente")))</f>
        <v/>
      </c>
      <c r="M55" s="54" t="n"/>
      <c r="N55" s="59">
        <f>IF(NOT((COUNTA($B55:$J55)+COUNTA($M55))&gt;0),"",IF((IF(B55="","Macroactividad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 OK","⚠ "&amp;LEFT(IF(B55="","Macroactividad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",""),LEN(IF(B55="","Macroactividad vacía"&amp;" · ","")&amp;IF(C55="","Sin responsable"&amp;" · ","")&amp;IF(D55="","Sin fecha de inicio"&amp;" · ","")&amp;IF(E55="","Sin fecha límite"&amp;" · ","")&amp;IF(OR(AND(D55&lt;&gt;"",NOT(ISNUMBER(D55))),AND(E55&lt;&gt;"",NOT(ISNUMBER(E55)))),"Fecha no válida"&amp;" · ","")&amp;IF(AND(ISNUMBER(D55),ISNUMBER(E55),D55&gt;E55),"Inicio posterior a fecha límite"&amp;" · ","")&amp;IF(F55="","Peso vacío"&amp;" · ","")&amp;IF(AND(F55&lt;&gt;"",OR(NOT(ISNUMBER(F55)),F55&lt;=0,F55&gt;1)),"Peso fuera de rango"&amp;" · ","")&amp;IF(ABS(SUM($F$5:$F$1000)-1)&gt;0.0001,"Pesos del puesto suman "&amp;TEXT(SUM($F$5:$F$1000),"0%")&amp;" · ","")&amp;IF((COUNTIF(G55:J55,"&gt;1")+COUNTIF(G55:J55,"&lt;0")+COUNTA(G55:J55)-COUNT(G55:J55))&gt;0,"Avance fuera de rango 0-100%"&amp;" · ","")&amp;IF(OR(AND(H55&lt;&gt;"",H55&lt;G55),AND(I55&lt;&gt;"",I55&lt;MAX(G55:H55)),AND(J55&lt;&gt;"",J55&lt;MAX(G55:I55))),"Avance semanal decreciente"&amp;" · ","")&amp;IF(AND(ISNUMBER(E55),E55&lt;FechaRef,N(K55)&lt;1),"Vencida"&amp;" · ","")&amp;IF(AND(ObsObligatoria="Sí",ISNUMBER(E55),E55&lt;FechaRef,N(K55)&lt;1,M55=""),"Vencida sin observación"&amp;" · ",""))-3)))</f>
        <v/>
      </c>
    </row>
    <row r="56">
      <c r="A56" s="53">
        <f>IF(NOT((COUNTA($B56:$J56)+COUNTA($M56))&gt;0),"",COUNTIF($L$5:$L56,"?*"))</f>
        <v/>
      </c>
      <c r="B56" s="54" t="n"/>
      <c r="C56" s="54" t="n"/>
      <c r="D56" s="55" t="n"/>
      <c r="E56" s="55" t="n"/>
      <c r="F56" s="56" t="n"/>
      <c r="G56" s="57" t="n"/>
      <c r="H56" s="57" t="n"/>
      <c r="I56" s="57" t="n"/>
      <c r="J56" s="57" t="n"/>
      <c r="K56" s="58">
        <f>IF(NOT((COUNTA($B56:$J56)+COUNTA($M56))&gt;0),"",IFERROR(LOOKUP(2,1/(G56:J56&lt;&gt;""),G56:J56),0))</f>
        <v/>
      </c>
      <c r="L56" s="53">
        <f>IF(K56="","",IF(K56&gt;=1,"Completado",IF(K56&gt;0,"En curso","Pendiente")))</f>
        <v/>
      </c>
      <c r="M56" s="54" t="n"/>
      <c r="N56" s="59">
        <f>IF(NOT((COUNTA($B56:$J56)+COUNTA($M56))&gt;0),"",IF((IF(B56="","Macroactividad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 OK","⚠ "&amp;LEFT(IF(B56="","Macroactividad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",""),LEN(IF(B56="","Macroactividad vacía"&amp;" · ","")&amp;IF(C56="","Sin responsable"&amp;" · ","")&amp;IF(D56="","Sin fecha de inicio"&amp;" · ","")&amp;IF(E56="","Sin fecha límite"&amp;" · ","")&amp;IF(OR(AND(D56&lt;&gt;"",NOT(ISNUMBER(D56))),AND(E56&lt;&gt;"",NOT(ISNUMBER(E56)))),"Fecha no válida"&amp;" · ","")&amp;IF(AND(ISNUMBER(D56),ISNUMBER(E56),D56&gt;E56),"Inicio posterior a fecha límite"&amp;" · ","")&amp;IF(F56="","Peso vacío"&amp;" · ","")&amp;IF(AND(F56&lt;&gt;"",OR(NOT(ISNUMBER(F56)),F56&lt;=0,F56&gt;1)),"Peso fuera de rango"&amp;" · ","")&amp;IF(ABS(SUM($F$5:$F$1000)-1)&gt;0.0001,"Pesos del puesto suman "&amp;TEXT(SUM($F$5:$F$1000),"0%")&amp;" · ","")&amp;IF((COUNTIF(G56:J56,"&gt;1")+COUNTIF(G56:J56,"&lt;0")+COUNTA(G56:J56)-COUNT(G56:J56))&gt;0,"Avance fuera de rango 0-100%"&amp;" · ","")&amp;IF(OR(AND(H56&lt;&gt;"",H56&lt;G56),AND(I56&lt;&gt;"",I56&lt;MAX(G56:H56)),AND(J56&lt;&gt;"",J56&lt;MAX(G56:I56))),"Avance semanal decreciente"&amp;" · ","")&amp;IF(AND(ISNUMBER(E56),E56&lt;FechaRef,N(K56)&lt;1),"Vencida"&amp;" · ","")&amp;IF(AND(ObsObligatoria="Sí",ISNUMBER(E56),E56&lt;FechaRef,N(K56)&lt;1,M56=""),"Vencida sin observación"&amp;" · ",""))-3)))</f>
        <v/>
      </c>
    </row>
    <row r="57">
      <c r="A57" s="53">
        <f>IF(NOT((COUNTA($B57:$J57)+COUNTA($M57))&gt;0),"",COUNTIF($L$5:$L57,"?*"))</f>
        <v/>
      </c>
      <c r="B57" s="54" t="n"/>
      <c r="C57" s="54" t="n"/>
      <c r="D57" s="55" t="n"/>
      <c r="E57" s="55" t="n"/>
      <c r="F57" s="56" t="n"/>
      <c r="G57" s="57" t="n"/>
      <c r="H57" s="57" t="n"/>
      <c r="I57" s="57" t="n"/>
      <c r="J57" s="57" t="n"/>
      <c r="K57" s="58">
        <f>IF(NOT((COUNTA($B57:$J57)+COUNTA($M57))&gt;0),"",IFERROR(LOOKUP(2,1/(G57:J57&lt;&gt;""),G57:J57),0))</f>
        <v/>
      </c>
      <c r="L57" s="53">
        <f>IF(K57="","",IF(K57&gt;=1,"Completado",IF(K57&gt;0,"En curso","Pendiente")))</f>
        <v/>
      </c>
      <c r="M57" s="54" t="n"/>
      <c r="N57" s="59">
        <f>IF(NOT((COUNTA($B57:$J57)+COUNTA($M57))&gt;0),"",IF((IF(B57="","Macroactividad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 OK","⚠ "&amp;LEFT(IF(B57="","Macroactividad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",""),LEN(IF(B57="","Macroactividad vacía"&amp;" · ","")&amp;IF(C57="","Sin responsable"&amp;" · ","")&amp;IF(D57="","Sin fecha de inicio"&amp;" · ","")&amp;IF(E57="","Sin fecha límite"&amp;" · ","")&amp;IF(OR(AND(D57&lt;&gt;"",NOT(ISNUMBER(D57))),AND(E57&lt;&gt;"",NOT(ISNUMBER(E57)))),"Fecha no válida"&amp;" · ","")&amp;IF(AND(ISNUMBER(D57),ISNUMBER(E57),D57&gt;E57),"Inicio posterior a fecha límite"&amp;" · ","")&amp;IF(F57="","Peso vacío"&amp;" · ","")&amp;IF(AND(F57&lt;&gt;"",OR(NOT(ISNUMBER(F57)),F57&lt;=0,F57&gt;1)),"Peso fuera de rango"&amp;" · ","")&amp;IF(ABS(SUM($F$5:$F$1000)-1)&gt;0.0001,"Pesos del puesto suman "&amp;TEXT(SUM($F$5:$F$1000),"0%")&amp;" · ","")&amp;IF((COUNTIF(G57:J57,"&gt;1")+COUNTIF(G57:J57,"&lt;0")+COUNTA(G57:J57)-COUNT(G57:J57))&gt;0,"Avance fuera de rango 0-100%"&amp;" · ","")&amp;IF(OR(AND(H57&lt;&gt;"",H57&lt;G57),AND(I57&lt;&gt;"",I57&lt;MAX(G57:H57)),AND(J57&lt;&gt;"",J57&lt;MAX(G57:I57))),"Avance semanal decreciente"&amp;" · ","")&amp;IF(AND(ISNUMBER(E57),E57&lt;FechaRef,N(K57)&lt;1),"Vencida"&amp;" · ","")&amp;IF(AND(ObsObligatoria="Sí",ISNUMBER(E57),E57&lt;FechaRef,N(K57)&lt;1,M57=""),"Vencida sin observación"&amp;" · ",""))-3)))</f>
        <v/>
      </c>
    </row>
    <row r="58">
      <c r="A58" s="53">
        <f>IF(NOT((COUNTA($B58:$J58)+COUNTA($M58))&gt;0),"",COUNTIF($L$5:$L58,"?*"))</f>
        <v/>
      </c>
      <c r="B58" s="54" t="n"/>
      <c r="C58" s="54" t="n"/>
      <c r="D58" s="55" t="n"/>
      <c r="E58" s="55" t="n"/>
      <c r="F58" s="56" t="n"/>
      <c r="G58" s="57" t="n"/>
      <c r="H58" s="57" t="n"/>
      <c r="I58" s="57" t="n"/>
      <c r="J58" s="57" t="n"/>
      <c r="K58" s="58">
        <f>IF(NOT((COUNTA($B58:$J58)+COUNTA($M58))&gt;0),"",IFERROR(LOOKUP(2,1/(G58:J58&lt;&gt;""),G58:J58),0))</f>
        <v/>
      </c>
      <c r="L58" s="53">
        <f>IF(K58="","",IF(K58&gt;=1,"Completado",IF(K58&gt;0,"En curso","Pendiente")))</f>
        <v/>
      </c>
      <c r="M58" s="54" t="n"/>
      <c r="N58" s="59">
        <f>IF(NOT((COUNTA($B58:$J58)+COUNTA($M58))&gt;0),"",IF((IF(B58="","Macroactividad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 OK","⚠ "&amp;LEFT(IF(B58="","Macroactividad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",""),LEN(IF(B58="","Macroactividad vacía"&amp;" · ","")&amp;IF(C58="","Sin responsable"&amp;" · ","")&amp;IF(D58="","Sin fecha de inicio"&amp;" · ","")&amp;IF(E58="","Sin fecha límite"&amp;" · ","")&amp;IF(OR(AND(D58&lt;&gt;"",NOT(ISNUMBER(D58))),AND(E58&lt;&gt;"",NOT(ISNUMBER(E58)))),"Fecha no válida"&amp;" · ","")&amp;IF(AND(ISNUMBER(D58),ISNUMBER(E58),D58&gt;E58),"Inicio posterior a fecha límite"&amp;" · ","")&amp;IF(F58="","Peso vacío"&amp;" · ","")&amp;IF(AND(F58&lt;&gt;"",OR(NOT(ISNUMBER(F58)),F58&lt;=0,F58&gt;1)),"Peso fuera de rango"&amp;" · ","")&amp;IF(ABS(SUM($F$5:$F$1000)-1)&gt;0.0001,"Pesos del puesto suman "&amp;TEXT(SUM($F$5:$F$1000),"0%")&amp;" · ","")&amp;IF((COUNTIF(G58:J58,"&gt;1")+COUNTIF(G58:J58,"&lt;0")+COUNTA(G58:J58)-COUNT(G58:J58))&gt;0,"Avance fuera de rango 0-100%"&amp;" · ","")&amp;IF(OR(AND(H58&lt;&gt;"",H58&lt;G58),AND(I58&lt;&gt;"",I58&lt;MAX(G58:H58)),AND(J58&lt;&gt;"",J58&lt;MAX(G58:I58))),"Avance semanal decreciente"&amp;" · ","")&amp;IF(AND(ISNUMBER(E58),E58&lt;FechaRef,N(K58)&lt;1),"Vencida"&amp;" · ","")&amp;IF(AND(ObsObligatoria="Sí",ISNUMBER(E58),E58&lt;FechaRef,N(K58)&lt;1,M58=""),"Vencida sin observación"&amp;" · ",""))-3)))</f>
        <v/>
      </c>
    </row>
    <row r="59">
      <c r="A59" s="53">
        <f>IF(NOT((COUNTA($B59:$J59)+COUNTA($M59))&gt;0),"",COUNTIF($L$5:$L59,"?*"))</f>
        <v/>
      </c>
      <c r="B59" s="54" t="n"/>
      <c r="C59" s="54" t="n"/>
      <c r="D59" s="55" t="n"/>
      <c r="E59" s="55" t="n"/>
      <c r="F59" s="56" t="n"/>
      <c r="G59" s="57" t="n"/>
      <c r="H59" s="57" t="n"/>
      <c r="I59" s="57" t="n"/>
      <c r="J59" s="57" t="n"/>
      <c r="K59" s="58">
        <f>IF(NOT((COUNTA($B59:$J59)+COUNTA($M59))&gt;0),"",IFERROR(LOOKUP(2,1/(G59:J59&lt;&gt;""),G59:J59),0))</f>
        <v/>
      </c>
      <c r="L59" s="53">
        <f>IF(K59="","",IF(K59&gt;=1,"Completado",IF(K59&gt;0,"En curso","Pendiente")))</f>
        <v/>
      </c>
      <c r="M59" s="54" t="n"/>
      <c r="N59" s="59">
        <f>IF(NOT((COUNTA($B59:$J59)+COUNTA($M59))&gt;0),"",IF((IF(B59="","Macroactividad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 OK","⚠ "&amp;LEFT(IF(B59="","Macroactividad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",""),LEN(IF(B59="","Macroactividad vacía"&amp;" · ","")&amp;IF(C59="","Sin responsable"&amp;" · ","")&amp;IF(D59="","Sin fecha de inicio"&amp;" · ","")&amp;IF(E59="","Sin fecha límite"&amp;" · ","")&amp;IF(OR(AND(D59&lt;&gt;"",NOT(ISNUMBER(D59))),AND(E59&lt;&gt;"",NOT(ISNUMBER(E59)))),"Fecha no válida"&amp;" · ","")&amp;IF(AND(ISNUMBER(D59),ISNUMBER(E59),D59&gt;E59),"Inicio posterior a fecha límite"&amp;" · ","")&amp;IF(F59="","Peso vacío"&amp;" · ","")&amp;IF(AND(F59&lt;&gt;"",OR(NOT(ISNUMBER(F59)),F59&lt;=0,F59&gt;1)),"Peso fuera de rango"&amp;" · ","")&amp;IF(ABS(SUM($F$5:$F$1000)-1)&gt;0.0001,"Pesos del puesto suman "&amp;TEXT(SUM($F$5:$F$1000),"0%")&amp;" · ","")&amp;IF((COUNTIF(G59:J59,"&gt;1")+COUNTIF(G59:J59,"&lt;0")+COUNTA(G59:J59)-COUNT(G59:J59))&gt;0,"Avance fuera de rango 0-100%"&amp;" · ","")&amp;IF(OR(AND(H59&lt;&gt;"",H59&lt;G59),AND(I59&lt;&gt;"",I59&lt;MAX(G59:H59)),AND(J59&lt;&gt;"",J59&lt;MAX(G59:I59))),"Avance semanal decreciente"&amp;" · ","")&amp;IF(AND(ISNUMBER(E59),E59&lt;FechaRef,N(K59)&lt;1),"Vencida"&amp;" · ","")&amp;IF(AND(ObsObligatoria="Sí",ISNUMBER(E59),E59&lt;FechaRef,N(K59)&lt;1,M59=""),"Vencida sin observación"&amp;" · ",""))-3)))</f>
        <v/>
      </c>
    </row>
    <row r="60">
      <c r="A60" s="53">
        <f>IF(NOT((COUNTA($B60:$J60)+COUNTA($M60))&gt;0),"",COUNTIF($L$5:$L60,"?*"))</f>
        <v/>
      </c>
      <c r="B60" s="54" t="n"/>
      <c r="C60" s="54" t="n"/>
      <c r="D60" s="55" t="n"/>
      <c r="E60" s="55" t="n"/>
      <c r="F60" s="56" t="n"/>
      <c r="G60" s="57" t="n"/>
      <c r="H60" s="57" t="n"/>
      <c r="I60" s="57" t="n"/>
      <c r="J60" s="57" t="n"/>
      <c r="K60" s="58">
        <f>IF(NOT((COUNTA($B60:$J60)+COUNTA($M60))&gt;0),"",IFERROR(LOOKUP(2,1/(G60:J60&lt;&gt;""),G60:J60),0))</f>
        <v/>
      </c>
      <c r="L60" s="53">
        <f>IF(K60="","",IF(K60&gt;=1,"Completado",IF(K60&gt;0,"En curso","Pendiente")))</f>
        <v/>
      </c>
      <c r="M60" s="54" t="n"/>
      <c r="N60" s="59">
        <f>IF(NOT((COUNTA($B60:$J60)+COUNTA($M60))&gt;0),"",IF((IF(B60="","Macroactividad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 OK","⚠ "&amp;LEFT(IF(B60="","Macroactividad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",""),LEN(IF(B60="","Macroactividad vacía"&amp;" · ","")&amp;IF(C60="","Sin responsable"&amp;" · ","")&amp;IF(D60="","Sin fecha de inicio"&amp;" · ","")&amp;IF(E60="","Sin fecha límite"&amp;" · ","")&amp;IF(OR(AND(D60&lt;&gt;"",NOT(ISNUMBER(D60))),AND(E60&lt;&gt;"",NOT(ISNUMBER(E60)))),"Fecha no válida"&amp;" · ","")&amp;IF(AND(ISNUMBER(D60),ISNUMBER(E60),D60&gt;E60),"Inicio posterior a fecha límite"&amp;" · ","")&amp;IF(F60="","Peso vacío"&amp;" · ","")&amp;IF(AND(F60&lt;&gt;"",OR(NOT(ISNUMBER(F60)),F60&lt;=0,F60&gt;1)),"Peso fuera de rango"&amp;" · ","")&amp;IF(ABS(SUM($F$5:$F$1000)-1)&gt;0.0001,"Pesos del puesto suman "&amp;TEXT(SUM($F$5:$F$1000),"0%")&amp;" · ","")&amp;IF((COUNTIF(G60:J60,"&gt;1")+COUNTIF(G60:J60,"&lt;0")+COUNTA(G60:J60)-COUNT(G60:J60))&gt;0,"Avance fuera de rango 0-100%"&amp;" · ","")&amp;IF(OR(AND(H60&lt;&gt;"",H60&lt;G60),AND(I60&lt;&gt;"",I60&lt;MAX(G60:H60)),AND(J60&lt;&gt;"",J60&lt;MAX(G60:I60))),"Avance semanal decreciente"&amp;" · ","")&amp;IF(AND(ISNUMBER(E60),E60&lt;FechaRef,N(K60)&lt;1),"Vencida"&amp;" · ","")&amp;IF(AND(ObsObligatoria="Sí",ISNUMBER(E60),E60&lt;FechaRef,N(K60)&lt;1,M60=""),"Vencida sin observación"&amp;" · ",""))-3)))</f>
        <v/>
      </c>
    </row>
    <row r="61">
      <c r="A61" s="53">
        <f>IF(NOT((COUNTA($B61:$J61)+COUNTA($M61))&gt;0),"",COUNTIF($L$5:$L61,"?*"))</f>
        <v/>
      </c>
      <c r="B61" s="54" t="n"/>
      <c r="C61" s="54" t="n"/>
      <c r="D61" s="55" t="n"/>
      <c r="E61" s="55" t="n"/>
      <c r="F61" s="56" t="n"/>
      <c r="G61" s="57" t="n"/>
      <c r="H61" s="57" t="n"/>
      <c r="I61" s="57" t="n"/>
      <c r="J61" s="57" t="n"/>
      <c r="K61" s="58">
        <f>IF(NOT((COUNTA($B61:$J61)+COUNTA($M61))&gt;0),"",IFERROR(LOOKUP(2,1/(G61:J61&lt;&gt;""),G61:J61),0))</f>
        <v/>
      </c>
      <c r="L61" s="53">
        <f>IF(K61="","",IF(K61&gt;=1,"Completado",IF(K61&gt;0,"En curso","Pendiente")))</f>
        <v/>
      </c>
      <c r="M61" s="54" t="n"/>
      <c r="N61" s="59">
        <f>IF(NOT((COUNTA($B61:$J61)+COUNTA($M61))&gt;0),"",IF((IF(B61="","Macroactividad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 OK","⚠ "&amp;LEFT(IF(B61="","Macroactividad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",""),LEN(IF(B61="","Macroactividad vacía"&amp;" · ","")&amp;IF(C61="","Sin responsable"&amp;" · ","")&amp;IF(D61="","Sin fecha de inicio"&amp;" · ","")&amp;IF(E61="","Sin fecha límite"&amp;" · ","")&amp;IF(OR(AND(D61&lt;&gt;"",NOT(ISNUMBER(D61))),AND(E61&lt;&gt;"",NOT(ISNUMBER(E61)))),"Fecha no válida"&amp;" · ","")&amp;IF(AND(ISNUMBER(D61),ISNUMBER(E61),D61&gt;E61),"Inicio posterior a fecha límite"&amp;" · ","")&amp;IF(F61="","Peso vacío"&amp;" · ","")&amp;IF(AND(F61&lt;&gt;"",OR(NOT(ISNUMBER(F61)),F61&lt;=0,F61&gt;1)),"Peso fuera de rango"&amp;" · ","")&amp;IF(ABS(SUM($F$5:$F$1000)-1)&gt;0.0001,"Pesos del puesto suman "&amp;TEXT(SUM($F$5:$F$1000),"0%")&amp;" · ","")&amp;IF((COUNTIF(G61:J61,"&gt;1")+COUNTIF(G61:J61,"&lt;0")+COUNTA(G61:J61)-COUNT(G61:J61))&gt;0,"Avance fuera de rango 0-100%"&amp;" · ","")&amp;IF(OR(AND(H61&lt;&gt;"",H61&lt;G61),AND(I61&lt;&gt;"",I61&lt;MAX(G61:H61)),AND(J61&lt;&gt;"",J61&lt;MAX(G61:I61))),"Avance semanal decreciente"&amp;" · ","")&amp;IF(AND(ISNUMBER(E61),E61&lt;FechaRef,N(K61)&lt;1),"Vencida"&amp;" · ","")&amp;IF(AND(ObsObligatoria="Sí",ISNUMBER(E61),E61&lt;FechaRef,N(K61)&lt;1,M61=""),"Vencida sin observación"&amp;" · ",""))-3)))</f>
        <v/>
      </c>
    </row>
    <row r="62">
      <c r="A62" s="53">
        <f>IF(NOT((COUNTA($B62:$J62)+COUNTA($M62))&gt;0),"",COUNTIF($L$5:$L62,"?*"))</f>
        <v/>
      </c>
      <c r="B62" s="54" t="n"/>
      <c r="C62" s="54" t="n"/>
      <c r="D62" s="55" t="n"/>
      <c r="E62" s="55" t="n"/>
      <c r="F62" s="56" t="n"/>
      <c r="G62" s="57" t="n"/>
      <c r="H62" s="57" t="n"/>
      <c r="I62" s="57" t="n"/>
      <c r="J62" s="57" t="n"/>
      <c r="K62" s="58">
        <f>IF(NOT((COUNTA($B62:$J62)+COUNTA($M62))&gt;0),"",IFERROR(LOOKUP(2,1/(G62:J62&lt;&gt;""),G62:J62),0))</f>
        <v/>
      </c>
      <c r="L62" s="53">
        <f>IF(K62="","",IF(K62&gt;=1,"Completado",IF(K62&gt;0,"En curso","Pendiente")))</f>
        <v/>
      </c>
      <c r="M62" s="54" t="n"/>
      <c r="N62" s="59">
        <f>IF(NOT((COUNTA($B62:$J62)+COUNTA($M62))&gt;0),"",IF((IF(B62="","Macroactividad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 OK","⚠ "&amp;LEFT(IF(B62="","Macroactividad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",""),LEN(IF(B62="","Macroactividad vacía"&amp;" · ","")&amp;IF(C62="","Sin responsable"&amp;" · ","")&amp;IF(D62="","Sin fecha de inicio"&amp;" · ","")&amp;IF(E62="","Sin fecha límite"&amp;" · ","")&amp;IF(OR(AND(D62&lt;&gt;"",NOT(ISNUMBER(D62))),AND(E62&lt;&gt;"",NOT(ISNUMBER(E62)))),"Fecha no válida"&amp;" · ","")&amp;IF(AND(ISNUMBER(D62),ISNUMBER(E62),D62&gt;E62),"Inicio posterior a fecha límite"&amp;" · ","")&amp;IF(F62="","Peso vacío"&amp;" · ","")&amp;IF(AND(F62&lt;&gt;"",OR(NOT(ISNUMBER(F62)),F62&lt;=0,F62&gt;1)),"Peso fuera de rango"&amp;" · ","")&amp;IF(ABS(SUM($F$5:$F$1000)-1)&gt;0.0001,"Pesos del puesto suman "&amp;TEXT(SUM($F$5:$F$1000),"0%")&amp;" · ","")&amp;IF((COUNTIF(G62:J62,"&gt;1")+COUNTIF(G62:J62,"&lt;0")+COUNTA(G62:J62)-COUNT(G62:J62))&gt;0,"Avance fuera de rango 0-100%"&amp;" · ","")&amp;IF(OR(AND(H62&lt;&gt;"",H62&lt;G62),AND(I62&lt;&gt;"",I62&lt;MAX(G62:H62)),AND(J62&lt;&gt;"",J62&lt;MAX(G62:I62))),"Avance semanal decreciente"&amp;" · ","")&amp;IF(AND(ISNUMBER(E62),E62&lt;FechaRef,N(K62)&lt;1),"Vencida"&amp;" · ","")&amp;IF(AND(ObsObligatoria="Sí",ISNUMBER(E62),E62&lt;FechaRef,N(K62)&lt;1,M62=""),"Vencida sin observación"&amp;" · ",""))-3)))</f>
        <v/>
      </c>
    </row>
    <row r="63">
      <c r="A63" s="53">
        <f>IF(NOT((COUNTA($B63:$J63)+COUNTA($M63))&gt;0),"",COUNTIF($L$5:$L63,"?*"))</f>
        <v/>
      </c>
      <c r="B63" s="54" t="n"/>
      <c r="C63" s="54" t="n"/>
      <c r="D63" s="55" t="n"/>
      <c r="E63" s="55" t="n"/>
      <c r="F63" s="56" t="n"/>
      <c r="G63" s="57" t="n"/>
      <c r="H63" s="57" t="n"/>
      <c r="I63" s="57" t="n"/>
      <c r="J63" s="57" t="n"/>
      <c r="K63" s="58">
        <f>IF(NOT((COUNTA($B63:$J63)+COUNTA($M63))&gt;0),"",IFERROR(LOOKUP(2,1/(G63:J63&lt;&gt;""),G63:J63),0))</f>
        <v/>
      </c>
      <c r="L63" s="53">
        <f>IF(K63="","",IF(K63&gt;=1,"Completado",IF(K63&gt;0,"En curso","Pendiente")))</f>
        <v/>
      </c>
      <c r="M63" s="54" t="n"/>
      <c r="N63" s="59">
        <f>IF(NOT((COUNTA($B63:$J63)+COUNTA($M63))&gt;0),"",IF((IF(B63="","Macroactividad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 OK","⚠ "&amp;LEFT(IF(B63="","Macroactividad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",""),LEN(IF(B63="","Macroactividad vacía"&amp;" · ","")&amp;IF(C63="","Sin responsable"&amp;" · ","")&amp;IF(D63="","Sin fecha de inicio"&amp;" · ","")&amp;IF(E63="","Sin fecha límite"&amp;" · ","")&amp;IF(OR(AND(D63&lt;&gt;"",NOT(ISNUMBER(D63))),AND(E63&lt;&gt;"",NOT(ISNUMBER(E63)))),"Fecha no válida"&amp;" · ","")&amp;IF(AND(ISNUMBER(D63),ISNUMBER(E63),D63&gt;E63),"Inicio posterior a fecha límite"&amp;" · ","")&amp;IF(F63="","Peso vacío"&amp;" · ","")&amp;IF(AND(F63&lt;&gt;"",OR(NOT(ISNUMBER(F63)),F63&lt;=0,F63&gt;1)),"Peso fuera de rango"&amp;" · ","")&amp;IF(ABS(SUM($F$5:$F$1000)-1)&gt;0.0001,"Pesos del puesto suman "&amp;TEXT(SUM($F$5:$F$1000),"0%")&amp;" · ","")&amp;IF((COUNTIF(G63:J63,"&gt;1")+COUNTIF(G63:J63,"&lt;0")+COUNTA(G63:J63)-COUNT(G63:J63))&gt;0,"Avance fuera de rango 0-100%"&amp;" · ","")&amp;IF(OR(AND(H63&lt;&gt;"",H63&lt;G63),AND(I63&lt;&gt;"",I63&lt;MAX(G63:H63)),AND(J63&lt;&gt;"",J63&lt;MAX(G63:I63))),"Avance semanal decreciente"&amp;" · ","")&amp;IF(AND(ISNUMBER(E63),E63&lt;FechaRef,N(K63)&lt;1),"Vencida"&amp;" · ","")&amp;IF(AND(ObsObligatoria="Sí",ISNUMBER(E63),E63&lt;FechaRef,N(K63)&lt;1,M63=""),"Vencida sin observación"&amp;" · ",""))-3)))</f>
        <v/>
      </c>
    </row>
    <row r="64">
      <c r="A64" s="53">
        <f>IF(NOT((COUNTA($B64:$J64)+COUNTA($M64))&gt;0),"",COUNTIF($L$5:$L64,"?*"))</f>
        <v/>
      </c>
      <c r="B64" s="54" t="n"/>
      <c r="C64" s="54" t="n"/>
      <c r="D64" s="55" t="n"/>
      <c r="E64" s="55" t="n"/>
      <c r="F64" s="56" t="n"/>
      <c r="G64" s="57" t="n"/>
      <c r="H64" s="57" t="n"/>
      <c r="I64" s="57" t="n"/>
      <c r="J64" s="57" t="n"/>
      <c r="K64" s="58">
        <f>IF(NOT((COUNTA($B64:$J64)+COUNTA($M64))&gt;0),"",IFERROR(LOOKUP(2,1/(G64:J64&lt;&gt;""),G64:J64),0))</f>
        <v/>
      </c>
      <c r="L64" s="53">
        <f>IF(K64="","",IF(K64&gt;=1,"Completado",IF(K64&gt;0,"En curso","Pendiente")))</f>
        <v/>
      </c>
      <c r="M64" s="54" t="n"/>
      <c r="N64" s="59">
        <f>IF(NOT((COUNTA($B64:$J64)+COUNTA($M64))&gt;0),"",IF((IF(B64="","Macroactividad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 OK","⚠ "&amp;LEFT(IF(B64="","Macroactividad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",""),LEN(IF(B64="","Macroactividad vacía"&amp;" · ","")&amp;IF(C64="","Sin responsable"&amp;" · ","")&amp;IF(D64="","Sin fecha de inicio"&amp;" · ","")&amp;IF(E64="","Sin fecha límite"&amp;" · ","")&amp;IF(OR(AND(D64&lt;&gt;"",NOT(ISNUMBER(D64))),AND(E64&lt;&gt;"",NOT(ISNUMBER(E64)))),"Fecha no válida"&amp;" · ","")&amp;IF(AND(ISNUMBER(D64),ISNUMBER(E64),D64&gt;E64),"Inicio posterior a fecha límite"&amp;" · ","")&amp;IF(F64="","Peso vacío"&amp;" · ","")&amp;IF(AND(F64&lt;&gt;"",OR(NOT(ISNUMBER(F64)),F64&lt;=0,F64&gt;1)),"Peso fuera de rango"&amp;" · ","")&amp;IF(ABS(SUM($F$5:$F$1000)-1)&gt;0.0001,"Pesos del puesto suman "&amp;TEXT(SUM($F$5:$F$1000),"0%")&amp;" · ","")&amp;IF((COUNTIF(G64:J64,"&gt;1")+COUNTIF(G64:J64,"&lt;0")+COUNTA(G64:J64)-COUNT(G64:J64))&gt;0,"Avance fuera de rango 0-100%"&amp;" · ","")&amp;IF(OR(AND(H64&lt;&gt;"",H64&lt;G64),AND(I64&lt;&gt;"",I64&lt;MAX(G64:H64)),AND(J64&lt;&gt;"",J64&lt;MAX(G64:I64))),"Avance semanal decreciente"&amp;" · ","")&amp;IF(AND(ISNUMBER(E64),E64&lt;FechaRef,N(K64)&lt;1),"Vencida"&amp;" · ","")&amp;IF(AND(ObsObligatoria="Sí",ISNUMBER(E64),E64&lt;FechaRef,N(K64)&lt;1,M64=""),"Vencida sin observación"&amp;" · ",""))-3)))</f>
        <v/>
      </c>
    </row>
    <row r="65">
      <c r="A65" s="53">
        <f>IF(NOT((COUNTA($B65:$J65)+COUNTA($M65))&gt;0),"",COUNTIF($L$5:$L65,"?*"))</f>
        <v/>
      </c>
      <c r="B65" s="54" t="n"/>
      <c r="C65" s="54" t="n"/>
      <c r="D65" s="55" t="n"/>
      <c r="E65" s="55" t="n"/>
      <c r="F65" s="56" t="n"/>
      <c r="G65" s="57" t="n"/>
      <c r="H65" s="57" t="n"/>
      <c r="I65" s="57" t="n"/>
      <c r="J65" s="57" t="n"/>
      <c r="K65" s="58">
        <f>IF(NOT((COUNTA($B65:$J65)+COUNTA($M65))&gt;0),"",IFERROR(LOOKUP(2,1/(G65:J65&lt;&gt;""),G65:J65),0))</f>
        <v/>
      </c>
      <c r="L65" s="53">
        <f>IF(K65="","",IF(K65&gt;=1,"Completado",IF(K65&gt;0,"En curso","Pendiente")))</f>
        <v/>
      </c>
      <c r="M65" s="54" t="n"/>
      <c r="N65" s="59">
        <f>IF(NOT((COUNTA($B65:$J65)+COUNTA($M65))&gt;0),"",IF((IF(B65="","Macroactividad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 OK","⚠ "&amp;LEFT(IF(B65="","Macroactividad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",""),LEN(IF(B65="","Macroactividad vacía"&amp;" · ","")&amp;IF(C65="","Sin responsable"&amp;" · ","")&amp;IF(D65="","Sin fecha de inicio"&amp;" · ","")&amp;IF(E65="","Sin fecha límite"&amp;" · ","")&amp;IF(OR(AND(D65&lt;&gt;"",NOT(ISNUMBER(D65))),AND(E65&lt;&gt;"",NOT(ISNUMBER(E65)))),"Fecha no válida"&amp;" · ","")&amp;IF(AND(ISNUMBER(D65),ISNUMBER(E65),D65&gt;E65),"Inicio posterior a fecha límite"&amp;" · ","")&amp;IF(F65="","Peso vacío"&amp;" · ","")&amp;IF(AND(F65&lt;&gt;"",OR(NOT(ISNUMBER(F65)),F65&lt;=0,F65&gt;1)),"Peso fuera de rango"&amp;" · ","")&amp;IF(ABS(SUM($F$5:$F$1000)-1)&gt;0.0001,"Pesos del puesto suman "&amp;TEXT(SUM($F$5:$F$1000),"0%")&amp;" · ","")&amp;IF((COUNTIF(G65:J65,"&gt;1")+COUNTIF(G65:J65,"&lt;0")+COUNTA(G65:J65)-COUNT(G65:J65))&gt;0,"Avance fuera de rango 0-100%"&amp;" · ","")&amp;IF(OR(AND(H65&lt;&gt;"",H65&lt;G65),AND(I65&lt;&gt;"",I65&lt;MAX(G65:H65)),AND(J65&lt;&gt;"",J65&lt;MAX(G65:I65))),"Avance semanal decreciente"&amp;" · ","")&amp;IF(AND(ISNUMBER(E65),E65&lt;FechaRef,N(K65)&lt;1),"Vencida"&amp;" · ","")&amp;IF(AND(ObsObligatoria="Sí",ISNUMBER(E65),E65&lt;FechaRef,N(K65)&lt;1,M65=""),"Vencida sin observación"&amp;" · ",""))-3)))</f>
        <v/>
      </c>
    </row>
    <row r="66">
      <c r="A66" s="53">
        <f>IF(NOT((COUNTA($B66:$J66)+COUNTA($M66))&gt;0),"",COUNTIF($L$5:$L66,"?*"))</f>
        <v/>
      </c>
      <c r="B66" s="54" t="n"/>
      <c r="C66" s="54" t="n"/>
      <c r="D66" s="55" t="n"/>
      <c r="E66" s="55" t="n"/>
      <c r="F66" s="56" t="n"/>
      <c r="G66" s="57" t="n"/>
      <c r="H66" s="57" t="n"/>
      <c r="I66" s="57" t="n"/>
      <c r="J66" s="57" t="n"/>
      <c r="K66" s="58">
        <f>IF(NOT((COUNTA($B66:$J66)+COUNTA($M66))&gt;0),"",IFERROR(LOOKUP(2,1/(G66:J66&lt;&gt;""),G66:J66),0))</f>
        <v/>
      </c>
      <c r="L66" s="53">
        <f>IF(K66="","",IF(K66&gt;=1,"Completado",IF(K66&gt;0,"En curso","Pendiente")))</f>
        <v/>
      </c>
      <c r="M66" s="54" t="n"/>
      <c r="N66" s="59">
        <f>IF(NOT((COUNTA($B66:$J66)+COUNTA($M66))&gt;0),"",IF((IF(B66="","Macroactividad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 OK","⚠ "&amp;LEFT(IF(B66="","Macroactividad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",""),LEN(IF(B66="","Macroactividad vacía"&amp;" · ","")&amp;IF(C66="","Sin responsable"&amp;" · ","")&amp;IF(D66="","Sin fecha de inicio"&amp;" · ","")&amp;IF(E66="","Sin fecha límite"&amp;" · ","")&amp;IF(OR(AND(D66&lt;&gt;"",NOT(ISNUMBER(D66))),AND(E66&lt;&gt;"",NOT(ISNUMBER(E66)))),"Fecha no válida"&amp;" · ","")&amp;IF(AND(ISNUMBER(D66),ISNUMBER(E66),D66&gt;E66),"Inicio posterior a fecha límite"&amp;" · ","")&amp;IF(F66="","Peso vacío"&amp;" · ","")&amp;IF(AND(F66&lt;&gt;"",OR(NOT(ISNUMBER(F66)),F66&lt;=0,F66&gt;1)),"Peso fuera de rango"&amp;" · ","")&amp;IF(ABS(SUM($F$5:$F$1000)-1)&gt;0.0001,"Pesos del puesto suman "&amp;TEXT(SUM($F$5:$F$1000),"0%")&amp;" · ","")&amp;IF((COUNTIF(G66:J66,"&gt;1")+COUNTIF(G66:J66,"&lt;0")+COUNTA(G66:J66)-COUNT(G66:J66))&gt;0,"Avance fuera de rango 0-100%"&amp;" · ","")&amp;IF(OR(AND(H66&lt;&gt;"",H66&lt;G66),AND(I66&lt;&gt;"",I66&lt;MAX(G66:H66)),AND(J66&lt;&gt;"",J66&lt;MAX(G66:I66))),"Avance semanal decreciente"&amp;" · ","")&amp;IF(AND(ISNUMBER(E66),E66&lt;FechaRef,N(K66)&lt;1),"Vencida"&amp;" · ","")&amp;IF(AND(ObsObligatoria="Sí",ISNUMBER(E66),E66&lt;FechaRef,N(K66)&lt;1,M66=""),"Vencida sin observación"&amp;" · ",""))-3)))</f>
        <v/>
      </c>
    </row>
    <row r="67">
      <c r="A67" s="53">
        <f>IF(NOT((COUNTA($B67:$J67)+COUNTA($M67))&gt;0),"",COUNTIF($L$5:$L67,"?*"))</f>
        <v/>
      </c>
      <c r="B67" s="54" t="n"/>
      <c r="C67" s="54" t="n"/>
      <c r="D67" s="55" t="n"/>
      <c r="E67" s="55" t="n"/>
      <c r="F67" s="56" t="n"/>
      <c r="G67" s="57" t="n"/>
      <c r="H67" s="57" t="n"/>
      <c r="I67" s="57" t="n"/>
      <c r="J67" s="57" t="n"/>
      <c r="K67" s="58">
        <f>IF(NOT((COUNTA($B67:$J67)+COUNTA($M67))&gt;0),"",IFERROR(LOOKUP(2,1/(G67:J67&lt;&gt;""),G67:J67),0))</f>
        <v/>
      </c>
      <c r="L67" s="53">
        <f>IF(K67="","",IF(K67&gt;=1,"Completado",IF(K67&gt;0,"En curso","Pendiente")))</f>
        <v/>
      </c>
      <c r="M67" s="54" t="n"/>
      <c r="N67" s="59">
        <f>IF(NOT((COUNTA($B67:$J67)+COUNTA($M67))&gt;0),"",IF((IF(B67="","Macroactividad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 OK","⚠ "&amp;LEFT(IF(B67="","Macroactividad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",""),LEN(IF(B67="","Macroactividad vacía"&amp;" · ","")&amp;IF(C67="","Sin responsable"&amp;" · ","")&amp;IF(D67="","Sin fecha de inicio"&amp;" · ","")&amp;IF(E67="","Sin fecha límite"&amp;" · ","")&amp;IF(OR(AND(D67&lt;&gt;"",NOT(ISNUMBER(D67))),AND(E67&lt;&gt;"",NOT(ISNUMBER(E67)))),"Fecha no válida"&amp;" · ","")&amp;IF(AND(ISNUMBER(D67),ISNUMBER(E67),D67&gt;E67),"Inicio posterior a fecha límite"&amp;" · ","")&amp;IF(F67="","Peso vacío"&amp;" · ","")&amp;IF(AND(F67&lt;&gt;"",OR(NOT(ISNUMBER(F67)),F67&lt;=0,F67&gt;1)),"Peso fuera de rango"&amp;" · ","")&amp;IF(ABS(SUM($F$5:$F$1000)-1)&gt;0.0001,"Pesos del puesto suman "&amp;TEXT(SUM($F$5:$F$1000),"0%")&amp;" · ","")&amp;IF((COUNTIF(G67:J67,"&gt;1")+COUNTIF(G67:J67,"&lt;0")+COUNTA(G67:J67)-COUNT(G67:J67))&gt;0,"Avance fuera de rango 0-100%"&amp;" · ","")&amp;IF(OR(AND(H67&lt;&gt;"",H67&lt;G67),AND(I67&lt;&gt;"",I67&lt;MAX(G67:H67)),AND(J67&lt;&gt;"",J67&lt;MAX(G67:I67))),"Avance semanal decreciente"&amp;" · ","")&amp;IF(AND(ISNUMBER(E67),E67&lt;FechaRef,N(K67)&lt;1),"Vencida"&amp;" · ","")&amp;IF(AND(ObsObligatoria="Sí",ISNUMBER(E67),E67&lt;FechaRef,N(K67)&lt;1,M67=""),"Vencida sin observación"&amp;" · ",""))-3)))</f>
        <v/>
      </c>
    </row>
    <row r="68">
      <c r="A68" s="53">
        <f>IF(NOT((COUNTA($B68:$J68)+COUNTA($M68))&gt;0),"",COUNTIF($L$5:$L68,"?*"))</f>
        <v/>
      </c>
      <c r="B68" s="54" t="n"/>
      <c r="C68" s="54" t="n"/>
      <c r="D68" s="55" t="n"/>
      <c r="E68" s="55" t="n"/>
      <c r="F68" s="56" t="n"/>
      <c r="G68" s="57" t="n"/>
      <c r="H68" s="57" t="n"/>
      <c r="I68" s="57" t="n"/>
      <c r="J68" s="57" t="n"/>
      <c r="K68" s="58">
        <f>IF(NOT((COUNTA($B68:$J68)+COUNTA($M68))&gt;0),"",IFERROR(LOOKUP(2,1/(G68:J68&lt;&gt;""),G68:J68),0))</f>
        <v/>
      </c>
      <c r="L68" s="53">
        <f>IF(K68="","",IF(K68&gt;=1,"Completado",IF(K68&gt;0,"En curso","Pendiente")))</f>
        <v/>
      </c>
      <c r="M68" s="54" t="n"/>
      <c r="N68" s="59">
        <f>IF(NOT((COUNTA($B68:$J68)+COUNTA($M68))&gt;0),"",IF((IF(B68="","Macroactividad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 OK","⚠ "&amp;LEFT(IF(B68="","Macroactividad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",""),LEN(IF(B68="","Macroactividad vacía"&amp;" · ","")&amp;IF(C68="","Sin responsable"&amp;" · ","")&amp;IF(D68="","Sin fecha de inicio"&amp;" · ","")&amp;IF(E68="","Sin fecha límite"&amp;" · ","")&amp;IF(OR(AND(D68&lt;&gt;"",NOT(ISNUMBER(D68))),AND(E68&lt;&gt;"",NOT(ISNUMBER(E68)))),"Fecha no válida"&amp;" · ","")&amp;IF(AND(ISNUMBER(D68),ISNUMBER(E68),D68&gt;E68),"Inicio posterior a fecha límite"&amp;" · ","")&amp;IF(F68="","Peso vacío"&amp;" · ","")&amp;IF(AND(F68&lt;&gt;"",OR(NOT(ISNUMBER(F68)),F68&lt;=0,F68&gt;1)),"Peso fuera de rango"&amp;" · ","")&amp;IF(ABS(SUM($F$5:$F$1000)-1)&gt;0.0001,"Pesos del puesto suman "&amp;TEXT(SUM($F$5:$F$1000),"0%")&amp;" · ","")&amp;IF((COUNTIF(G68:J68,"&gt;1")+COUNTIF(G68:J68,"&lt;0")+COUNTA(G68:J68)-COUNT(G68:J68))&gt;0,"Avance fuera de rango 0-100%"&amp;" · ","")&amp;IF(OR(AND(H68&lt;&gt;"",H68&lt;G68),AND(I68&lt;&gt;"",I68&lt;MAX(G68:H68)),AND(J68&lt;&gt;"",J68&lt;MAX(G68:I68))),"Avance semanal decreciente"&amp;" · ","")&amp;IF(AND(ISNUMBER(E68),E68&lt;FechaRef,N(K68)&lt;1),"Vencida"&amp;" · ","")&amp;IF(AND(ObsObligatoria="Sí",ISNUMBER(E68),E68&lt;FechaRef,N(K68)&lt;1,M68=""),"Vencida sin observación"&amp;" · ",""))-3)))</f>
        <v/>
      </c>
    </row>
    <row r="69">
      <c r="A69" s="53">
        <f>IF(NOT((COUNTA($B69:$J69)+COUNTA($M69))&gt;0),"",COUNTIF($L$5:$L69,"?*"))</f>
        <v/>
      </c>
      <c r="B69" s="54" t="n"/>
      <c r="C69" s="54" t="n"/>
      <c r="D69" s="55" t="n"/>
      <c r="E69" s="55" t="n"/>
      <c r="F69" s="56" t="n"/>
      <c r="G69" s="57" t="n"/>
      <c r="H69" s="57" t="n"/>
      <c r="I69" s="57" t="n"/>
      <c r="J69" s="57" t="n"/>
      <c r="K69" s="58">
        <f>IF(NOT((COUNTA($B69:$J69)+COUNTA($M69))&gt;0),"",IFERROR(LOOKUP(2,1/(G69:J69&lt;&gt;""),G69:J69),0))</f>
        <v/>
      </c>
      <c r="L69" s="53">
        <f>IF(K69="","",IF(K69&gt;=1,"Completado",IF(K69&gt;0,"En curso","Pendiente")))</f>
        <v/>
      </c>
      <c r="M69" s="54" t="n"/>
      <c r="N69" s="59">
        <f>IF(NOT((COUNTA($B69:$J69)+COUNTA($M69))&gt;0),"",IF((IF(B69="","Macroactividad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 OK","⚠ "&amp;LEFT(IF(B69="","Macroactividad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",""),LEN(IF(B69="","Macroactividad vacía"&amp;" · ","")&amp;IF(C69="","Sin responsable"&amp;" · ","")&amp;IF(D69="","Sin fecha de inicio"&amp;" · ","")&amp;IF(E69="","Sin fecha límite"&amp;" · ","")&amp;IF(OR(AND(D69&lt;&gt;"",NOT(ISNUMBER(D69))),AND(E69&lt;&gt;"",NOT(ISNUMBER(E69)))),"Fecha no válida"&amp;" · ","")&amp;IF(AND(ISNUMBER(D69),ISNUMBER(E69),D69&gt;E69),"Inicio posterior a fecha límite"&amp;" · ","")&amp;IF(F69="","Peso vacío"&amp;" · ","")&amp;IF(AND(F69&lt;&gt;"",OR(NOT(ISNUMBER(F69)),F69&lt;=0,F69&gt;1)),"Peso fuera de rango"&amp;" · ","")&amp;IF(ABS(SUM($F$5:$F$1000)-1)&gt;0.0001,"Pesos del puesto suman "&amp;TEXT(SUM($F$5:$F$1000),"0%")&amp;" · ","")&amp;IF((COUNTIF(G69:J69,"&gt;1")+COUNTIF(G69:J69,"&lt;0")+COUNTA(G69:J69)-COUNT(G69:J69))&gt;0,"Avance fuera de rango 0-100%"&amp;" · ","")&amp;IF(OR(AND(H69&lt;&gt;"",H69&lt;G69),AND(I69&lt;&gt;"",I69&lt;MAX(G69:H69)),AND(J69&lt;&gt;"",J69&lt;MAX(G69:I69))),"Avance semanal decreciente"&amp;" · ","")&amp;IF(AND(ISNUMBER(E69),E69&lt;FechaRef,N(K69)&lt;1),"Vencida"&amp;" · ","")&amp;IF(AND(ObsObligatoria="Sí",ISNUMBER(E69),E69&lt;FechaRef,N(K69)&lt;1,M69=""),"Vencida sin observación"&amp;" · ",""))-3)))</f>
        <v/>
      </c>
    </row>
    <row r="70">
      <c r="A70" s="53">
        <f>IF(NOT((COUNTA($B70:$J70)+COUNTA($M70))&gt;0),"",COUNTIF($L$5:$L70,"?*"))</f>
        <v/>
      </c>
      <c r="B70" s="54" t="n"/>
      <c r="C70" s="54" t="n"/>
      <c r="D70" s="55" t="n"/>
      <c r="E70" s="55" t="n"/>
      <c r="F70" s="56" t="n"/>
      <c r="G70" s="57" t="n"/>
      <c r="H70" s="57" t="n"/>
      <c r="I70" s="57" t="n"/>
      <c r="J70" s="57" t="n"/>
      <c r="K70" s="58">
        <f>IF(NOT((COUNTA($B70:$J70)+COUNTA($M70))&gt;0),"",IFERROR(LOOKUP(2,1/(G70:J70&lt;&gt;""),G70:J70),0))</f>
        <v/>
      </c>
      <c r="L70" s="53">
        <f>IF(K70="","",IF(K70&gt;=1,"Completado",IF(K70&gt;0,"En curso","Pendiente")))</f>
        <v/>
      </c>
      <c r="M70" s="54" t="n"/>
      <c r="N70" s="59">
        <f>IF(NOT((COUNTA($B70:$J70)+COUNTA($M70))&gt;0),"",IF((IF(B70="","Macroactividad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 OK","⚠ "&amp;LEFT(IF(B70="","Macroactividad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",""),LEN(IF(B70="","Macroactividad vacía"&amp;" · ","")&amp;IF(C70="","Sin responsable"&amp;" · ","")&amp;IF(D70="","Sin fecha de inicio"&amp;" · ","")&amp;IF(E70="","Sin fecha límite"&amp;" · ","")&amp;IF(OR(AND(D70&lt;&gt;"",NOT(ISNUMBER(D70))),AND(E70&lt;&gt;"",NOT(ISNUMBER(E70)))),"Fecha no válida"&amp;" · ","")&amp;IF(AND(ISNUMBER(D70),ISNUMBER(E70),D70&gt;E70),"Inicio posterior a fecha límite"&amp;" · ","")&amp;IF(F70="","Peso vacío"&amp;" · ","")&amp;IF(AND(F70&lt;&gt;"",OR(NOT(ISNUMBER(F70)),F70&lt;=0,F70&gt;1)),"Peso fuera de rango"&amp;" · ","")&amp;IF(ABS(SUM($F$5:$F$1000)-1)&gt;0.0001,"Pesos del puesto suman "&amp;TEXT(SUM($F$5:$F$1000),"0%")&amp;" · ","")&amp;IF((COUNTIF(G70:J70,"&gt;1")+COUNTIF(G70:J70,"&lt;0")+COUNTA(G70:J70)-COUNT(G70:J70))&gt;0,"Avance fuera de rango 0-100%"&amp;" · ","")&amp;IF(OR(AND(H70&lt;&gt;"",H70&lt;G70),AND(I70&lt;&gt;"",I70&lt;MAX(G70:H70)),AND(J70&lt;&gt;"",J70&lt;MAX(G70:I70))),"Avance semanal decreciente"&amp;" · ","")&amp;IF(AND(ISNUMBER(E70),E70&lt;FechaRef,N(K70)&lt;1),"Vencida"&amp;" · ","")&amp;IF(AND(ObsObligatoria="Sí",ISNUMBER(E70),E70&lt;FechaRef,N(K70)&lt;1,M70=""),"Vencida sin observación"&amp;" · ",""))-3)))</f>
        <v/>
      </c>
    </row>
    <row r="71">
      <c r="A71" s="53">
        <f>IF(NOT((COUNTA($B71:$J71)+COUNTA($M71))&gt;0),"",COUNTIF($L$5:$L71,"?*"))</f>
        <v/>
      </c>
      <c r="B71" s="54" t="n"/>
      <c r="C71" s="54" t="n"/>
      <c r="D71" s="55" t="n"/>
      <c r="E71" s="55" t="n"/>
      <c r="F71" s="56" t="n"/>
      <c r="G71" s="57" t="n"/>
      <c r="H71" s="57" t="n"/>
      <c r="I71" s="57" t="n"/>
      <c r="J71" s="57" t="n"/>
      <c r="K71" s="58">
        <f>IF(NOT((COUNTA($B71:$J71)+COUNTA($M71))&gt;0),"",IFERROR(LOOKUP(2,1/(G71:J71&lt;&gt;""),G71:J71),0))</f>
        <v/>
      </c>
      <c r="L71" s="53">
        <f>IF(K71="","",IF(K71&gt;=1,"Completado",IF(K71&gt;0,"En curso","Pendiente")))</f>
        <v/>
      </c>
      <c r="M71" s="54" t="n"/>
      <c r="N71" s="59">
        <f>IF(NOT((COUNTA($B71:$J71)+COUNTA($M71))&gt;0),"",IF((IF(B71="","Macroactividad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 OK","⚠ "&amp;LEFT(IF(B71="","Macroactividad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",""),LEN(IF(B71="","Macroactividad vacía"&amp;" · ","")&amp;IF(C71="","Sin responsable"&amp;" · ","")&amp;IF(D71="","Sin fecha de inicio"&amp;" · ","")&amp;IF(E71="","Sin fecha límite"&amp;" · ","")&amp;IF(OR(AND(D71&lt;&gt;"",NOT(ISNUMBER(D71))),AND(E71&lt;&gt;"",NOT(ISNUMBER(E71)))),"Fecha no válida"&amp;" · ","")&amp;IF(AND(ISNUMBER(D71),ISNUMBER(E71),D71&gt;E71),"Inicio posterior a fecha límite"&amp;" · ","")&amp;IF(F71="","Peso vacío"&amp;" · ","")&amp;IF(AND(F71&lt;&gt;"",OR(NOT(ISNUMBER(F71)),F71&lt;=0,F71&gt;1)),"Peso fuera de rango"&amp;" · ","")&amp;IF(ABS(SUM($F$5:$F$1000)-1)&gt;0.0001,"Pesos del puesto suman "&amp;TEXT(SUM($F$5:$F$1000),"0%")&amp;" · ","")&amp;IF((COUNTIF(G71:J71,"&gt;1")+COUNTIF(G71:J71,"&lt;0")+COUNTA(G71:J71)-COUNT(G71:J71))&gt;0,"Avance fuera de rango 0-100%"&amp;" · ","")&amp;IF(OR(AND(H71&lt;&gt;"",H71&lt;G71),AND(I71&lt;&gt;"",I71&lt;MAX(G71:H71)),AND(J71&lt;&gt;"",J71&lt;MAX(G71:I71))),"Avance semanal decreciente"&amp;" · ","")&amp;IF(AND(ISNUMBER(E71),E71&lt;FechaRef,N(K71)&lt;1),"Vencida"&amp;" · ","")&amp;IF(AND(ObsObligatoria="Sí",ISNUMBER(E71),E71&lt;FechaRef,N(K71)&lt;1,M71=""),"Vencida sin observación"&amp;" · ",""))-3)))</f>
        <v/>
      </c>
    </row>
    <row r="72">
      <c r="A72" s="53">
        <f>IF(NOT((COUNTA($B72:$J72)+COUNTA($M72))&gt;0),"",COUNTIF($L$5:$L72,"?*"))</f>
        <v/>
      </c>
      <c r="B72" s="54" t="n"/>
      <c r="C72" s="54" t="n"/>
      <c r="D72" s="55" t="n"/>
      <c r="E72" s="55" t="n"/>
      <c r="F72" s="56" t="n"/>
      <c r="G72" s="57" t="n"/>
      <c r="H72" s="57" t="n"/>
      <c r="I72" s="57" t="n"/>
      <c r="J72" s="57" t="n"/>
      <c r="K72" s="58">
        <f>IF(NOT((COUNTA($B72:$J72)+COUNTA($M72))&gt;0),"",IFERROR(LOOKUP(2,1/(G72:J72&lt;&gt;""),G72:J72),0))</f>
        <v/>
      </c>
      <c r="L72" s="53">
        <f>IF(K72="","",IF(K72&gt;=1,"Completado",IF(K72&gt;0,"En curso","Pendiente")))</f>
        <v/>
      </c>
      <c r="M72" s="54" t="n"/>
      <c r="N72" s="59">
        <f>IF(NOT((COUNTA($B72:$J72)+COUNTA($M72))&gt;0),"",IF((IF(B72="","Macroactividad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 OK","⚠ "&amp;LEFT(IF(B72="","Macroactividad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",""),LEN(IF(B72="","Macroactividad vacía"&amp;" · ","")&amp;IF(C72="","Sin responsable"&amp;" · ","")&amp;IF(D72="","Sin fecha de inicio"&amp;" · ","")&amp;IF(E72="","Sin fecha límite"&amp;" · ","")&amp;IF(OR(AND(D72&lt;&gt;"",NOT(ISNUMBER(D72))),AND(E72&lt;&gt;"",NOT(ISNUMBER(E72)))),"Fecha no válida"&amp;" · ","")&amp;IF(AND(ISNUMBER(D72),ISNUMBER(E72),D72&gt;E72),"Inicio posterior a fecha límite"&amp;" · ","")&amp;IF(F72="","Peso vacío"&amp;" · ","")&amp;IF(AND(F72&lt;&gt;"",OR(NOT(ISNUMBER(F72)),F72&lt;=0,F72&gt;1)),"Peso fuera de rango"&amp;" · ","")&amp;IF(ABS(SUM($F$5:$F$1000)-1)&gt;0.0001,"Pesos del puesto suman "&amp;TEXT(SUM($F$5:$F$1000),"0%")&amp;" · ","")&amp;IF((COUNTIF(G72:J72,"&gt;1")+COUNTIF(G72:J72,"&lt;0")+COUNTA(G72:J72)-COUNT(G72:J72))&gt;0,"Avance fuera de rango 0-100%"&amp;" · ","")&amp;IF(OR(AND(H72&lt;&gt;"",H72&lt;G72),AND(I72&lt;&gt;"",I72&lt;MAX(G72:H72)),AND(J72&lt;&gt;"",J72&lt;MAX(G72:I72))),"Avance semanal decreciente"&amp;" · ","")&amp;IF(AND(ISNUMBER(E72),E72&lt;FechaRef,N(K72)&lt;1),"Vencida"&amp;" · ","")&amp;IF(AND(ObsObligatoria="Sí",ISNUMBER(E72),E72&lt;FechaRef,N(K72)&lt;1,M72=""),"Vencida sin observación"&amp;" · ",""))-3)))</f>
        <v/>
      </c>
    </row>
    <row r="73">
      <c r="A73" s="53">
        <f>IF(NOT((COUNTA($B73:$J73)+COUNTA($M73))&gt;0),"",COUNTIF($L$5:$L73,"?*"))</f>
        <v/>
      </c>
      <c r="B73" s="54" t="n"/>
      <c r="C73" s="54" t="n"/>
      <c r="D73" s="55" t="n"/>
      <c r="E73" s="55" t="n"/>
      <c r="F73" s="56" t="n"/>
      <c r="G73" s="57" t="n"/>
      <c r="H73" s="57" t="n"/>
      <c r="I73" s="57" t="n"/>
      <c r="J73" s="57" t="n"/>
      <c r="K73" s="58">
        <f>IF(NOT((COUNTA($B73:$J73)+COUNTA($M73))&gt;0),"",IFERROR(LOOKUP(2,1/(G73:J73&lt;&gt;""),G73:J73),0))</f>
        <v/>
      </c>
      <c r="L73" s="53">
        <f>IF(K73="","",IF(K73&gt;=1,"Completado",IF(K73&gt;0,"En curso","Pendiente")))</f>
        <v/>
      </c>
      <c r="M73" s="54" t="n"/>
      <c r="N73" s="59">
        <f>IF(NOT((COUNTA($B73:$J73)+COUNTA($M73))&gt;0),"",IF((IF(B73="","Macroactividad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 OK","⚠ "&amp;LEFT(IF(B73="","Macroactividad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",""),LEN(IF(B73="","Macroactividad vacía"&amp;" · ","")&amp;IF(C73="","Sin responsable"&amp;" · ","")&amp;IF(D73="","Sin fecha de inicio"&amp;" · ","")&amp;IF(E73="","Sin fecha límite"&amp;" · ","")&amp;IF(OR(AND(D73&lt;&gt;"",NOT(ISNUMBER(D73))),AND(E73&lt;&gt;"",NOT(ISNUMBER(E73)))),"Fecha no válida"&amp;" · ","")&amp;IF(AND(ISNUMBER(D73),ISNUMBER(E73),D73&gt;E73),"Inicio posterior a fecha límite"&amp;" · ","")&amp;IF(F73="","Peso vacío"&amp;" · ","")&amp;IF(AND(F73&lt;&gt;"",OR(NOT(ISNUMBER(F73)),F73&lt;=0,F73&gt;1)),"Peso fuera de rango"&amp;" · ","")&amp;IF(ABS(SUM($F$5:$F$1000)-1)&gt;0.0001,"Pesos del puesto suman "&amp;TEXT(SUM($F$5:$F$1000),"0%")&amp;" · ","")&amp;IF((COUNTIF(G73:J73,"&gt;1")+COUNTIF(G73:J73,"&lt;0")+COUNTA(G73:J73)-COUNT(G73:J73))&gt;0,"Avance fuera de rango 0-100%"&amp;" · ","")&amp;IF(OR(AND(H73&lt;&gt;"",H73&lt;G73),AND(I73&lt;&gt;"",I73&lt;MAX(G73:H73)),AND(J73&lt;&gt;"",J73&lt;MAX(G73:I73))),"Avance semanal decreciente"&amp;" · ","")&amp;IF(AND(ISNUMBER(E73),E73&lt;FechaRef,N(K73)&lt;1),"Vencida"&amp;" · ","")&amp;IF(AND(ObsObligatoria="Sí",ISNUMBER(E73),E73&lt;FechaRef,N(K73)&lt;1,M73=""),"Vencida sin observación"&amp;" · ",""))-3)))</f>
        <v/>
      </c>
    </row>
    <row r="74">
      <c r="A74" s="53">
        <f>IF(NOT((COUNTA($B74:$J74)+COUNTA($M74))&gt;0),"",COUNTIF($L$5:$L74,"?*"))</f>
        <v/>
      </c>
      <c r="B74" s="54" t="n"/>
      <c r="C74" s="54" t="n"/>
      <c r="D74" s="55" t="n"/>
      <c r="E74" s="55" t="n"/>
      <c r="F74" s="56" t="n"/>
      <c r="G74" s="57" t="n"/>
      <c r="H74" s="57" t="n"/>
      <c r="I74" s="57" t="n"/>
      <c r="J74" s="57" t="n"/>
      <c r="K74" s="58">
        <f>IF(NOT((COUNTA($B74:$J74)+COUNTA($M74))&gt;0),"",IFERROR(LOOKUP(2,1/(G74:J74&lt;&gt;""),G74:J74),0))</f>
        <v/>
      </c>
      <c r="L74" s="53">
        <f>IF(K74="","",IF(K74&gt;=1,"Completado",IF(K74&gt;0,"En curso","Pendiente")))</f>
        <v/>
      </c>
      <c r="M74" s="54" t="n"/>
      <c r="N74" s="59">
        <f>IF(NOT((COUNTA($B74:$J74)+COUNTA($M74))&gt;0),"",IF((IF(B74="","Macroactividad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 OK","⚠ "&amp;LEFT(IF(B74="","Macroactividad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",""),LEN(IF(B74="","Macroactividad vacía"&amp;" · ","")&amp;IF(C74="","Sin responsable"&amp;" · ","")&amp;IF(D74="","Sin fecha de inicio"&amp;" · ","")&amp;IF(E74="","Sin fecha límite"&amp;" · ","")&amp;IF(OR(AND(D74&lt;&gt;"",NOT(ISNUMBER(D74))),AND(E74&lt;&gt;"",NOT(ISNUMBER(E74)))),"Fecha no válida"&amp;" · ","")&amp;IF(AND(ISNUMBER(D74),ISNUMBER(E74),D74&gt;E74),"Inicio posterior a fecha límite"&amp;" · ","")&amp;IF(F74="","Peso vacío"&amp;" · ","")&amp;IF(AND(F74&lt;&gt;"",OR(NOT(ISNUMBER(F74)),F74&lt;=0,F74&gt;1)),"Peso fuera de rango"&amp;" · ","")&amp;IF(ABS(SUM($F$5:$F$1000)-1)&gt;0.0001,"Pesos del puesto suman "&amp;TEXT(SUM($F$5:$F$1000),"0%")&amp;" · ","")&amp;IF((COUNTIF(G74:J74,"&gt;1")+COUNTIF(G74:J74,"&lt;0")+COUNTA(G74:J74)-COUNT(G74:J74))&gt;0,"Avance fuera de rango 0-100%"&amp;" · ","")&amp;IF(OR(AND(H74&lt;&gt;"",H74&lt;G74),AND(I74&lt;&gt;"",I74&lt;MAX(G74:H74)),AND(J74&lt;&gt;"",J74&lt;MAX(G74:I74))),"Avance semanal decreciente"&amp;" · ","")&amp;IF(AND(ISNUMBER(E74),E74&lt;FechaRef,N(K74)&lt;1),"Vencida"&amp;" · ","")&amp;IF(AND(ObsObligatoria="Sí",ISNUMBER(E74),E74&lt;FechaRef,N(K74)&lt;1,M74=""),"Vencida sin observación"&amp;" · ",""))-3)))</f>
        <v/>
      </c>
    </row>
    <row r="75">
      <c r="A75" s="53">
        <f>IF(NOT((COUNTA($B75:$J75)+COUNTA($M75))&gt;0),"",COUNTIF($L$5:$L75,"?*"))</f>
        <v/>
      </c>
      <c r="B75" s="54" t="n"/>
      <c r="C75" s="54" t="n"/>
      <c r="D75" s="55" t="n"/>
      <c r="E75" s="55" t="n"/>
      <c r="F75" s="56" t="n"/>
      <c r="G75" s="57" t="n"/>
      <c r="H75" s="57" t="n"/>
      <c r="I75" s="57" t="n"/>
      <c r="J75" s="57" t="n"/>
      <c r="K75" s="58">
        <f>IF(NOT((COUNTA($B75:$J75)+COUNTA($M75))&gt;0),"",IFERROR(LOOKUP(2,1/(G75:J75&lt;&gt;""),G75:J75),0))</f>
        <v/>
      </c>
      <c r="L75" s="53">
        <f>IF(K75="","",IF(K75&gt;=1,"Completado",IF(K75&gt;0,"En curso","Pendiente")))</f>
        <v/>
      </c>
      <c r="M75" s="54" t="n"/>
      <c r="N75" s="59">
        <f>IF(NOT((COUNTA($B75:$J75)+COUNTA($M75))&gt;0),"",IF((IF(B75="","Macroactividad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 OK","⚠ "&amp;LEFT(IF(B75="","Macroactividad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",""),LEN(IF(B75="","Macroactividad vacía"&amp;" · ","")&amp;IF(C75="","Sin responsable"&amp;" · ","")&amp;IF(D75="","Sin fecha de inicio"&amp;" · ","")&amp;IF(E75="","Sin fecha límite"&amp;" · ","")&amp;IF(OR(AND(D75&lt;&gt;"",NOT(ISNUMBER(D75))),AND(E75&lt;&gt;"",NOT(ISNUMBER(E75)))),"Fecha no válida"&amp;" · ","")&amp;IF(AND(ISNUMBER(D75),ISNUMBER(E75),D75&gt;E75),"Inicio posterior a fecha límite"&amp;" · ","")&amp;IF(F75="","Peso vacío"&amp;" · ","")&amp;IF(AND(F75&lt;&gt;"",OR(NOT(ISNUMBER(F75)),F75&lt;=0,F75&gt;1)),"Peso fuera de rango"&amp;" · ","")&amp;IF(ABS(SUM($F$5:$F$1000)-1)&gt;0.0001,"Pesos del puesto suman "&amp;TEXT(SUM($F$5:$F$1000),"0%")&amp;" · ","")&amp;IF((COUNTIF(G75:J75,"&gt;1")+COUNTIF(G75:J75,"&lt;0")+COUNTA(G75:J75)-COUNT(G75:J75))&gt;0,"Avance fuera de rango 0-100%"&amp;" · ","")&amp;IF(OR(AND(H75&lt;&gt;"",H75&lt;G75),AND(I75&lt;&gt;"",I75&lt;MAX(G75:H75)),AND(J75&lt;&gt;"",J75&lt;MAX(G75:I75))),"Avance semanal decreciente"&amp;" · ","")&amp;IF(AND(ISNUMBER(E75),E75&lt;FechaRef,N(K75)&lt;1),"Vencida"&amp;" · ","")&amp;IF(AND(ObsObligatoria="Sí",ISNUMBER(E75),E75&lt;FechaRef,N(K75)&lt;1,M75=""),"Vencida sin observación"&amp;" · ",""))-3)))</f>
        <v/>
      </c>
    </row>
    <row r="76">
      <c r="A76" s="53">
        <f>IF(NOT((COUNTA($B76:$J76)+COUNTA($M76))&gt;0),"",COUNTIF($L$5:$L76,"?*"))</f>
        <v/>
      </c>
      <c r="B76" s="54" t="n"/>
      <c r="C76" s="54" t="n"/>
      <c r="D76" s="55" t="n"/>
      <c r="E76" s="55" t="n"/>
      <c r="F76" s="56" t="n"/>
      <c r="G76" s="57" t="n"/>
      <c r="H76" s="57" t="n"/>
      <c r="I76" s="57" t="n"/>
      <c r="J76" s="57" t="n"/>
      <c r="K76" s="58">
        <f>IF(NOT((COUNTA($B76:$J76)+COUNTA($M76))&gt;0),"",IFERROR(LOOKUP(2,1/(G76:J76&lt;&gt;""),G76:J76),0))</f>
        <v/>
      </c>
      <c r="L76" s="53">
        <f>IF(K76="","",IF(K76&gt;=1,"Completado",IF(K76&gt;0,"En curso","Pendiente")))</f>
        <v/>
      </c>
      <c r="M76" s="54" t="n"/>
      <c r="N76" s="59">
        <f>IF(NOT((COUNTA($B76:$J76)+COUNTA($M76))&gt;0),"",IF((IF(B76="","Macroactividad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 OK","⚠ "&amp;LEFT(IF(B76="","Macroactividad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",""),LEN(IF(B76="","Macroactividad vacía"&amp;" · ","")&amp;IF(C76="","Sin responsable"&amp;" · ","")&amp;IF(D76="","Sin fecha de inicio"&amp;" · ","")&amp;IF(E76="","Sin fecha límite"&amp;" · ","")&amp;IF(OR(AND(D76&lt;&gt;"",NOT(ISNUMBER(D76))),AND(E76&lt;&gt;"",NOT(ISNUMBER(E76)))),"Fecha no válida"&amp;" · ","")&amp;IF(AND(ISNUMBER(D76),ISNUMBER(E76),D76&gt;E76),"Inicio posterior a fecha límite"&amp;" · ","")&amp;IF(F76="","Peso vacío"&amp;" · ","")&amp;IF(AND(F76&lt;&gt;"",OR(NOT(ISNUMBER(F76)),F76&lt;=0,F76&gt;1)),"Peso fuera de rango"&amp;" · ","")&amp;IF(ABS(SUM($F$5:$F$1000)-1)&gt;0.0001,"Pesos del puesto suman "&amp;TEXT(SUM($F$5:$F$1000),"0%")&amp;" · ","")&amp;IF((COUNTIF(G76:J76,"&gt;1")+COUNTIF(G76:J76,"&lt;0")+COUNTA(G76:J76)-COUNT(G76:J76))&gt;0,"Avance fuera de rango 0-100%"&amp;" · ","")&amp;IF(OR(AND(H76&lt;&gt;"",H76&lt;G76),AND(I76&lt;&gt;"",I76&lt;MAX(G76:H76)),AND(J76&lt;&gt;"",J76&lt;MAX(G76:I76))),"Avance semanal decreciente"&amp;" · ","")&amp;IF(AND(ISNUMBER(E76),E76&lt;FechaRef,N(K76)&lt;1),"Vencida"&amp;" · ","")&amp;IF(AND(ObsObligatoria="Sí",ISNUMBER(E76),E76&lt;FechaRef,N(K76)&lt;1,M76=""),"Vencida sin observación"&amp;" · ",""))-3)))</f>
        <v/>
      </c>
    </row>
    <row r="77">
      <c r="A77" s="53">
        <f>IF(NOT((COUNTA($B77:$J77)+COUNTA($M77))&gt;0),"",COUNTIF($L$5:$L77,"?*"))</f>
        <v/>
      </c>
      <c r="B77" s="54" t="n"/>
      <c r="C77" s="54" t="n"/>
      <c r="D77" s="55" t="n"/>
      <c r="E77" s="55" t="n"/>
      <c r="F77" s="56" t="n"/>
      <c r="G77" s="57" t="n"/>
      <c r="H77" s="57" t="n"/>
      <c r="I77" s="57" t="n"/>
      <c r="J77" s="57" t="n"/>
      <c r="K77" s="58">
        <f>IF(NOT((COUNTA($B77:$J77)+COUNTA($M77))&gt;0),"",IFERROR(LOOKUP(2,1/(G77:J77&lt;&gt;""),G77:J77),0))</f>
        <v/>
      </c>
      <c r="L77" s="53">
        <f>IF(K77="","",IF(K77&gt;=1,"Completado",IF(K77&gt;0,"En curso","Pendiente")))</f>
        <v/>
      </c>
      <c r="M77" s="54" t="n"/>
      <c r="N77" s="59">
        <f>IF(NOT((COUNTA($B77:$J77)+COUNTA($M77))&gt;0),"",IF((IF(B77="","Macroactividad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 OK","⚠ "&amp;LEFT(IF(B77="","Macroactividad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",""),LEN(IF(B77="","Macroactividad vacía"&amp;" · ","")&amp;IF(C77="","Sin responsable"&amp;" · ","")&amp;IF(D77="","Sin fecha de inicio"&amp;" · ","")&amp;IF(E77="","Sin fecha límite"&amp;" · ","")&amp;IF(OR(AND(D77&lt;&gt;"",NOT(ISNUMBER(D77))),AND(E77&lt;&gt;"",NOT(ISNUMBER(E77)))),"Fecha no válida"&amp;" · ","")&amp;IF(AND(ISNUMBER(D77),ISNUMBER(E77),D77&gt;E77),"Inicio posterior a fecha límite"&amp;" · ","")&amp;IF(F77="","Peso vacío"&amp;" · ","")&amp;IF(AND(F77&lt;&gt;"",OR(NOT(ISNUMBER(F77)),F77&lt;=0,F77&gt;1)),"Peso fuera de rango"&amp;" · ","")&amp;IF(ABS(SUM($F$5:$F$1000)-1)&gt;0.0001,"Pesos del puesto suman "&amp;TEXT(SUM($F$5:$F$1000),"0%")&amp;" · ","")&amp;IF((COUNTIF(G77:J77,"&gt;1")+COUNTIF(G77:J77,"&lt;0")+COUNTA(G77:J77)-COUNT(G77:J77))&gt;0,"Avance fuera de rango 0-100%"&amp;" · ","")&amp;IF(OR(AND(H77&lt;&gt;"",H77&lt;G77),AND(I77&lt;&gt;"",I77&lt;MAX(G77:H77)),AND(J77&lt;&gt;"",J77&lt;MAX(G77:I77))),"Avance semanal decreciente"&amp;" · ","")&amp;IF(AND(ISNUMBER(E77),E77&lt;FechaRef,N(K77)&lt;1),"Vencida"&amp;" · ","")&amp;IF(AND(ObsObligatoria="Sí",ISNUMBER(E77),E77&lt;FechaRef,N(K77)&lt;1,M77=""),"Vencida sin observación"&amp;" · ",""))-3)))</f>
        <v/>
      </c>
    </row>
    <row r="78">
      <c r="A78" s="53">
        <f>IF(NOT((COUNTA($B78:$J78)+COUNTA($M78))&gt;0),"",COUNTIF($L$5:$L78,"?*"))</f>
        <v/>
      </c>
      <c r="B78" s="54" t="n"/>
      <c r="C78" s="54" t="n"/>
      <c r="D78" s="55" t="n"/>
      <c r="E78" s="55" t="n"/>
      <c r="F78" s="56" t="n"/>
      <c r="G78" s="57" t="n"/>
      <c r="H78" s="57" t="n"/>
      <c r="I78" s="57" t="n"/>
      <c r="J78" s="57" t="n"/>
      <c r="K78" s="58">
        <f>IF(NOT((COUNTA($B78:$J78)+COUNTA($M78))&gt;0),"",IFERROR(LOOKUP(2,1/(G78:J78&lt;&gt;""),G78:J78),0))</f>
        <v/>
      </c>
      <c r="L78" s="53">
        <f>IF(K78="","",IF(K78&gt;=1,"Completado",IF(K78&gt;0,"En curso","Pendiente")))</f>
        <v/>
      </c>
      <c r="M78" s="54" t="n"/>
      <c r="N78" s="59">
        <f>IF(NOT((COUNTA($B78:$J78)+COUNTA($M78))&gt;0),"",IF((IF(B78="","Macroactividad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 OK","⚠ "&amp;LEFT(IF(B78="","Macroactividad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",""),LEN(IF(B78="","Macroactividad vacía"&amp;" · ","")&amp;IF(C78="","Sin responsable"&amp;" · ","")&amp;IF(D78="","Sin fecha de inicio"&amp;" · ","")&amp;IF(E78="","Sin fecha límite"&amp;" · ","")&amp;IF(OR(AND(D78&lt;&gt;"",NOT(ISNUMBER(D78))),AND(E78&lt;&gt;"",NOT(ISNUMBER(E78)))),"Fecha no válida"&amp;" · ","")&amp;IF(AND(ISNUMBER(D78),ISNUMBER(E78),D78&gt;E78),"Inicio posterior a fecha límite"&amp;" · ","")&amp;IF(F78="","Peso vacío"&amp;" · ","")&amp;IF(AND(F78&lt;&gt;"",OR(NOT(ISNUMBER(F78)),F78&lt;=0,F78&gt;1)),"Peso fuera de rango"&amp;" · ","")&amp;IF(ABS(SUM($F$5:$F$1000)-1)&gt;0.0001,"Pesos del puesto suman "&amp;TEXT(SUM($F$5:$F$1000),"0%")&amp;" · ","")&amp;IF((COUNTIF(G78:J78,"&gt;1")+COUNTIF(G78:J78,"&lt;0")+COUNTA(G78:J78)-COUNT(G78:J78))&gt;0,"Avance fuera de rango 0-100%"&amp;" · ","")&amp;IF(OR(AND(H78&lt;&gt;"",H78&lt;G78),AND(I78&lt;&gt;"",I78&lt;MAX(G78:H78)),AND(J78&lt;&gt;"",J78&lt;MAX(G78:I78))),"Avance semanal decreciente"&amp;" · ","")&amp;IF(AND(ISNUMBER(E78),E78&lt;FechaRef,N(K78)&lt;1),"Vencida"&amp;" · ","")&amp;IF(AND(ObsObligatoria="Sí",ISNUMBER(E78),E78&lt;FechaRef,N(K78)&lt;1,M78=""),"Vencida sin observación"&amp;" · ",""))-3)))</f>
        <v/>
      </c>
    </row>
    <row r="79">
      <c r="A79" s="53">
        <f>IF(NOT((COUNTA($B79:$J79)+COUNTA($M79))&gt;0),"",COUNTIF($L$5:$L79,"?*"))</f>
        <v/>
      </c>
      <c r="B79" s="54" t="n"/>
      <c r="C79" s="54" t="n"/>
      <c r="D79" s="55" t="n"/>
      <c r="E79" s="55" t="n"/>
      <c r="F79" s="56" t="n"/>
      <c r="G79" s="57" t="n"/>
      <c r="H79" s="57" t="n"/>
      <c r="I79" s="57" t="n"/>
      <c r="J79" s="57" t="n"/>
      <c r="K79" s="58">
        <f>IF(NOT((COUNTA($B79:$J79)+COUNTA($M79))&gt;0),"",IFERROR(LOOKUP(2,1/(G79:J79&lt;&gt;""),G79:J79),0))</f>
        <v/>
      </c>
      <c r="L79" s="53">
        <f>IF(K79="","",IF(K79&gt;=1,"Completado",IF(K79&gt;0,"En curso","Pendiente")))</f>
        <v/>
      </c>
      <c r="M79" s="54" t="n"/>
      <c r="N79" s="59">
        <f>IF(NOT((COUNTA($B79:$J79)+COUNTA($M79))&gt;0),"",IF((IF(B79="","Macroactividad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 OK","⚠ "&amp;LEFT(IF(B79="","Macroactividad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",""),LEN(IF(B79="","Macroactividad vacía"&amp;" · ","")&amp;IF(C79="","Sin responsable"&amp;" · ","")&amp;IF(D79="","Sin fecha de inicio"&amp;" · ","")&amp;IF(E79="","Sin fecha límite"&amp;" · ","")&amp;IF(OR(AND(D79&lt;&gt;"",NOT(ISNUMBER(D79))),AND(E79&lt;&gt;"",NOT(ISNUMBER(E79)))),"Fecha no válida"&amp;" · ","")&amp;IF(AND(ISNUMBER(D79),ISNUMBER(E79),D79&gt;E79),"Inicio posterior a fecha límite"&amp;" · ","")&amp;IF(F79="","Peso vacío"&amp;" · ","")&amp;IF(AND(F79&lt;&gt;"",OR(NOT(ISNUMBER(F79)),F79&lt;=0,F79&gt;1)),"Peso fuera de rango"&amp;" · ","")&amp;IF(ABS(SUM($F$5:$F$1000)-1)&gt;0.0001,"Pesos del puesto suman "&amp;TEXT(SUM($F$5:$F$1000),"0%")&amp;" · ","")&amp;IF((COUNTIF(G79:J79,"&gt;1")+COUNTIF(G79:J79,"&lt;0")+COUNTA(G79:J79)-COUNT(G79:J79))&gt;0,"Avance fuera de rango 0-100%"&amp;" · ","")&amp;IF(OR(AND(H79&lt;&gt;"",H79&lt;G79),AND(I79&lt;&gt;"",I79&lt;MAX(G79:H79)),AND(J79&lt;&gt;"",J79&lt;MAX(G79:I79))),"Avance semanal decreciente"&amp;" · ","")&amp;IF(AND(ISNUMBER(E79),E79&lt;FechaRef,N(K79)&lt;1),"Vencida"&amp;" · ","")&amp;IF(AND(ObsObligatoria="Sí",ISNUMBER(E79),E79&lt;FechaRef,N(K79)&lt;1,M79=""),"Vencida sin observación"&amp;" · ",""))-3)))</f>
        <v/>
      </c>
    </row>
    <row r="80">
      <c r="A80" s="53">
        <f>IF(NOT((COUNTA($B80:$J80)+COUNTA($M80))&gt;0),"",COUNTIF($L$5:$L80,"?*"))</f>
        <v/>
      </c>
      <c r="B80" s="54" t="n"/>
      <c r="C80" s="54" t="n"/>
      <c r="D80" s="55" t="n"/>
      <c r="E80" s="55" t="n"/>
      <c r="F80" s="56" t="n"/>
      <c r="G80" s="57" t="n"/>
      <c r="H80" s="57" t="n"/>
      <c r="I80" s="57" t="n"/>
      <c r="J80" s="57" t="n"/>
      <c r="K80" s="58">
        <f>IF(NOT((COUNTA($B80:$J80)+COUNTA($M80))&gt;0),"",IFERROR(LOOKUP(2,1/(G80:J80&lt;&gt;""),G80:J80),0))</f>
        <v/>
      </c>
      <c r="L80" s="53">
        <f>IF(K80="","",IF(K80&gt;=1,"Completado",IF(K80&gt;0,"En curso","Pendiente")))</f>
        <v/>
      </c>
      <c r="M80" s="54" t="n"/>
      <c r="N80" s="59">
        <f>IF(NOT((COUNTA($B80:$J80)+COUNTA($M80))&gt;0),"",IF((IF(B80="","Macroactividad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 OK","⚠ "&amp;LEFT(IF(B80="","Macroactividad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",""),LEN(IF(B80="","Macroactividad vacía"&amp;" · ","")&amp;IF(C80="","Sin responsable"&amp;" · ","")&amp;IF(D80="","Sin fecha de inicio"&amp;" · ","")&amp;IF(E80="","Sin fecha límite"&amp;" · ","")&amp;IF(OR(AND(D80&lt;&gt;"",NOT(ISNUMBER(D80))),AND(E80&lt;&gt;"",NOT(ISNUMBER(E80)))),"Fecha no válida"&amp;" · ","")&amp;IF(AND(ISNUMBER(D80),ISNUMBER(E80),D80&gt;E80),"Inicio posterior a fecha límite"&amp;" · ","")&amp;IF(F80="","Peso vacío"&amp;" · ","")&amp;IF(AND(F80&lt;&gt;"",OR(NOT(ISNUMBER(F80)),F80&lt;=0,F80&gt;1)),"Peso fuera de rango"&amp;" · ","")&amp;IF(ABS(SUM($F$5:$F$1000)-1)&gt;0.0001,"Pesos del puesto suman "&amp;TEXT(SUM($F$5:$F$1000),"0%")&amp;" · ","")&amp;IF((COUNTIF(G80:J80,"&gt;1")+COUNTIF(G80:J80,"&lt;0")+COUNTA(G80:J80)-COUNT(G80:J80))&gt;0,"Avance fuera de rango 0-100%"&amp;" · ","")&amp;IF(OR(AND(H80&lt;&gt;"",H80&lt;G80),AND(I80&lt;&gt;"",I80&lt;MAX(G80:H80)),AND(J80&lt;&gt;"",J80&lt;MAX(G80:I80))),"Avance semanal decreciente"&amp;" · ","")&amp;IF(AND(ISNUMBER(E80),E80&lt;FechaRef,N(K80)&lt;1),"Vencida"&amp;" · ","")&amp;IF(AND(ObsObligatoria="Sí",ISNUMBER(E80),E80&lt;FechaRef,N(K80)&lt;1,M80=""),"Vencida sin observación"&amp;" · ",""))-3)))</f>
        <v/>
      </c>
    </row>
    <row r="81">
      <c r="A81" s="53">
        <f>IF(NOT((COUNTA($B81:$J81)+COUNTA($M81))&gt;0),"",COUNTIF($L$5:$L81,"?*"))</f>
        <v/>
      </c>
      <c r="B81" s="54" t="n"/>
      <c r="C81" s="54" t="n"/>
      <c r="D81" s="55" t="n"/>
      <c r="E81" s="55" t="n"/>
      <c r="F81" s="56" t="n"/>
      <c r="G81" s="57" t="n"/>
      <c r="H81" s="57" t="n"/>
      <c r="I81" s="57" t="n"/>
      <c r="J81" s="57" t="n"/>
      <c r="K81" s="58">
        <f>IF(NOT((COUNTA($B81:$J81)+COUNTA($M81))&gt;0),"",IFERROR(LOOKUP(2,1/(G81:J81&lt;&gt;""),G81:J81),0))</f>
        <v/>
      </c>
      <c r="L81" s="53">
        <f>IF(K81="","",IF(K81&gt;=1,"Completado",IF(K81&gt;0,"En curso","Pendiente")))</f>
        <v/>
      </c>
      <c r="M81" s="54" t="n"/>
      <c r="N81" s="59">
        <f>IF(NOT((COUNTA($B81:$J81)+COUNTA($M81))&gt;0),"",IF((IF(B81="","Macroactividad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 OK","⚠ "&amp;LEFT(IF(B81="","Macroactividad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",""),LEN(IF(B81="","Macroactividad vacía"&amp;" · ","")&amp;IF(C81="","Sin responsable"&amp;" · ","")&amp;IF(D81="","Sin fecha de inicio"&amp;" · ","")&amp;IF(E81="","Sin fecha límite"&amp;" · ","")&amp;IF(OR(AND(D81&lt;&gt;"",NOT(ISNUMBER(D81))),AND(E81&lt;&gt;"",NOT(ISNUMBER(E81)))),"Fecha no válida"&amp;" · ","")&amp;IF(AND(ISNUMBER(D81),ISNUMBER(E81),D81&gt;E81),"Inicio posterior a fecha límite"&amp;" · ","")&amp;IF(F81="","Peso vacío"&amp;" · ","")&amp;IF(AND(F81&lt;&gt;"",OR(NOT(ISNUMBER(F81)),F81&lt;=0,F81&gt;1)),"Peso fuera de rango"&amp;" · ","")&amp;IF(ABS(SUM($F$5:$F$1000)-1)&gt;0.0001,"Pesos del puesto suman "&amp;TEXT(SUM($F$5:$F$1000),"0%")&amp;" · ","")&amp;IF((COUNTIF(G81:J81,"&gt;1")+COUNTIF(G81:J81,"&lt;0")+COUNTA(G81:J81)-COUNT(G81:J81))&gt;0,"Avance fuera de rango 0-100%"&amp;" · ","")&amp;IF(OR(AND(H81&lt;&gt;"",H81&lt;G81),AND(I81&lt;&gt;"",I81&lt;MAX(G81:H81)),AND(J81&lt;&gt;"",J81&lt;MAX(G81:I81))),"Avance semanal decreciente"&amp;" · ","")&amp;IF(AND(ISNUMBER(E81),E81&lt;FechaRef,N(K81)&lt;1),"Vencida"&amp;" · ","")&amp;IF(AND(ObsObligatoria="Sí",ISNUMBER(E81),E81&lt;FechaRef,N(K81)&lt;1,M81=""),"Vencida sin observación"&amp;" · ",""))-3)))</f>
        <v/>
      </c>
    </row>
    <row r="82">
      <c r="A82" s="53">
        <f>IF(NOT((COUNTA($B82:$J82)+COUNTA($M82))&gt;0),"",COUNTIF($L$5:$L82,"?*"))</f>
        <v/>
      </c>
      <c r="B82" s="54" t="n"/>
      <c r="C82" s="54" t="n"/>
      <c r="D82" s="55" t="n"/>
      <c r="E82" s="55" t="n"/>
      <c r="F82" s="56" t="n"/>
      <c r="G82" s="57" t="n"/>
      <c r="H82" s="57" t="n"/>
      <c r="I82" s="57" t="n"/>
      <c r="J82" s="57" t="n"/>
      <c r="K82" s="58">
        <f>IF(NOT((COUNTA($B82:$J82)+COUNTA($M82))&gt;0),"",IFERROR(LOOKUP(2,1/(G82:J82&lt;&gt;""),G82:J82),0))</f>
        <v/>
      </c>
      <c r="L82" s="53">
        <f>IF(K82="","",IF(K82&gt;=1,"Completado",IF(K82&gt;0,"En curso","Pendiente")))</f>
        <v/>
      </c>
      <c r="M82" s="54" t="n"/>
      <c r="N82" s="59">
        <f>IF(NOT((COUNTA($B82:$J82)+COUNTA($M82))&gt;0),"",IF((IF(B82="","Macroactividad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 OK","⚠ "&amp;LEFT(IF(B82="","Macroactividad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",""),LEN(IF(B82="","Macroactividad vacía"&amp;" · ","")&amp;IF(C82="","Sin responsable"&amp;" · ","")&amp;IF(D82="","Sin fecha de inicio"&amp;" · ","")&amp;IF(E82="","Sin fecha límite"&amp;" · ","")&amp;IF(OR(AND(D82&lt;&gt;"",NOT(ISNUMBER(D82))),AND(E82&lt;&gt;"",NOT(ISNUMBER(E82)))),"Fecha no válida"&amp;" · ","")&amp;IF(AND(ISNUMBER(D82),ISNUMBER(E82),D82&gt;E82),"Inicio posterior a fecha límite"&amp;" · ","")&amp;IF(F82="","Peso vacío"&amp;" · ","")&amp;IF(AND(F82&lt;&gt;"",OR(NOT(ISNUMBER(F82)),F82&lt;=0,F82&gt;1)),"Peso fuera de rango"&amp;" · ","")&amp;IF(ABS(SUM($F$5:$F$1000)-1)&gt;0.0001,"Pesos del puesto suman "&amp;TEXT(SUM($F$5:$F$1000),"0%")&amp;" · ","")&amp;IF((COUNTIF(G82:J82,"&gt;1")+COUNTIF(G82:J82,"&lt;0")+COUNTA(G82:J82)-COUNT(G82:J82))&gt;0,"Avance fuera de rango 0-100%"&amp;" · ","")&amp;IF(OR(AND(H82&lt;&gt;"",H82&lt;G82),AND(I82&lt;&gt;"",I82&lt;MAX(G82:H82)),AND(J82&lt;&gt;"",J82&lt;MAX(G82:I82))),"Avance semanal decreciente"&amp;" · ","")&amp;IF(AND(ISNUMBER(E82),E82&lt;FechaRef,N(K82)&lt;1),"Vencida"&amp;" · ","")&amp;IF(AND(ObsObligatoria="Sí",ISNUMBER(E82),E82&lt;FechaRef,N(K82)&lt;1,M82=""),"Vencida sin observación"&amp;" · ",""))-3)))</f>
        <v/>
      </c>
    </row>
    <row r="83">
      <c r="A83" s="53">
        <f>IF(NOT((COUNTA($B83:$J83)+COUNTA($M83))&gt;0),"",COUNTIF($L$5:$L83,"?*"))</f>
        <v/>
      </c>
      <c r="B83" s="54" t="n"/>
      <c r="C83" s="54" t="n"/>
      <c r="D83" s="55" t="n"/>
      <c r="E83" s="55" t="n"/>
      <c r="F83" s="56" t="n"/>
      <c r="G83" s="57" t="n"/>
      <c r="H83" s="57" t="n"/>
      <c r="I83" s="57" t="n"/>
      <c r="J83" s="57" t="n"/>
      <c r="K83" s="58">
        <f>IF(NOT((COUNTA($B83:$J83)+COUNTA($M83))&gt;0),"",IFERROR(LOOKUP(2,1/(G83:J83&lt;&gt;""),G83:J83),0))</f>
        <v/>
      </c>
      <c r="L83" s="53">
        <f>IF(K83="","",IF(K83&gt;=1,"Completado",IF(K83&gt;0,"En curso","Pendiente")))</f>
        <v/>
      </c>
      <c r="M83" s="54" t="n"/>
      <c r="N83" s="59">
        <f>IF(NOT((COUNTA($B83:$J83)+COUNTA($M83))&gt;0),"",IF((IF(B83="","Macroactividad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 OK","⚠ "&amp;LEFT(IF(B83="","Macroactividad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",""),LEN(IF(B83="","Macroactividad vacía"&amp;" · ","")&amp;IF(C83="","Sin responsable"&amp;" · ","")&amp;IF(D83="","Sin fecha de inicio"&amp;" · ","")&amp;IF(E83="","Sin fecha límite"&amp;" · ","")&amp;IF(OR(AND(D83&lt;&gt;"",NOT(ISNUMBER(D83))),AND(E83&lt;&gt;"",NOT(ISNUMBER(E83)))),"Fecha no válida"&amp;" · ","")&amp;IF(AND(ISNUMBER(D83),ISNUMBER(E83),D83&gt;E83),"Inicio posterior a fecha límite"&amp;" · ","")&amp;IF(F83="","Peso vacío"&amp;" · ","")&amp;IF(AND(F83&lt;&gt;"",OR(NOT(ISNUMBER(F83)),F83&lt;=0,F83&gt;1)),"Peso fuera de rango"&amp;" · ","")&amp;IF(ABS(SUM($F$5:$F$1000)-1)&gt;0.0001,"Pesos del puesto suman "&amp;TEXT(SUM($F$5:$F$1000),"0%")&amp;" · ","")&amp;IF((COUNTIF(G83:J83,"&gt;1")+COUNTIF(G83:J83,"&lt;0")+COUNTA(G83:J83)-COUNT(G83:J83))&gt;0,"Avance fuera de rango 0-100%"&amp;" · ","")&amp;IF(OR(AND(H83&lt;&gt;"",H83&lt;G83),AND(I83&lt;&gt;"",I83&lt;MAX(G83:H83)),AND(J83&lt;&gt;"",J83&lt;MAX(G83:I83))),"Avance semanal decreciente"&amp;" · ","")&amp;IF(AND(ISNUMBER(E83),E83&lt;FechaRef,N(K83)&lt;1),"Vencida"&amp;" · ","")&amp;IF(AND(ObsObligatoria="Sí",ISNUMBER(E83),E83&lt;FechaRef,N(K83)&lt;1,M83=""),"Vencida sin observación"&amp;" · ",""))-3)))</f>
        <v/>
      </c>
    </row>
    <row r="84">
      <c r="A84" s="53">
        <f>IF(NOT((COUNTA($B84:$J84)+COUNTA($M84))&gt;0),"",COUNTIF($L$5:$L84,"?*"))</f>
        <v/>
      </c>
      <c r="B84" s="54" t="n"/>
      <c r="C84" s="54" t="n"/>
      <c r="D84" s="55" t="n"/>
      <c r="E84" s="55" t="n"/>
      <c r="F84" s="56" t="n"/>
      <c r="G84" s="57" t="n"/>
      <c r="H84" s="57" t="n"/>
      <c r="I84" s="57" t="n"/>
      <c r="J84" s="57" t="n"/>
      <c r="K84" s="58">
        <f>IF(NOT((COUNTA($B84:$J84)+COUNTA($M84))&gt;0),"",IFERROR(LOOKUP(2,1/(G84:J84&lt;&gt;""),G84:J84),0))</f>
        <v/>
      </c>
      <c r="L84" s="53">
        <f>IF(K84="","",IF(K84&gt;=1,"Completado",IF(K84&gt;0,"En curso","Pendiente")))</f>
        <v/>
      </c>
      <c r="M84" s="54" t="n"/>
      <c r="N84" s="59">
        <f>IF(NOT((COUNTA($B84:$J84)+COUNTA($M84))&gt;0),"",IF((IF(B84="","Macroactividad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 OK","⚠ "&amp;LEFT(IF(B84="","Macroactividad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",""),LEN(IF(B84="","Macroactividad vacía"&amp;" · ","")&amp;IF(C84="","Sin responsable"&amp;" · ","")&amp;IF(D84="","Sin fecha de inicio"&amp;" · ","")&amp;IF(E84="","Sin fecha límite"&amp;" · ","")&amp;IF(OR(AND(D84&lt;&gt;"",NOT(ISNUMBER(D84))),AND(E84&lt;&gt;"",NOT(ISNUMBER(E84)))),"Fecha no válida"&amp;" · ","")&amp;IF(AND(ISNUMBER(D84),ISNUMBER(E84),D84&gt;E84),"Inicio posterior a fecha límite"&amp;" · ","")&amp;IF(F84="","Peso vacío"&amp;" · ","")&amp;IF(AND(F84&lt;&gt;"",OR(NOT(ISNUMBER(F84)),F84&lt;=0,F84&gt;1)),"Peso fuera de rango"&amp;" · ","")&amp;IF(ABS(SUM($F$5:$F$1000)-1)&gt;0.0001,"Pesos del puesto suman "&amp;TEXT(SUM($F$5:$F$1000),"0%")&amp;" · ","")&amp;IF((COUNTIF(G84:J84,"&gt;1")+COUNTIF(G84:J84,"&lt;0")+COUNTA(G84:J84)-COUNT(G84:J84))&gt;0,"Avance fuera de rango 0-100%"&amp;" · ","")&amp;IF(OR(AND(H84&lt;&gt;"",H84&lt;G84),AND(I84&lt;&gt;"",I84&lt;MAX(G84:H84)),AND(J84&lt;&gt;"",J84&lt;MAX(G84:I84))),"Avance semanal decreciente"&amp;" · ","")&amp;IF(AND(ISNUMBER(E84),E84&lt;FechaRef,N(K84)&lt;1),"Vencida"&amp;" · ","")&amp;IF(AND(ObsObligatoria="Sí",ISNUMBER(E84),E84&lt;FechaRef,N(K84)&lt;1,M84=""),"Vencida sin observación"&amp;" · ",""))-3)))</f>
        <v/>
      </c>
    </row>
    <row r="85">
      <c r="A85" s="53">
        <f>IF(NOT((COUNTA($B85:$J85)+COUNTA($M85))&gt;0),"",COUNTIF($L$5:$L85,"?*"))</f>
        <v/>
      </c>
      <c r="B85" s="54" t="n"/>
      <c r="C85" s="54" t="n"/>
      <c r="D85" s="55" t="n"/>
      <c r="E85" s="55" t="n"/>
      <c r="F85" s="56" t="n"/>
      <c r="G85" s="57" t="n"/>
      <c r="H85" s="57" t="n"/>
      <c r="I85" s="57" t="n"/>
      <c r="J85" s="57" t="n"/>
      <c r="K85" s="58">
        <f>IF(NOT((COUNTA($B85:$J85)+COUNTA($M85))&gt;0),"",IFERROR(LOOKUP(2,1/(G85:J85&lt;&gt;""),G85:J85),0))</f>
        <v/>
      </c>
      <c r="L85" s="53">
        <f>IF(K85="","",IF(K85&gt;=1,"Completado",IF(K85&gt;0,"En curso","Pendiente")))</f>
        <v/>
      </c>
      <c r="M85" s="54" t="n"/>
      <c r="N85" s="59">
        <f>IF(NOT((COUNTA($B85:$J85)+COUNTA($M85))&gt;0),"",IF((IF(B85="","Macroactividad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 OK","⚠ "&amp;LEFT(IF(B85="","Macroactividad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",""),LEN(IF(B85="","Macroactividad vacía"&amp;" · ","")&amp;IF(C85="","Sin responsable"&amp;" · ","")&amp;IF(D85="","Sin fecha de inicio"&amp;" · ","")&amp;IF(E85="","Sin fecha límite"&amp;" · ","")&amp;IF(OR(AND(D85&lt;&gt;"",NOT(ISNUMBER(D85))),AND(E85&lt;&gt;"",NOT(ISNUMBER(E85)))),"Fecha no válida"&amp;" · ","")&amp;IF(AND(ISNUMBER(D85),ISNUMBER(E85),D85&gt;E85),"Inicio posterior a fecha límite"&amp;" · ","")&amp;IF(F85="","Peso vacío"&amp;" · ","")&amp;IF(AND(F85&lt;&gt;"",OR(NOT(ISNUMBER(F85)),F85&lt;=0,F85&gt;1)),"Peso fuera de rango"&amp;" · ","")&amp;IF(ABS(SUM($F$5:$F$1000)-1)&gt;0.0001,"Pesos del puesto suman "&amp;TEXT(SUM($F$5:$F$1000),"0%")&amp;" · ","")&amp;IF((COUNTIF(G85:J85,"&gt;1")+COUNTIF(G85:J85,"&lt;0")+COUNTA(G85:J85)-COUNT(G85:J85))&gt;0,"Avance fuera de rango 0-100%"&amp;" · ","")&amp;IF(OR(AND(H85&lt;&gt;"",H85&lt;G85),AND(I85&lt;&gt;"",I85&lt;MAX(G85:H85)),AND(J85&lt;&gt;"",J85&lt;MAX(G85:I85))),"Avance semanal decreciente"&amp;" · ","")&amp;IF(AND(ISNUMBER(E85),E85&lt;FechaRef,N(K85)&lt;1),"Vencida"&amp;" · ","")&amp;IF(AND(ObsObligatoria="Sí",ISNUMBER(E85),E85&lt;FechaRef,N(K85)&lt;1,M85=""),"Vencida sin observación"&amp;" · ",""))-3)))</f>
        <v/>
      </c>
    </row>
    <row r="86">
      <c r="A86" s="53">
        <f>IF(NOT((COUNTA($B86:$J86)+COUNTA($M86))&gt;0),"",COUNTIF($L$5:$L86,"?*"))</f>
        <v/>
      </c>
      <c r="B86" s="54" t="n"/>
      <c r="C86" s="54" t="n"/>
      <c r="D86" s="55" t="n"/>
      <c r="E86" s="55" t="n"/>
      <c r="F86" s="56" t="n"/>
      <c r="G86" s="57" t="n"/>
      <c r="H86" s="57" t="n"/>
      <c r="I86" s="57" t="n"/>
      <c r="J86" s="57" t="n"/>
      <c r="K86" s="58">
        <f>IF(NOT((COUNTA($B86:$J86)+COUNTA($M86))&gt;0),"",IFERROR(LOOKUP(2,1/(G86:J86&lt;&gt;""),G86:J86),0))</f>
        <v/>
      </c>
      <c r="L86" s="53">
        <f>IF(K86="","",IF(K86&gt;=1,"Completado",IF(K86&gt;0,"En curso","Pendiente")))</f>
        <v/>
      </c>
      <c r="M86" s="54" t="n"/>
      <c r="N86" s="59">
        <f>IF(NOT((COUNTA($B86:$J86)+COUNTA($M86))&gt;0),"",IF((IF(B86="","Macroactividad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 OK","⚠ "&amp;LEFT(IF(B86="","Macroactividad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",""),LEN(IF(B86="","Macroactividad vacía"&amp;" · ","")&amp;IF(C86="","Sin responsable"&amp;" · ","")&amp;IF(D86="","Sin fecha de inicio"&amp;" · ","")&amp;IF(E86="","Sin fecha límite"&amp;" · ","")&amp;IF(OR(AND(D86&lt;&gt;"",NOT(ISNUMBER(D86))),AND(E86&lt;&gt;"",NOT(ISNUMBER(E86)))),"Fecha no válida"&amp;" · ","")&amp;IF(AND(ISNUMBER(D86),ISNUMBER(E86),D86&gt;E86),"Inicio posterior a fecha límite"&amp;" · ","")&amp;IF(F86="","Peso vacío"&amp;" · ","")&amp;IF(AND(F86&lt;&gt;"",OR(NOT(ISNUMBER(F86)),F86&lt;=0,F86&gt;1)),"Peso fuera de rango"&amp;" · ","")&amp;IF(ABS(SUM($F$5:$F$1000)-1)&gt;0.0001,"Pesos del puesto suman "&amp;TEXT(SUM($F$5:$F$1000),"0%")&amp;" · ","")&amp;IF((COUNTIF(G86:J86,"&gt;1")+COUNTIF(G86:J86,"&lt;0")+COUNTA(G86:J86)-COUNT(G86:J86))&gt;0,"Avance fuera de rango 0-100%"&amp;" · ","")&amp;IF(OR(AND(H86&lt;&gt;"",H86&lt;G86),AND(I86&lt;&gt;"",I86&lt;MAX(G86:H86)),AND(J86&lt;&gt;"",J86&lt;MAX(G86:I86))),"Avance semanal decreciente"&amp;" · ","")&amp;IF(AND(ISNUMBER(E86),E86&lt;FechaRef,N(K86)&lt;1),"Vencida"&amp;" · ","")&amp;IF(AND(ObsObligatoria="Sí",ISNUMBER(E86),E86&lt;FechaRef,N(K86)&lt;1,M86=""),"Vencida sin observación"&amp;" · ",""))-3)))</f>
        <v/>
      </c>
    </row>
    <row r="87">
      <c r="A87" s="53">
        <f>IF(NOT((COUNTA($B87:$J87)+COUNTA($M87))&gt;0),"",COUNTIF($L$5:$L87,"?*"))</f>
        <v/>
      </c>
      <c r="B87" s="54" t="n"/>
      <c r="C87" s="54" t="n"/>
      <c r="D87" s="55" t="n"/>
      <c r="E87" s="55" t="n"/>
      <c r="F87" s="56" t="n"/>
      <c r="G87" s="57" t="n"/>
      <c r="H87" s="57" t="n"/>
      <c r="I87" s="57" t="n"/>
      <c r="J87" s="57" t="n"/>
      <c r="K87" s="58">
        <f>IF(NOT((COUNTA($B87:$J87)+COUNTA($M87))&gt;0),"",IFERROR(LOOKUP(2,1/(G87:J87&lt;&gt;""),G87:J87),0))</f>
        <v/>
      </c>
      <c r="L87" s="53">
        <f>IF(K87="","",IF(K87&gt;=1,"Completado",IF(K87&gt;0,"En curso","Pendiente")))</f>
        <v/>
      </c>
      <c r="M87" s="54" t="n"/>
      <c r="N87" s="59">
        <f>IF(NOT((COUNTA($B87:$J87)+COUNTA($M87))&gt;0),"",IF((IF(B87="","Macroactividad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 OK","⚠ "&amp;LEFT(IF(B87="","Macroactividad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",""),LEN(IF(B87="","Macroactividad vacía"&amp;" · ","")&amp;IF(C87="","Sin responsable"&amp;" · ","")&amp;IF(D87="","Sin fecha de inicio"&amp;" · ","")&amp;IF(E87="","Sin fecha límite"&amp;" · ","")&amp;IF(OR(AND(D87&lt;&gt;"",NOT(ISNUMBER(D87))),AND(E87&lt;&gt;"",NOT(ISNUMBER(E87)))),"Fecha no válida"&amp;" · ","")&amp;IF(AND(ISNUMBER(D87),ISNUMBER(E87),D87&gt;E87),"Inicio posterior a fecha límite"&amp;" · ","")&amp;IF(F87="","Peso vacío"&amp;" · ","")&amp;IF(AND(F87&lt;&gt;"",OR(NOT(ISNUMBER(F87)),F87&lt;=0,F87&gt;1)),"Peso fuera de rango"&amp;" · ","")&amp;IF(ABS(SUM($F$5:$F$1000)-1)&gt;0.0001,"Pesos del puesto suman "&amp;TEXT(SUM($F$5:$F$1000),"0%")&amp;" · ","")&amp;IF((COUNTIF(G87:J87,"&gt;1")+COUNTIF(G87:J87,"&lt;0")+COUNTA(G87:J87)-COUNT(G87:J87))&gt;0,"Avance fuera de rango 0-100%"&amp;" · ","")&amp;IF(OR(AND(H87&lt;&gt;"",H87&lt;G87),AND(I87&lt;&gt;"",I87&lt;MAX(G87:H87)),AND(J87&lt;&gt;"",J87&lt;MAX(G87:I87))),"Avance semanal decreciente"&amp;" · ","")&amp;IF(AND(ISNUMBER(E87),E87&lt;FechaRef,N(K87)&lt;1),"Vencida"&amp;" · ","")&amp;IF(AND(ObsObligatoria="Sí",ISNUMBER(E87),E87&lt;FechaRef,N(K87)&lt;1,M87=""),"Vencida sin observación"&amp;" · ",""))-3)))</f>
        <v/>
      </c>
    </row>
    <row r="88">
      <c r="A88" s="53">
        <f>IF(NOT((COUNTA($B88:$J88)+COUNTA($M88))&gt;0),"",COUNTIF($L$5:$L88,"?*"))</f>
        <v/>
      </c>
      <c r="B88" s="54" t="n"/>
      <c r="C88" s="54" t="n"/>
      <c r="D88" s="55" t="n"/>
      <c r="E88" s="55" t="n"/>
      <c r="F88" s="56" t="n"/>
      <c r="G88" s="57" t="n"/>
      <c r="H88" s="57" t="n"/>
      <c r="I88" s="57" t="n"/>
      <c r="J88" s="57" t="n"/>
      <c r="K88" s="58">
        <f>IF(NOT((COUNTA($B88:$J88)+COUNTA($M88))&gt;0),"",IFERROR(LOOKUP(2,1/(G88:J88&lt;&gt;""),G88:J88),0))</f>
        <v/>
      </c>
      <c r="L88" s="53">
        <f>IF(K88="","",IF(K88&gt;=1,"Completado",IF(K88&gt;0,"En curso","Pendiente")))</f>
        <v/>
      </c>
      <c r="M88" s="54" t="n"/>
      <c r="N88" s="59">
        <f>IF(NOT((COUNTA($B88:$J88)+COUNTA($M88))&gt;0),"",IF((IF(B88="","Macroactividad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 OK","⚠ "&amp;LEFT(IF(B88="","Macroactividad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",""),LEN(IF(B88="","Macroactividad vacía"&amp;" · ","")&amp;IF(C88="","Sin responsable"&amp;" · ","")&amp;IF(D88="","Sin fecha de inicio"&amp;" · ","")&amp;IF(E88="","Sin fecha límite"&amp;" · ","")&amp;IF(OR(AND(D88&lt;&gt;"",NOT(ISNUMBER(D88))),AND(E88&lt;&gt;"",NOT(ISNUMBER(E88)))),"Fecha no válida"&amp;" · ","")&amp;IF(AND(ISNUMBER(D88),ISNUMBER(E88),D88&gt;E88),"Inicio posterior a fecha límite"&amp;" · ","")&amp;IF(F88="","Peso vacío"&amp;" · ","")&amp;IF(AND(F88&lt;&gt;"",OR(NOT(ISNUMBER(F88)),F88&lt;=0,F88&gt;1)),"Peso fuera de rango"&amp;" · ","")&amp;IF(ABS(SUM($F$5:$F$1000)-1)&gt;0.0001,"Pesos del puesto suman "&amp;TEXT(SUM($F$5:$F$1000),"0%")&amp;" · ","")&amp;IF((COUNTIF(G88:J88,"&gt;1")+COUNTIF(G88:J88,"&lt;0")+COUNTA(G88:J88)-COUNT(G88:J88))&gt;0,"Avance fuera de rango 0-100%"&amp;" · ","")&amp;IF(OR(AND(H88&lt;&gt;"",H88&lt;G88),AND(I88&lt;&gt;"",I88&lt;MAX(G88:H88)),AND(J88&lt;&gt;"",J88&lt;MAX(G88:I88))),"Avance semanal decreciente"&amp;" · ","")&amp;IF(AND(ISNUMBER(E88),E88&lt;FechaRef,N(K88)&lt;1),"Vencida"&amp;" · ","")&amp;IF(AND(ObsObligatoria="Sí",ISNUMBER(E88),E88&lt;FechaRef,N(K88)&lt;1,M88=""),"Vencida sin observación"&amp;" · ",""))-3)))</f>
        <v/>
      </c>
    </row>
    <row r="89">
      <c r="A89" s="53">
        <f>IF(NOT((COUNTA($B89:$J89)+COUNTA($M89))&gt;0),"",COUNTIF($L$5:$L89,"?*"))</f>
        <v/>
      </c>
      <c r="B89" s="54" t="n"/>
      <c r="C89" s="54" t="n"/>
      <c r="D89" s="55" t="n"/>
      <c r="E89" s="55" t="n"/>
      <c r="F89" s="56" t="n"/>
      <c r="G89" s="57" t="n"/>
      <c r="H89" s="57" t="n"/>
      <c r="I89" s="57" t="n"/>
      <c r="J89" s="57" t="n"/>
      <c r="K89" s="58">
        <f>IF(NOT((COUNTA($B89:$J89)+COUNTA($M89))&gt;0),"",IFERROR(LOOKUP(2,1/(G89:J89&lt;&gt;""),G89:J89),0))</f>
        <v/>
      </c>
      <c r="L89" s="53">
        <f>IF(K89="","",IF(K89&gt;=1,"Completado",IF(K89&gt;0,"En curso","Pendiente")))</f>
        <v/>
      </c>
      <c r="M89" s="54" t="n"/>
      <c r="N89" s="59">
        <f>IF(NOT((COUNTA($B89:$J89)+COUNTA($M89))&gt;0),"",IF((IF(B89="","Macroactividad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 OK","⚠ "&amp;LEFT(IF(B89="","Macroactividad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",""),LEN(IF(B89="","Macroactividad vacía"&amp;" · ","")&amp;IF(C89="","Sin responsable"&amp;" · ","")&amp;IF(D89="","Sin fecha de inicio"&amp;" · ","")&amp;IF(E89="","Sin fecha límite"&amp;" · ","")&amp;IF(OR(AND(D89&lt;&gt;"",NOT(ISNUMBER(D89))),AND(E89&lt;&gt;"",NOT(ISNUMBER(E89)))),"Fecha no válida"&amp;" · ","")&amp;IF(AND(ISNUMBER(D89),ISNUMBER(E89),D89&gt;E89),"Inicio posterior a fecha límite"&amp;" · ","")&amp;IF(F89="","Peso vacío"&amp;" · ","")&amp;IF(AND(F89&lt;&gt;"",OR(NOT(ISNUMBER(F89)),F89&lt;=0,F89&gt;1)),"Peso fuera de rango"&amp;" · ","")&amp;IF(ABS(SUM($F$5:$F$1000)-1)&gt;0.0001,"Pesos del puesto suman "&amp;TEXT(SUM($F$5:$F$1000),"0%")&amp;" · ","")&amp;IF((COUNTIF(G89:J89,"&gt;1")+COUNTIF(G89:J89,"&lt;0")+COUNTA(G89:J89)-COUNT(G89:J89))&gt;0,"Avance fuera de rango 0-100%"&amp;" · ","")&amp;IF(OR(AND(H89&lt;&gt;"",H89&lt;G89),AND(I89&lt;&gt;"",I89&lt;MAX(G89:H89)),AND(J89&lt;&gt;"",J89&lt;MAX(G89:I89))),"Avance semanal decreciente"&amp;" · ","")&amp;IF(AND(ISNUMBER(E89),E89&lt;FechaRef,N(K89)&lt;1),"Vencida"&amp;" · ","")&amp;IF(AND(ObsObligatoria="Sí",ISNUMBER(E89),E89&lt;FechaRef,N(K89)&lt;1,M89=""),"Vencida sin observación"&amp;" · ",""))-3)))</f>
        <v/>
      </c>
    </row>
    <row r="90">
      <c r="A90" s="53">
        <f>IF(NOT((COUNTA($B90:$J90)+COUNTA($M90))&gt;0),"",COUNTIF($L$5:$L90,"?*"))</f>
        <v/>
      </c>
      <c r="B90" s="54" t="n"/>
      <c r="C90" s="54" t="n"/>
      <c r="D90" s="55" t="n"/>
      <c r="E90" s="55" t="n"/>
      <c r="F90" s="56" t="n"/>
      <c r="G90" s="57" t="n"/>
      <c r="H90" s="57" t="n"/>
      <c r="I90" s="57" t="n"/>
      <c r="J90" s="57" t="n"/>
      <c r="K90" s="58">
        <f>IF(NOT((COUNTA($B90:$J90)+COUNTA($M90))&gt;0),"",IFERROR(LOOKUP(2,1/(G90:J90&lt;&gt;""),G90:J90),0))</f>
        <v/>
      </c>
      <c r="L90" s="53">
        <f>IF(K90="","",IF(K90&gt;=1,"Completado",IF(K90&gt;0,"En curso","Pendiente")))</f>
        <v/>
      </c>
      <c r="M90" s="54" t="n"/>
      <c r="N90" s="59">
        <f>IF(NOT((COUNTA($B90:$J90)+COUNTA($M90))&gt;0),"",IF((IF(B90="","Macroactividad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 OK","⚠ "&amp;LEFT(IF(B90="","Macroactividad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",""),LEN(IF(B90="","Macroactividad vacía"&amp;" · ","")&amp;IF(C90="","Sin responsable"&amp;" · ","")&amp;IF(D90="","Sin fecha de inicio"&amp;" · ","")&amp;IF(E90="","Sin fecha límite"&amp;" · ","")&amp;IF(OR(AND(D90&lt;&gt;"",NOT(ISNUMBER(D90))),AND(E90&lt;&gt;"",NOT(ISNUMBER(E90)))),"Fecha no válida"&amp;" · ","")&amp;IF(AND(ISNUMBER(D90),ISNUMBER(E90),D90&gt;E90),"Inicio posterior a fecha límite"&amp;" · ","")&amp;IF(F90="","Peso vacío"&amp;" · ","")&amp;IF(AND(F90&lt;&gt;"",OR(NOT(ISNUMBER(F90)),F90&lt;=0,F90&gt;1)),"Peso fuera de rango"&amp;" · ","")&amp;IF(ABS(SUM($F$5:$F$1000)-1)&gt;0.0001,"Pesos del puesto suman "&amp;TEXT(SUM($F$5:$F$1000),"0%")&amp;" · ","")&amp;IF((COUNTIF(G90:J90,"&gt;1")+COUNTIF(G90:J90,"&lt;0")+COUNTA(G90:J90)-COUNT(G90:J90))&gt;0,"Avance fuera de rango 0-100%"&amp;" · ","")&amp;IF(OR(AND(H90&lt;&gt;"",H90&lt;G90),AND(I90&lt;&gt;"",I90&lt;MAX(G90:H90)),AND(J90&lt;&gt;"",J90&lt;MAX(G90:I90))),"Avance semanal decreciente"&amp;" · ","")&amp;IF(AND(ISNUMBER(E90),E90&lt;FechaRef,N(K90)&lt;1),"Vencida"&amp;" · ","")&amp;IF(AND(ObsObligatoria="Sí",ISNUMBER(E90),E90&lt;FechaRef,N(K90)&lt;1,M90=""),"Vencida sin observación"&amp;" · ",""))-3)))</f>
        <v/>
      </c>
    </row>
    <row r="91">
      <c r="A91" s="53">
        <f>IF(NOT((COUNTA($B91:$J91)+COUNTA($M91))&gt;0),"",COUNTIF($L$5:$L91,"?*"))</f>
        <v/>
      </c>
      <c r="B91" s="54" t="n"/>
      <c r="C91" s="54" t="n"/>
      <c r="D91" s="55" t="n"/>
      <c r="E91" s="55" t="n"/>
      <c r="F91" s="56" t="n"/>
      <c r="G91" s="57" t="n"/>
      <c r="H91" s="57" t="n"/>
      <c r="I91" s="57" t="n"/>
      <c r="J91" s="57" t="n"/>
      <c r="K91" s="58">
        <f>IF(NOT((COUNTA($B91:$J91)+COUNTA($M91))&gt;0),"",IFERROR(LOOKUP(2,1/(G91:J91&lt;&gt;""),G91:J91),0))</f>
        <v/>
      </c>
      <c r="L91" s="53">
        <f>IF(K91="","",IF(K91&gt;=1,"Completado",IF(K91&gt;0,"En curso","Pendiente")))</f>
        <v/>
      </c>
      <c r="M91" s="54" t="n"/>
      <c r="N91" s="59">
        <f>IF(NOT((COUNTA($B91:$J91)+COUNTA($M91))&gt;0),"",IF((IF(B91="","Macroactividad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 OK","⚠ "&amp;LEFT(IF(B91="","Macroactividad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",""),LEN(IF(B91="","Macroactividad vacía"&amp;" · ","")&amp;IF(C91="","Sin responsable"&amp;" · ","")&amp;IF(D91="","Sin fecha de inicio"&amp;" · ","")&amp;IF(E91="","Sin fecha límite"&amp;" · ","")&amp;IF(OR(AND(D91&lt;&gt;"",NOT(ISNUMBER(D91))),AND(E91&lt;&gt;"",NOT(ISNUMBER(E91)))),"Fecha no válida"&amp;" · ","")&amp;IF(AND(ISNUMBER(D91),ISNUMBER(E91),D91&gt;E91),"Inicio posterior a fecha límite"&amp;" · ","")&amp;IF(F91="","Peso vacío"&amp;" · ","")&amp;IF(AND(F91&lt;&gt;"",OR(NOT(ISNUMBER(F91)),F91&lt;=0,F91&gt;1)),"Peso fuera de rango"&amp;" · ","")&amp;IF(ABS(SUM($F$5:$F$1000)-1)&gt;0.0001,"Pesos del puesto suman "&amp;TEXT(SUM($F$5:$F$1000),"0%")&amp;" · ","")&amp;IF((COUNTIF(G91:J91,"&gt;1")+COUNTIF(G91:J91,"&lt;0")+COUNTA(G91:J91)-COUNT(G91:J91))&gt;0,"Avance fuera de rango 0-100%"&amp;" · ","")&amp;IF(OR(AND(H91&lt;&gt;"",H91&lt;G91),AND(I91&lt;&gt;"",I91&lt;MAX(G91:H91)),AND(J91&lt;&gt;"",J91&lt;MAX(G91:I91))),"Avance semanal decreciente"&amp;" · ","")&amp;IF(AND(ISNUMBER(E91),E91&lt;FechaRef,N(K91)&lt;1),"Vencida"&amp;" · ","")&amp;IF(AND(ObsObligatoria="Sí",ISNUMBER(E91),E91&lt;FechaRef,N(K91)&lt;1,M91=""),"Vencida sin observación"&amp;" · ",""))-3)))</f>
        <v/>
      </c>
    </row>
    <row r="92">
      <c r="A92" s="53">
        <f>IF(NOT((COUNTA($B92:$J92)+COUNTA($M92))&gt;0),"",COUNTIF($L$5:$L92,"?*"))</f>
        <v/>
      </c>
      <c r="B92" s="54" t="n"/>
      <c r="C92" s="54" t="n"/>
      <c r="D92" s="55" t="n"/>
      <c r="E92" s="55" t="n"/>
      <c r="F92" s="56" t="n"/>
      <c r="G92" s="57" t="n"/>
      <c r="H92" s="57" t="n"/>
      <c r="I92" s="57" t="n"/>
      <c r="J92" s="57" t="n"/>
      <c r="K92" s="58">
        <f>IF(NOT((COUNTA($B92:$J92)+COUNTA($M92))&gt;0),"",IFERROR(LOOKUP(2,1/(G92:J92&lt;&gt;""),G92:J92),0))</f>
        <v/>
      </c>
      <c r="L92" s="53">
        <f>IF(K92="","",IF(K92&gt;=1,"Completado",IF(K92&gt;0,"En curso","Pendiente")))</f>
        <v/>
      </c>
      <c r="M92" s="54" t="n"/>
      <c r="N92" s="59">
        <f>IF(NOT((COUNTA($B92:$J92)+COUNTA($M92))&gt;0),"",IF((IF(B92="","Macroactividad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 OK","⚠ "&amp;LEFT(IF(B92="","Macroactividad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",""),LEN(IF(B92="","Macroactividad vacía"&amp;" · ","")&amp;IF(C92="","Sin responsable"&amp;" · ","")&amp;IF(D92="","Sin fecha de inicio"&amp;" · ","")&amp;IF(E92="","Sin fecha límite"&amp;" · ","")&amp;IF(OR(AND(D92&lt;&gt;"",NOT(ISNUMBER(D92))),AND(E92&lt;&gt;"",NOT(ISNUMBER(E92)))),"Fecha no válida"&amp;" · ","")&amp;IF(AND(ISNUMBER(D92),ISNUMBER(E92),D92&gt;E92),"Inicio posterior a fecha límite"&amp;" · ","")&amp;IF(F92="","Peso vacío"&amp;" · ","")&amp;IF(AND(F92&lt;&gt;"",OR(NOT(ISNUMBER(F92)),F92&lt;=0,F92&gt;1)),"Peso fuera de rango"&amp;" · ","")&amp;IF(ABS(SUM($F$5:$F$1000)-1)&gt;0.0001,"Pesos del puesto suman "&amp;TEXT(SUM($F$5:$F$1000),"0%")&amp;" · ","")&amp;IF((COUNTIF(G92:J92,"&gt;1")+COUNTIF(G92:J92,"&lt;0")+COUNTA(G92:J92)-COUNT(G92:J92))&gt;0,"Avance fuera de rango 0-100%"&amp;" · ","")&amp;IF(OR(AND(H92&lt;&gt;"",H92&lt;G92),AND(I92&lt;&gt;"",I92&lt;MAX(G92:H92)),AND(J92&lt;&gt;"",J92&lt;MAX(G92:I92))),"Avance semanal decreciente"&amp;" · ","")&amp;IF(AND(ISNUMBER(E92),E92&lt;FechaRef,N(K92)&lt;1),"Vencida"&amp;" · ","")&amp;IF(AND(ObsObligatoria="Sí",ISNUMBER(E92),E92&lt;FechaRef,N(K92)&lt;1,M92=""),"Vencida sin observación"&amp;" · ",""))-3)))</f>
        <v/>
      </c>
    </row>
    <row r="93">
      <c r="A93" s="53">
        <f>IF(NOT((COUNTA($B93:$J93)+COUNTA($M93))&gt;0),"",COUNTIF($L$5:$L93,"?*"))</f>
        <v/>
      </c>
      <c r="B93" s="54" t="n"/>
      <c r="C93" s="54" t="n"/>
      <c r="D93" s="55" t="n"/>
      <c r="E93" s="55" t="n"/>
      <c r="F93" s="56" t="n"/>
      <c r="G93" s="57" t="n"/>
      <c r="H93" s="57" t="n"/>
      <c r="I93" s="57" t="n"/>
      <c r="J93" s="57" t="n"/>
      <c r="K93" s="58">
        <f>IF(NOT((COUNTA($B93:$J93)+COUNTA($M93))&gt;0),"",IFERROR(LOOKUP(2,1/(G93:J93&lt;&gt;""),G93:J93),0))</f>
        <v/>
      </c>
      <c r="L93" s="53">
        <f>IF(K93="","",IF(K93&gt;=1,"Completado",IF(K93&gt;0,"En curso","Pendiente")))</f>
        <v/>
      </c>
      <c r="M93" s="54" t="n"/>
      <c r="N93" s="59">
        <f>IF(NOT((COUNTA($B93:$J93)+COUNTA($M93))&gt;0),"",IF((IF(B93="","Macroactividad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 OK","⚠ "&amp;LEFT(IF(B93="","Macroactividad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",""),LEN(IF(B93="","Macroactividad vacía"&amp;" · ","")&amp;IF(C93="","Sin responsable"&amp;" · ","")&amp;IF(D93="","Sin fecha de inicio"&amp;" · ","")&amp;IF(E93="","Sin fecha límite"&amp;" · ","")&amp;IF(OR(AND(D93&lt;&gt;"",NOT(ISNUMBER(D93))),AND(E93&lt;&gt;"",NOT(ISNUMBER(E93)))),"Fecha no válida"&amp;" · ","")&amp;IF(AND(ISNUMBER(D93),ISNUMBER(E93),D93&gt;E93),"Inicio posterior a fecha límite"&amp;" · ","")&amp;IF(F93="","Peso vacío"&amp;" · ","")&amp;IF(AND(F93&lt;&gt;"",OR(NOT(ISNUMBER(F93)),F93&lt;=0,F93&gt;1)),"Peso fuera de rango"&amp;" · ","")&amp;IF(ABS(SUM($F$5:$F$1000)-1)&gt;0.0001,"Pesos del puesto suman "&amp;TEXT(SUM($F$5:$F$1000),"0%")&amp;" · ","")&amp;IF((COUNTIF(G93:J93,"&gt;1")+COUNTIF(G93:J93,"&lt;0")+COUNTA(G93:J93)-COUNT(G93:J93))&gt;0,"Avance fuera de rango 0-100%"&amp;" · ","")&amp;IF(OR(AND(H93&lt;&gt;"",H93&lt;G93),AND(I93&lt;&gt;"",I93&lt;MAX(G93:H93)),AND(J93&lt;&gt;"",J93&lt;MAX(G93:I93))),"Avance semanal decreciente"&amp;" · ","")&amp;IF(AND(ISNUMBER(E93),E93&lt;FechaRef,N(K93)&lt;1),"Vencida"&amp;" · ","")&amp;IF(AND(ObsObligatoria="Sí",ISNUMBER(E93),E93&lt;FechaRef,N(K93)&lt;1,M93=""),"Vencida sin observación"&amp;" · ",""))-3)))</f>
        <v/>
      </c>
    </row>
    <row r="94">
      <c r="A94" s="53">
        <f>IF(NOT((COUNTA($B94:$J94)+COUNTA($M94))&gt;0),"",COUNTIF($L$5:$L94,"?*"))</f>
        <v/>
      </c>
      <c r="B94" s="54" t="n"/>
      <c r="C94" s="54" t="n"/>
      <c r="D94" s="55" t="n"/>
      <c r="E94" s="55" t="n"/>
      <c r="F94" s="56" t="n"/>
      <c r="G94" s="57" t="n"/>
      <c r="H94" s="57" t="n"/>
      <c r="I94" s="57" t="n"/>
      <c r="J94" s="57" t="n"/>
      <c r="K94" s="58">
        <f>IF(NOT((COUNTA($B94:$J94)+COUNTA($M94))&gt;0),"",IFERROR(LOOKUP(2,1/(G94:J94&lt;&gt;""),G94:J94),0))</f>
        <v/>
      </c>
      <c r="L94" s="53">
        <f>IF(K94="","",IF(K94&gt;=1,"Completado",IF(K94&gt;0,"En curso","Pendiente")))</f>
        <v/>
      </c>
      <c r="M94" s="54" t="n"/>
      <c r="N94" s="59">
        <f>IF(NOT((COUNTA($B94:$J94)+COUNTA($M94))&gt;0),"",IF((IF(B94="","Macroactividad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 OK","⚠ "&amp;LEFT(IF(B94="","Macroactividad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",""),LEN(IF(B94="","Macroactividad vacía"&amp;" · ","")&amp;IF(C94="","Sin responsable"&amp;" · ","")&amp;IF(D94="","Sin fecha de inicio"&amp;" · ","")&amp;IF(E94="","Sin fecha límite"&amp;" · ","")&amp;IF(OR(AND(D94&lt;&gt;"",NOT(ISNUMBER(D94))),AND(E94&lt;&gt;"",NOT(ISNUMBER(E94)))),"Fecha no válida"&amp;" · ","")&amp;IF(AND(ISNUMBER(D94),ISNUMBER(E94),D94&gt;E94),"Inicio posterior a fecha límite"&amp;" · ","")&amp;IF(F94="","Peso vacío"&amp;" · ","")&amp;IF(AND(F94&lt;&gt;"",OR(NOT(ISNUMBER(F94)),F94&lt;=0,F94&gt;1)),"Peso fuera de rango"&amp;" · ","")&amp;IF(ABS(SUM($F$5:$F$1000)-1)&gt;0.0001,"Pesos del puesto suman "&amp;TEXT(SUM($F$5:$F$1000),"0%")&amp;" · ","")&amp;IF((COUNTIF(G94:J94,"&gt;1")+COUNTIF(G94:J94,"&lt;0")+COUNTA(G94:J94)-COUNT(G94:J94))&gt;0,"Avance fuera de rango 0-100%"&amp;" · ","")&amp;IF(OR(AND(H94&lt;&gt;"",H94&lt;G94),AND(I94&lt;&gt;"",I94&lt;MAX(G94:H94)),AND(J94&lt;&gt;"",J94&lt;MAX(G94:I94))),"Avance semanal decreciente"&amp;" · ","")&amp;IF(AND(ISNUMBER(E94),E94&lt;FechaRef,N(K94)&lt;1),"Vencida"&amp;" · ","")&amp;IF(AND(ObsObligatoria="Sí",ISNUMBER(E94),E94&lt;FechaRef,N(K94)&lt;1,M94=""),"Vencida sin observación"&amp;" · ",""))-3)))</f>
        <v/>
      </c>
    </row>
    <row r="95">
      <c r="A95" s="53">
        <f>IF(NOT((COUNTA($B95:$J95)+COUNTA($M95))&gt;0),"",COUNTIF($L$5:$L95,"?*"))</f>
        <v/>
      </c>
      <c r="B95" s="54" t="n"/>
      <c r="C95" s="54" t="n"/>
      <c r="D95" s="55" t="n"/>
      <c r="E95" s="55" t="n"/>
      <c r="F95" s="56" t="n"/>
      <c r="G95" s="57" t="n"/>
      <c r="H95" s="57" t="n"/>
      <c r="I95" s="57" t="n"/>
      <c r="J95" s="57" t="n"/>
      <c r="K95" s="58">
        <f>IF(NOT((COUNTA($B95:$J95)+COUNTA($M95))&gt;0),"",IFERROR(LOOKUP(2,1/(G95:J95&lt;&gt;""),G95:J95),0))</f>
        <v/>
      </c>
      <c r="L95" s="53">
        <f>IF(K95="","",IF(K95&gt;=1,"Completado",IF(K95&gt;0,"En curso","Pendiente")))</f>
        <v/>
      </c>
      <c r="M95" s="54" t="n"/>
      <c r="N95" s="59">
        <f>IF(NOT((COUNTA($B95:$J95)+COUNTA($M95))&gt;0),"",IF((IF(B95="","Macroactividad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 OK","⚠ "&amp;LEFT(IF(B95="","Macroactividad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",""),LEN(IF(B95="","Macroactividad vacía"&amp;" · ","")&amp;IF(C95="","Sin responsable"&amp;" · ","")&amp;IF(D95="","Sin fecha de inicio"&amp;" · ","")&amp;IF(E95="","Sin fecha límite"&amp;" · ","")&amp;IF(OR(AND(D95&lt;&gt;"",NOT(ISNUMBER(D95))),AND(E95&lt;&gt;"",NOT(ISNUMBER(E95)))),"Fecha no válida"&amp;" · ","")&amp;IF(AND(ISNUMBER(D95),ISNUMBER(E95),D95&gt;E95),"Inicio posterior a fecha límite"&amp;" · ","")&amp;IF(F95="","Peso vacío"&amp;" · ","")&amp;IF(AND(F95&lt;&gt;"",OR(NOT(ISNUMBER(F95)),F95&lt;=0,F95&gt;1)),"Peso fuera de rango"&amp;" · ","")&amp;IF(ABS(SUM($F$5:$F$1000)-1)&gt;0.0001,"Pesos del puesto suman "&amp;TEXT(SUM($F$5:$F$1000),"0%")&amp;" · ","")&amp;IF((COUNTIF(G95:J95,"&gt;1")+COUNTIF(G95:J95,"&lt;0")+COUNTA(G95:J95)-COUNT(G95:J95))&gt;0,"Avance fuera de rango 0-100%"&amp;" · ","")&amp;IF(OR(AND(H95&lt;&gt;"",H95&lt;G95),AND(I95&lt;&gt;"",I95&lt;MAX(G95:H95)),AND(J95&lt;&gt;"",J95&lt;MAX(G95:I95))),"Avance semanal decreciente"&amp;" · ","")&amp;IF(AND(ISNUMBER(E95),E95&lt;FechaRef,N(K95)&lt;1),"Vencida"&amp;" · ","")&amp;IF(AND(ObsObligatoria="Sí",ISNUMBER(E95),E95&lt;FechaRef,N(K95)&lt;1,M95=""),"Vencida sin observación"&amp;" · ",""))-3)))</f>
        <v/>
      </c>
    </row>
    <row r="96">
      <c r="A96" s="53">
        <f>IF(NOT((COUNTA($B96:$J96)+COUNTA($M96))&gt;0),"",COUNTIF($L$5:$L96,"?*"))</f>
        <v/>
      </c>
      <c r="B96" s="54" t="n"/>
      <c r="C96" s="54" t="n"/>
      <c r="D96" s="55" t="n"/>
      <c r="E96" s="55" t="n"/>
      <c r="F96" s="56" t="n"/>
      <c r="G96" s="57" t="n"/>
      <c r="H96" s="57" t="n"/>
      <c r="I96" s="57" t="n"/>
      <c r="J96" s="57" t="n"/>
      <c r="K96" s="58">
        <f>IF(NOT((COUNTA($B96:$J96)+COUNTA($M96))&gt;0),"",IFERROR(LOOKUP(2,1/(G96:J96&lt;&gt;""),G96:J96),0))</f>
        <v/>
      </c>
      <c r="L96" s="53">
        <f>IF(K96="","",IF(K96&gt;=1,"Completado",IF(K96&gt;0,"En curso","Pendiente")))</f>
        <v/>
      </c>
      <c r="M96" s="54" t="n"/>
      <c r="N96" s="59">
        <f>IF(NOT((COUNTA($B96:$J96)+COUNTA($M96))&gt;0),"",IF((IF(B96="","Macroactividad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 OK","⚠ "&amp;LEFT(IF(B96="","Macroactividad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",""),LEN(IF(B96="","Macroactividad vacía"&amp;" · ","")&amp;IF(C96="","Sin responsable"&amp;" · ","")&amp;IF(D96="","Sin fecha de inicio"&amp;" · ","")&amp;IF(E96="","Sin fecha límite"&amp;" · ","")&amp;IF(OR(AND(D96&lt;&gt;"",NOT(ISNUMBER(D96))),AND(E96&lt;&gt;"",NOT(ISNUMBER(E96)))),"Fecha no válida"&amp;" · ","")&amp;IF(AND(ISNUMBER(D96),ISNUMBER(E96),D96&gt;E96),"Inicio posterior a fecha límite"&amp;" · ","")&amp;IF(F96="","Peso vacío"&amp;" · ","")&amp;IF(AND(F96&lt;&gt;"",OR(NOT(ISNUMBER(F96)),F96&lt;=0,F96&gt;1)),"Peso fuera de rango"&amp;" · ","")&amp;IF(ABS(SUM($F$5:$F$1000)-1)&gt;0.0001,"Pesos del puesto suman "&amp;TEXT(SUM($F$5:$F$1000),"0%")&amp;" · ","")&amp;IF((COUNTIF(G96:J96,"&gt;1")+COUNTIF(G96:J96,"&lt;0")+COUNTA(G96:J96)-COUNT(G96:J96))&gt;0,"Avance fuera de rango 0-100%"&amp;" · ","")&amp;IF(OR(AND(H96&lt;&gt;"",H96&lt;G96),AND(I96&lt;&gt;"",I96&lt;MAX(G96:H96)),AND(J96&lt;&gt;"",J96&lt;MAX(G96:I96))),"Avance semanal decreciente"&amp;" · ","")&amp;IF(AND(ISNUMBER(E96),E96&lt;FechaRef,N(K96)&lt;1),"Vencida"&amp;" · ","")&amp;IF(AND(ObsObligatoria="Sí",ISNUMBER(E96),E96&lt;FechaRef,N(K96)&lt;1,M96=""),"Vencida sin observación"&amp;" · ",""))-3)))</f>
        <v/>
      </c>
    </row>
    <row r="97">
      <c r="A97" s="53">
        <f>IF(NOT((COUNTA($B97:$J97)+COUNTA($M97))&gt;0),"",COUNTIF($L$5:$L97,"?*"))</f>
        <v/>
      </c>
      <c r="B97" s="54" t="n"/>
      <c r="C97" s="54" t="n"/>
      <c r="D97" s="55" t="n"/>
      <c r="E97" s="55" t="n"/>
      <c r="F97" s="56" t="n"/>
      <c r="G97" s="57" t="n"/>
      <c r="H97" s="57" t="n"/>
      <c r="I97" s="57" t="n"/>
      <c r="J97" s="57" t="n"/>
      <c r="K97" s="58">
        <f>IF(NOT((COUNTA($B97:$J97)+COUNTA($M97))&gt;0),"",IFERROR(LOOKUP(2,1/(G97:J97&lt;&gt;""),G97:J97),0))</f>
        <v/>
      </c>
      <c r="L97" s="53">
        <f>IF(K97="","",IF(K97&gt;=1,"Completado",IF(K97&gt;0,"En curso","Pendiente")))</f>
        <v/>
      </c>
      <c r="M97" s="54" t="n"/>
      <c r="N97" s="59">
        <f>IF(NOT((COUNTA($B97:$J97)+COUNTA($M97))&gt;0),"",IF((IF(B97="","Macroactividad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 OK","⚠ "&amp;LEFT(IF(B97="","Macroactividad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",""),LEN(IF(B97="","Macroactividad vacía"&amp;" · ","")&amp;IF(C97="","Sin responsable"&amp;" · ","")&amp;IF(D97="","Sin fecha de inicio"&amp;" · ","")&amp;IF(E97="","Sin fecha límite"&amp;" · ","")&amp;IF(OR(AND(D97&lt;&gt;"",NOT(ISNUMBER(D97))),AND(E97&lt;&gt;"",NOT(ISNUMBER(E97)))),"Fecha no válida"&amp;" · ","")&amp;IF(AND(ISNUMBER(D97),ISNUMBER(E97),D97&gt;E97),"Inicio posterior a fecha límite"&amp;" · ","")&amp;IF(F97="","Peso vacío"&amp;" · ","")&amp;IF(AND(F97&lt;&gt;"",OR(NOT(ISNUMBER(F97)),F97&lt;=0,F97&gt;1)),"Peso fuera de rango"&amp;" · ","")&amp;IF(ABS(SUM($F$5:$F$1000)-1)&gt;0.0001,"Pesos del puesto suman "&amp;TEXT(SUM($F$5:$F$1000),"0%")&amp;" · ","")&amp;IF((COUNTIF(G97:J97,"&gt;1")+COUNTIF(G97:J97,"&lt;0")+COUNTA(G97:J97)-COUNT(G97:J97))&gt;0,"Avance fuera de rango 0-100%"&amp;" · ","")&amp;IF(OR(AND(H97&lt;&gt;"",H97&lt;G97),AND(I97&lt;&gt;"",I97&lt;MAX(G97:H97)),AND(J97&lt;&gt;"",J97&lt;MAX(G97:I97))),"Avance semanal decreciente"&amp;" · ","")&amp;IF(AND(ISNUMBER(E97),E97&lt;FechaRef,N(K97)&lt;1),"Vencida"&amp;" · ","")&amp;IF(AND(ObsObligatoria="Sí",ISNUMBER(E97),E97&lt;FechaRef,N(K97)&lt;1,M97=""),"Vencida sin observación"&amp;" · ",""))-3)))</f>
        <v/>
      </c>
    </row>
    <row r="98">
      <c r="A98" s="53">
        <f>IF(NOT((COUNTA($B98:$J98)+COUNTA($M98))&gt;0),"",COUNTIF($L$5:$L98,"?*"))</f>
        <v/>
      </c>
      <c r="B98" s="54" t="n"/>
      <c r="C98" s="54" t="n"/>
      <c r="D98" s="55" t="n"/>
      <c r="E98" s="55" t="n"/>
      <c r="F98" s="56" t="n"/>
      <c r="G98" s="57" t="n"/>
      <c r="H98" s="57" t="n"/>
      <c r="I98" s="57" t="n"/>
      <c r="J98" s="57" t="n"/>
      <c r="K98" s="58">
        <f>IF(NOT((COUNTA($B98:$J98)+COUNTA($M98))&gt;0),"",IFERROR(LOOKUP(2,1/(G98:J98&lt;&gt;""),G98:J98),0))</f>
        <v/>
      </c>
      <c r="L98" s="53">
        <f>IF(K98="","",IF(K98&gt;=1,"Completado",IF(K98&gt;0,"En curso","Pendiente")))</f>
        <v/>
      </c>
      <c r="M98" s="54" t="n"/>
      <c r="N98" s="59">
        <f>IF(NOT((COUNTA($B98:$J98)+COUNTA($M98))&gt;0),"",IF((IF(B98="","Macroactividad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 OK","⚠ "&amp;LEFT(IF(B98="","Macroactividad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",""),LEN(IF(B98="","Macroactividad vacía"&amp;" · ","")&amp;IF(C98="","Sin responsable"&amp;" · ","")&amp;IF(D98="","Sin fecha de inicio"&amp;" · ","")&amp;IF(E98="","Sin fecha límite"&amp;" · ","")&amp;IF(OR(AND(D98&lt;&gt;"",NOT(ISNUMBER(D98))),AND(E98&lt;&gt;"",NOT(ISNUMBER(E98)))),"Fecha no válida"&amp;" · ","")&amp;IF(AND(ISNUMBER(D98),ISNUMBER(E98),D98&gt;E98),"Inicio posterior a fecha límite"&amp;" · ","")&amp;IF(F98="","Peso vacío"&amp;" · ","")&amp;IF(AND(F98&lt;&gt;"",OR(NOT(ISNUMBER(F98)),F98&lt;=0,F98&gt;1)),"Peso fuera de rango"&amp;" · ","")&amp;IF(ABS(SUM($F$5:$F$1000)-1)&gt;0.0001,"Pesos del puesto suman "&amp;TEXT(SUM($F$5:$F$1000),"0%")&amp;" · ","")&amp;IF((COUNTIF(G98:J98,"&gt;1")+COUNTIF(G98:J98,"&lt;0")+COUNTA(G98:J98)-COUNT(G98:J98))&gt;0,"Avance fuera de rango 0-100%"&amp;" · ","")&amp;IF(OR(AND(H98&lt;&gt;"",H98&lt;G98),AND(I98&lt;&gt;"",I98&lt;MAX(G98:H98)),AND(J98&lt;&gt;"",J98&lt;MAX(G98:I98))),"Avance semanal decreciente"&amp;" · ","")&amp;IF(AND(ISNUMBER(E98),E98&lt;FechaRef,N(K98)&lt;1),"Vencida"&amp;" · ","")&amp;IF(AND(ObsObligatoria="Sí",ISNUMBER(E98),E98&lt;FechaRef,N(K98)&lt;1,M98=""),"Vencida sin observación"&amp;" · ",""))-3)))</f>
        <v/>
      </c>
    </row>
    <row r="99">
      <c r="A99" s="53">
        <f>IF(NOT((COUNTA($B99:$J99)+COUNTA($M99))&gt;0),"",COUNTIF($L$5:$L99,"?*"))</f>
        <v/>
      </c>
      <c r="B99" s="54" t="n"/>
      <c r="C99" s="54" t="n"/>
      <c r="D99" s="55" t="n"/>
      <c r="E99" s="55" t="n"/>
      <c r="F99" s="56" t="n"/>
      <c r="G99" s="57" t="n"/>
      <c r="H99" s="57" t="n"/>
      <c r="I99" s="57" t="n"/>
      <c r="J99" s="57" t="n"/>
      <c r="K99" s="58">
        <f>IF(NOT((COUNTA($B99:$J99)+COUNTA($M99))&gt;0),"",IFERROR(LOOKUP(2,1/(G99:J99&lt;&gt;""),G99:J99),0))</f>
        <v/>
      </c>
      <c r="L99" s="53">
        <f>IF(K99="","",IF(K99&gt;=1,"Completado",IF(K99&gt;0,"En curso","Pendiente")))</f>
        <v/>
      </c>
      <c r="M99" s="54" t="n"/>
      <c r="N99" s="59">
        <f>IF(NOT((COUNTA($B99:$J99)+COUNTA($M99))&gt;0),"",IF((IF(B99="","Macroactividad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 OK","⚠ "&amp;LEFT(IF(B99="","Macroactividad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",""),LEN(IF(B99="","Macroactividad vacía"&amp;" · ","")&amp;IF(C99="","Sin responsable"&amp;" · ","")&amp;IF(D99="","Sin fecha de inicio"&amp;" · ","")&amp;IF(E99="","Sin fecha límite"&amp;" · ","")&amp;IF(OR(AND(D99&lt;&gt;"",NOT(ISNUMBER(D99))),AND(E99&lt;&gt;"",NOT(ISNUMBER(E99)))),"Fecha no válida"&amp;" · ","")&amp;IF(AND(ISNUMBER(D99),ISNUMBER(E99),D99&gt;E99),"Inicio posterior a fecha límite"&amp;" · ","")&amp;IF(F99="","Peso vacío"&amp;" · ","")&amp;IF(AND(F99&lt;&gt;"",OR(NOT(ISNUMBER(F99)),F99&lt;=0,F99&gt;1)),"Peso fuera de rango"&amp;" · ","")&amp;IF(ABS(SUM($F$5:$F$1000)-1)&gt;0.0001,"Pesos del puesto suman "&amp;TEXT(SUM($F$5:$F$1000),"0%")&amp;" · ","")&amp;IF((COUNTIF(G99:J99,"&gt;1")+COUNTIF(G99:J99,"&lt;0")+COUNTA(G99:J99)-COUNT(G99:J99))&gt;0,"Avance fuera de rango 0-100%"&amp;" · ","")&amp;IF(OR(AND(H99&lt;&gt;"",H99&lt;G99),AND(I99&lt;&gt;"",I99&lt;MAX(G99:H99)),AND(J99&lt;&gt;"",J99&lt;MAX(G99:I99))),"Avance semanal decreciente"&amp;" · ","")&amp;IF(AND(ISNUMBER(E99),E99&lt;FechaRef,N(K99)&lt;1),"Vencida"&amp;" · ","")&amp;IF(AND(ObsObligatoria="Sí",ISNUMBER(E99),E99&lt;FechaRef,N(K99)&lt;1,M99=""),"Vencida sin observación"&amp;" · ",""))-3)))</f>
        <v/>
      </c>
    </row>
    <row r="100">
      <c r="A100" s="53">
        <f>IF(NOT((COUNTA($B100:$J100)+COUNTA($M100))&gt;0),"",COUNTIF($L$5:$L100,"?*"))</f>
        <v/>
      </c>
      <c r="B100" s="54" t="n"/>
      <c r="C100" s="54" t="n"/>
      <c r="D100" s="55" t="n"/>
      <c r="E100" s="55" t="n"/>
      <c r="F100" s="56" t="n"/>
      <c r="G100" s="57" t="n"/>
      <c r="H100" s="57" t="n"/>
      <c r="I100" s="57" t="n"/>
      <c r="J100" s="57" t="n"/>
      <c r="K100" s="58">
        <f>IF(NOT((COUNTA($B100:$J100)+COUNTA($M100))&gt;0),"",IFERROR(LOOKUP(2,1/(G100:J100&lt;&gt;""),G100:J100),0))</f>
        <v/>
      </c>
      <c r="L100" s="53">
        <f>IF(K100="","",IF(K100&gt;=1,"Completado",IF(K100&gt;0,"En curso","Pendiente")))</f>
        <v/>
      </c>
      <c r="M100" s="54" t="n"/>
      <c r="N100" s="59">
        <f>IF(NOT((COUNTA($B100:$J100)+COUNTA($M100))&gt;0),"",IF((IF(B100="","Macroactividad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 OK","⚠ "&amp;LEFT(IF(B100="","Macroactividad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",""),LEN(IF(B100="","Macroactividad vacía"&amp;" · ","")&amp;IF(C100="","Sin responsable"&amp;" · ","")&amp;IF(D100="","Sin fecha de inicio"&amp;" · ","")&amp;IF(E100="","Sin fecha límite"&amp;" · ","")&amp;IF(OR(AND(D100&lt;&gt;"",NOT(ISNUMBER(D100))),AND(E100&lt;&gt;"",NOT(ISNUMBER(E100)))),"Fecha no válida"&amp;" · ","")&amp;IF(AND(ISNUMBER(D100),ISNUMBER(E100),D100&gt;E100),"Inicio posterior a fecha límite"&amp;" · ","")&amp;IF(F100="","Peso vacío"&amp;" · ","")&amp;IF(AND(F100&lt;&gt;"",OR(NOT(ISNUMBER(F100)),F100&lt;=0,F100&gt;1)),"Peso fuera de rango"&amp;" · ","")&amp;IF(ABS(SUM($F$5:$F$1000)-1)&gt;0.0001,"Pesos del puesto suman "&amp;TEXT(SUM($F$5:$F$1000),"0%")&amp;" · ","")&amp;IF((COUNTIF(G100:J100,"&gt;1")+COUNTIF(G100:J100,"&lt;0")+COUNTA(G100:J100)-COUNT(G100:J100))&gt;0,"Avance fuera de rango 0-100%"&amp;" · ","")&amp;IF(OR(AND(H100&lt;&gt;"",H100&lt;G100),AND(I100&lt;&gt;"",I100&lt;MAX(G100:H100)),AND(J100&lt;&gt;"",J100&lt;MAX(G100:I100))),"Avance semanal decreciente"&amp;" · ","")&amp;IF(AND(ISNUMBER(E100),E100&lt;FechaRef,N(K100)&lt;1),"Vencida"&amp;" · ","")&amp;IF(AND(ObsObligatoria="Sí",ISNUMBER(E100),E100&lt;FechaRef,N(K100)&lt;1,M100=""),"Vencida sin observación"&amp;" · ",""))-3)))</f>
        <v/>
      </c>
    </row>
    <row r="101">
      <c r="A101" s="53">
        <f>IF(NOT((COUNTA($B101:$J101)+COUNTA($M101))&gt;0),"",COUNTIF($L$5:$L101,"?*"))</f>
        <v/>
      </c>
      <c r="B101" s="54" t="n"/>
      <c r="C101" s="54" t="n"/>
      <c r="D101" s="55" t="n"/>
      <c r="E101" s="55" t="n"/>
      <c r="F101" s="56" t="n"/>
      <c r="G101" s="57" t="n"/>
      <c r="H101" s="57" t="n"/>
      <c r="I101" s="57" t="n"/>
      <c r="J101" s="57" t="n"/>
      <c r="K101" s="58">
        <f>IF(NOT((COUNTA($B101:$J101)+COUNTA($M101))&gt;0),"",IFERROR(LOOKUP(2,1/(G101:J101&lt;&gt;""),G101:J101),0))</f>
        <v/>
      </c>
      <c r="L101" s="53">
        <f>IF(K101="","",IF(K101&gt;=1,"Completado",IF(K101&gt;0,"En curso","Pendiente")))</f>
        <v/>
      </c>
      <c r="M101" s="54" t="n"/>
      <c r="N101" s="59">
        <f>IF(NOT((COUNTA($B101:$J101)+COUNTA($M101))&gt;0),"",IF((IF(B101="","Macroactividad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 OK","⚠ "&amp;LEFT(IF(B101="","Macroactividad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",""),LEN(IF(B101="","Macroactividad vacía"&amp;" · ","")&amp;IF(C101="","Sin responsable"&amp;" · ","")&amp;IF(D101="","Sin fecha de inicio"&amp;" · ","")&amp;IF(E101="","Sin fecha límite"&amp;" · ","")&amp;IF(OR(AND(D101&lt;&gt;"",NOT(ISNUMBER(D101))),AND(E101&lt;&gt;"",NOT(ISNUMBER(E101)))),"Fecha no válida"&amp;" · ","")&amp;IF(AND(ISNUMBER(D101),ISNUMBER(E101),D101&gt;E101),"Inicio posterior a fecha límite"&amp;" · ","")&amp;IF(F101="","Peso vacío"&amp;" · ","")&amp;IF(AND(F101&lt;&gt;"",OR(NOT(ISNUMBER(F101)),F101&lt;=0,F101&gt;1)),"Peso fuera de rango"&amp;" · ","")&amp;IF(ABS(SUM($F$5:$F$1000)-1)&gt;0.0001,"Pesos del puesto suman "&amp;TEXT(SUM($F$5:$F$1000),"0%")&amp;" · ","")&amp;IF((COUNTIF(G101:J101,"&gt;1")+COUNTIF(G101:J101,"&lt;0")+COUNTA(G101:J101)-COUNT(G101:J101))&gt;0,"Avance fuera de rango 0-100%"&amp;" · ","")&amp;IF(OR(AND(H101&lt;&gt;"",H101&lt;G101),AND(I101&lt;&gt;"",I101&lt;MAX(G101:H101)),AND(J101&lt;&gt;"",J101&lt;MAX(G101:I101))),"Avance semanal decreciente"&amp;" · ","")&amp;IF(AND(ISNUMBER(E101),E101&lt;FechaRef,N(K101)&lt;1),"Vencida"&amp;" · ","")&amp;IF(AND(ObsObligatoria="Sí",ISNUMBER(E101),E101&lt;FechaRef,N(K101)&lt;1,M101=""),"Vencida sin observación"&amp;" · ",""))-3)))</f>
        <v/>
      </c>
    </row>
    <row r="102">
      <c r="A102" s="53">
        <f>IF(NOT((COUNTA($B102:$J102)+COUNTA($M102))&gt;0),"",COUNTIF($L$5:$L102,"?*"))</f>
        <v/>
      </c>
      <c r="B102" s="54" t="n"/>
      <c r="C102" s="54" t="n"/>
      <c r="D102" s="55" t="n"/>
      <c r="E102" s="55" t="n"/>
      <c r="F102" s="56" t="n"/>
      <c r="G102" s="57" t="n"/>
      <c r="H102" s="57" t="n"/>
      <c r="I102" s="57" t="n"/>
      <c r="J102" s="57" t="n"/>
      <c r="K102" s="58">
        <f>IF(NOT((COUNTA($B102:$J102)+COUNTA($M102))&gt;0),"",IFERROR(LOOKUP(2,1/(G102:J102&lt;&gt;""),G102:J102),0))</f>
        <v/>
      </c>
      <c r="L102" s="53">
        <f>IF(K102="","",IF(K102&gt;=1,"Completado",IF(K102&gt;0,"En curso","Pendiente")))</f>
        <v/>
      </c>
      <c r="M102" s="54" t="n"/>
      <c r="N102" s="59">
        <f>IF(NOT((COUNTA($B102:$J102)+COUNTA($M102))&gt;0),"",IF((IF(B102="","Macroactividad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 OK","⚠ "&amp;LEFT(IF(B102="","Macroactividad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",""),LEN(IF(B102="","Macroactividad vacía"&amp;" · ","")&amp;IF(C102="","Sin responsable"&amp;" · ","")&amp;IF(D102="","Sin fecha de inicio"&amp;" · ","")&amp;IF(E102="","Sin fecha límite"&amp;" · ","")&amp;IF(OR(AND(D102&lt;&gt;"",NOT(ISNUMBER(D102))),AND(E102&lt;&gt;"",NOT(ISNUMBER(E102)))),"Fecha no válida"&amp;" · ","")&amp;IF(AND(ISNUMBER(D102),ISNUMBER(E102),D102&gt;E102),"Inicio posterior a fecha límite"&amp;" · ","")&amp;IF(F102="","Peso vacío"&amp;" · ","")&amp;IF(AND(F102&lt;&gt;"",OR(NOT(ISNUMBER(F102)),F102&lt;=0,F102&gt;1)),"Peso fuera de rango"&amp;" · ","")&amp;IF(ABS(SUM($F$5:$F$1000)-1)&gt;0.0001,"Pesos del puesto suman "&amp;TEXT(SUM($F$5:$F$1000),"0%")&amp;" · ","")&amp;IF((COUNTIF(G102:J102,"&gt;1")+COUNTIF(G102:J102,"&lt;0")+COUNTA(G102:J102)-COUNT(G102:J102))&gt;0,"Avance fuera de rango 0-100%"&amp;" · ","")&amp;IF(OR(AND(H102&lt;&gt;"",H102&lt;G102),AND(I102&lt;&gt;"",I102&lt;MAX(G102:H102)),AND(J102&lt;&gt;"",J102&lt;MAX(G102:I102))),"Avance semanal decreciente"&amp;" · ","")&amp;IF(AND(ISNUMBER(E102),E102&lt;FechaRef,N(K102)&lt;1),"Vencida"&amp;" · ","")&amp;IF(AND(ObsObligatoria="Sí",ISNUMBER(E102),E102&lt;FechaRef,N(K102)&lt;1,M102=""),"Vencida sin observación"&amp;" · ",""))-3)))</f>
        <v/>
      </c>
    </row>
    <row r="103">
      <c r="A103" s="53">
        <f>IF(NOT((COUNTA($B103:$J103)+COUNTA($M103))&gt;0),"",COUNTIF($L$5:$L103,"?*"))</f>
        <v/>
      </c>
      <c r="B103" s="54" t="n"/>
      <c r="C103" s="54" t="n"/>
      <c r="D103" s="55" t="n"/>
      <c r="E103" s="55" t="n"/>
      <c r="F103" s="56" t="n"/>
      <c r="G103" s="57" t="n"/>
      <c r="H103" s="57" t="n"/>
      <c r="I103" s="57" t="n"/>
      <c r="J103" s="57" t="n"/>
      <c r="K103" s="58">
        <f>IF(NOT((COUNTA($B103:$J103)+COUNTA($M103))&gt;0),"",IFERROR(LOOKUP(2,1/(G103:J103&lt;&gt;""),G103:J103),0))</f>
        <v/>
      </c>
      <c r="L103" s="53">
        <f>IF(K103="","",IF(K103&gt;=1,"Completado",IF(K103&gt;0,"En curso","Pendiente")))</f>
        <v/>
      </c>
      <c r="M103" s="54" t="n"/>
      <c r="N103" s="59">
        <f>IF(NOT((COUNTA($B103:$J103)+COUNTA($M103))&gt;0),"",IF((IF(B103="","Macroactividad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 OK","⚠ "&amp;LEFT(IF(B103="","Macroactividad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",""),LEN(IF(B103="","Macroactividad vacía"&amp;" · ","")&amp;IF(C103="","Sin responsable"&amp;" · ","")&amp;IF(D103="","Sin fecha de inicio"&amp;" · ","")&amp;IF(E103="","Sin fecha límite"&amp;" · ","")&amp;IF(OR(AND(D103&lt;&gt;"",NOT(ISNUMBER(D103))),AND(E103&lt;&gt;"",NOT(ISNUMBER(E103)))),"Fecha no válida"&amp;" · ","")&amp;IF(AND(ISNUMBER(D103),ISNUMBER(E103),D103&gt;E103),"Inicio posterior a fecha límite"&amp;" · ","")&amp;IF(F103="","Peso vacío"&amp;" · ","")&amp;IF(AND(F103&lt;&gt;"",OR(NOT(ISNUMBER(F103)),F103&lt;=0,F103&gt;1)),"Peso fuera de rango"&amp;" · ","")&amp;IF(ABS(SUM($F$5:$F$1000)-1)&gt;0.0001,"Pesos del puesto suman "&amp;TEXT(SUM($F$5:$F$1000),"0%")&amp;" · ","")&amp;IF((COUNTIF(G103:J103,"&gt;1")+COUNTIF(G103:J103,"&lt;0")+COUNTA(G103:J103)-COUNT(G103:J103))&gt;0,"Avance fuera de rango 0-100%"&amp;" · ","")&amp;IF(OR(AND(H103&lt;&gt;"",H103&lt;G103),AND(I103&lt;&gt;"",I103&lt;MAX(G103:H103)),AND(J103&lt;&gt;"",J103&lt;MAX(G103:I103))),"Avance semanal decreciente"&amp;" · ","")&amp;IF(AND(ISNUMBER(E103),E103&lt;FechaRef,N(K103)&lt;1),"Vencida"&amp;" · ","")&amp;IF(AND(ObsObligatoria="Sí",ISNUMBER(E103),E103&lt;FechaRef,N(K103)&lt;1,M103=""),"Vencida sin observación"&amp;" · ",""))-3)))</f>
        <v/>
      </c>
    </row>
    <row r="104">
      <c r="A104" s="53">
        <f>IF(NOT((COUNTA($B104:$J104)+COUNTA($M104))&gt;0),"",COUNTIF($L$5:$L104,"?*"))</f>
        <v/>
      </c>
      <c r="B104" s="54" t="n"/>
      <c r="C104" s="54" t="n"/>
      <c r="D104" s="55" t="n"/>
      <c r="E104" s="55" t="n"/>
      <c r="F104" s="56" t="n"/>
      <c r="G104" s="57" t="n"/>
      <c r="H104" s="57" t="n"/>
      <c r="I104" s="57" t="n"/>
      <c r="J104" s="57" t="n"/>
      <c r="K104" s="58">
        <f>IF(NOT((COUNTA($B104:$J104)+COUNTA($M104))&gt;0),"",IFERROR(LOOKUP(2,1/(G104:J104&lt;&gt;""),G104:J104),0))</f>
        <v/>
      </c>
      <c r="L104" s="53">
        <f>IF(K104="","",IF(K104&gt;=1,"Completado",IF(K104&gt;0,"En curso","Pendiente")))</f>
        <v/>
      </c>
      <c r="M104" s="54" t="n"/>
      <c r="N104" s="59">
        <f>IF(NOT((COUNTA($B104:$J104)+COUNTA($M104))&gt;0),"",IF((IF(B104="","Macroactividad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 OK","⚠ "&amp;LEFT(IF(B104="","Macroactividad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",""),LEN(IF(B104="","Macroactividad vacía"&amp;" · ","")&amp;IF(C104="","Sin responsable"&amp;" · ","")&amp;IF(D104="","Sin fecha de inicio"&amp;" · ","")&amp;IF(E104="","Sin fecha límite"&amp;" · ","")&amp;IF(OR(AND(D104&lt;&gt;"",NOT(ISNUMBER(D104))),AND(E104&lt;&gt;"",NOT(ISNUMBER(E104)))),"Fecha no válida"&amp;" · ","")&amp;IF(AND(ISNUMBER(D104),ISNUMBER(E104),D104&gt;E104),"Inicio posterior a fecha límite"&amp;" · ","")&amp;IF(F104="","Peso vacío"&amp;" · ","")&amp;IF(AND(F104&lt;&gt;"",OR(NOT(ISNUMBER(F104)),F104&lt;=0,F104&gt;1)),"Peso fuera de rango"&amp;" · ","")&amp;IF(ABS(SUM($F$5:$F$1000)-1)&gt;0.0001,"Pesos del puesto suman "&amp;TEXT(SUM($F$5:$F$1000),"0%")&amp;" · ","")&amp;IF((COUNTIF(G104:J104,"&gt;1")+COUNTIF(G104:J104,"&lt;0")+COUNTA(G104:J104)-COUNT(G104:J104))&gt;0,"Avance fuera de rango 0-100%"&amp;" · ","")&amp;IF(OR(AND(H104&lt;&gt;"",H104&lt;G104),AND(I104&lt;&gt;"",I104&lt;MAX(G104:H104)),AND(J104&lt;&gt;"",J104&lt;MAX(G104:I104))),"Avance semanal decreciente"&amp;" · ","")&amp;IF(AND(ISNUMBER(E104),E104&lt;FechaRef,N(K104)&lt;1),"Vencida"&amp;" · ","")&amp;IF(AND(ObsObligatoria="Sí",ISNUMBER(E104),E104&lt;FechaRef,N(K104)&lt;1,M104=""),"Vencida sin observación"&amp;" · ",""))-3)))</f>
        <v/>
      </c>
    </row>
  </sheetData>
  <sheetProtection selectLockedCells="0" selectUnlockedCells="0" sheet="1" objects="0" insertRows="1" insertHyperlinks="1" autoFilter="0" scenarios="0" formatColumns="0" deleteColumns="1" insertColumns="1" pivotTables="1" deleteRows="1" formatCells="1" formatRows="0" sort="0"/>
  <mergeCells count="3">
    <mergeCell ref="E3:F3"/>
    <mergeCell ref="A2:N2"/>
    <mergeCell ref="A1:N1"/>
  </mergeCells>
  <conditionalFormatting sqref="E3:F3">
    <cfRule type="expression" priority="1" dxfId="1">
      <formula>LEFT($E$3,1)="⚠"</formula>
    </cfRule>
    <cfRule type="expression" priority="2" dxfId="0">
      <formula>LEFT($E$3,1)="✔"</formula>
    </cfRule>
  </conditionalFormatting>
  <conditionalFormatting sqref="L5:L1000">
    <cfRule type="expression" priority="3" dxfId="0">
      <formula>$L5="Completado"</formula>
    </cfRule>
    <cfRule type="expression" priority="4" dxfId="4">
      <formula>$L5="En curso"</formula>
    </cfRule>
    <cfRule type="expression" priority="5" dxfId="5">
      <formula>$L5="Pendiente"</formula>
    </cfRule>
  </conditionalFormatting>
  <conditionalFormatting sqref="K5:K1000">
    <cfRule type="expression" priority="6" dxfId="0">
      <formula>AND(ISNUMBER($K5),$K5&gt;=1)</formula>
    </cfRule>
    <cfRule type="dataBar" priority="7">
      <dataBar showValue="1">
        <cfvo type="num" val="0"/>
        <cfvo type="num" val="1"/>
        <color rgb="005B9BD5"/>
      </dataBar>
    </cfRule>
  </conditionalFormatting>
  <conditionalFormatting sqref="E5:E1000">
    <cfRule type="expression" priority="8" dxfId="6" stopIfTrue="1">
      <formula>AND(ISNUMBER($E5),$E5&lt;FechaRef,N($K5)&lt;1)</formula>
    </cfRule>
    <cfRule type="expression" priority="9" dxfId="7">
      <formula>AND(ISNUMBER($E5),$E5&gt;=FechaRef,$E5-FechaRef&lt;=DiasAlerta,N($K5)&lt;1)</formula>
    </cfRule>
  </conditionalFormatting>
  <conditionalFormatting sqref="B5:F1000">
    <cfRule type="expression" priority="10" dxfId="5">
      <formula>AND((COUNTA($B5:$J5)+COUNTA($M5))&gt;0,B5="")</formula>
    </cfRule>
  </conditionalFormatting>
  <conditionalFormatting sqref="D5:E1000">
    <cfRule type="expression" priority="11" dxfId="6">
      <formula>AND(ISNUMBER($D5),ISNUMBER($E5),$D5&gt;$E5)</formula>
    </cfRule>
  </conditionalFormatting>
  <conditionalFormatting sqref="F5:F1000">
    <cfRule type="expression" priority="12" dxfId="7">
      <formula>AND((COUNTA($B5:$J5)+COUNTA($M5))&gt;0,ABS(SUM($F$5:$F$1000)-1)&gt;0.0001)</formula>
    </cfRule>
  </conditionalFormatting>
  <conditionalFormatting sqref="G5:J1000">
    <cfRule type="expression" priority="13" dxfId="5" stopIfTrue="1">
      <formula>AND(G5&lt;&gt;"",OR(NOT(ISNUMBER(G5)),G5&gt;1,G5&lt;0))</formula>
    </cfRule>
  </conditionalFormatting>
  <conditionalFormatting sqref="H5:J1000">
    <cfRule type="expression" priority="14" dxfId="6">
      <formula>AND(H5&lt;&gt;"",H5&lt;MAX($G5:G5))</formula>
    </cfRule>
  </conditionalFormatting>
  <conditionalFormatting sqref="M5:M1000">
    <cfRule type="expression" priority="15" dxfId="5">
      <formula>AND(ObsObligatoria="Sí",ISNUMBER($E5),$E5&lt;FechaRef,N($K5)&lt;1,$M5="")</formula>
    </cfRule>
  </conditionalFormatting>
  <conditionalFormatting sqref="N5:N1000">
    <cfRule type="expression" priority="16" dxfId="5">
      <formula>LEFT($N5,1)="⚠"</formula>
    </cfRule>
    <cfRule type="expression" priority="17" dxfId="8">
      <formula>LEFT($N5,1)="✔"</formula>
    </cfRule>
  </conditionalFormatting>
  <dataValidations count="3">
    <dataValidation sqref="D5:D1000 E5:E1000" showDropDown="0" showInputMessage="0" showErrorMessage="1" allowBlank="1" errorTitle="Fecha no válida" error="Ingrese una fecha válida (dd/mm/aaaa)." type="date" operator="greaterThan">
      <formula1>36526</formula1>
    </dataValidation>
    <dataValidation sqref="F5:F1000" showDropDown="0" showInputMessage="1" showErrorMessage="1" allowBlank="1" errorTitle="Peso no válido" error="Ingrese un porcentaje entre 0% y 100% (por ejemplo 25%)." promptTitle="Peso de actividad" prompt="Qué tanto vale esta actividad. La suma de esta hoja debe ser 100%." type="decimal" operator="between">
      <formula1>0</formula1>
      <formula2>1</formula2>
    </dataValidation>
    <dataValidation sqref="G5:J1000" showDropDown="0" showInputMessage="1" showErrorMessage="1" allowBlank="1" errorTitle="Avance no válido" error="Ingrese un porcentaje entre 0% y 100%. Deje la celda vacía si la semana no ha llegado." promptTitle="Avance acumulado" prompt="% TOTAL logrado hasta esta semana (no solo lo de la semana)." type="decimal" operator="between">
      <formula1>0</formula1>
      <formula2>1</formula2>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C55A11"/>
    <outlinePr summaryBelow="1" summaryRight="1"/>
    <pageSetUpPr fitToPage="1"/>
  </sheetPr>
  <dimension ref="A1:J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3" customWidth="1" min="3" max="3"/>
    <col width="50" customWidth="1" min="4" max="4"/>
    <col width="54" customWidth="1" min="5" max="5"/>
    <col width="18" customWidth="1" min="6" max="6"/>
    <col width="13" customWidth="1" min="7" max="7"/>
    <col width="14" customWidth="1" min="8" max="8"/>
    <col width="30" customWidth="1" min="9" max="9"/>
    <col width="36" customWidth="1" min="10" max="10"/>
  </cols>
  <sheetData>
    <row r="1" ht="28" customHeight="1">
      <c r="A1" s="67" t="inlineStr">
        <is>
          <t>Actividades semanales y entregables – Asistente Técnico de Riesgo</t>
        </is>
      </c>
      <c r="B1" s="67" t="n"/>
      <c r="C1" s="67" t="n"/>
      <c r="D1" s="67" t="n"/>
      <c r="E1" s="67" t="n"/>
      <c r="F1" s="67" t="n"/>
      <c r="G1" s="67" t="n"/>
      <c r="H1" s="67" t="n"/>
      <c r="I1" s="67" t="n"/>
      <c r="J1" s="67" t="n"/>
    </row>
    <row r="2" ht="32" customHeight="1">
      <c r="A2" s="60" t="inlineStr">
        <is>
          <t>Llene las celdas AMARILLAS; las GRISES son automáticas (N°, fecha objetivo propuesta y estado). Cuando cumpla una actividad escriba la FECHA REAL de cumplimiento: el estado cambia solo a «Completado». Las 4 actividades incluidas son una PROPUESTA editable (una por semana); puede cambiarlas o agregar más en las filas vacías.</t>
        </is>
      </c>
      <c r="B2" s="60" t="n"/>
      <c r="C2" s="60" t="n"/>
      <c r="D2" s="60" t="n"/>
      <c r="E2" s="60" t="n"/>
      <c r="F2" s="60" t="n"/>
      <c r="G2" s="60" t="n"/>
      <c r="H2" s="60" t="n"/>
      <c r="I2" s="60" t="n"/>
      <c r="J2" s="60" t="n"/>
    </row>
    <row r="3">
      <c r="A3" s="47" t="inlineStr">
        <is>
          <t>Entrada</t>
        </is>
      </c>
      <c r="B3" s="48" t="inlineStr">
        <is>
          <t>Automático</t>
        </is>
      </c>
      <c r="C3" s="61" t="inlineStr">
        <is>
          <t>Fecha objetivo = viernes de la semana elegida (según el inicio del ciclo en Configuración); puede escribir otra fecha encima.</t>
        </is>
      </c>
    </row>
    <row r="4" ht="34" customHeight="1">
      <c r="A4" s="52" t="inlineStr">
        <is>
          <t>N°</t>
        </is>
      </c>
      <c r="B4" s="68" t="inlineStr">
        <is>
          <t>Semana</t>
        </is>
      </c>
      <c r="C4" s="68" t="inlineStr">
        <is>
          <t>Fecha objetivo</t>
        </is>
      </c>
      <c r="D4" s="68" t="inlineStr">
        <is>
          <t>Actividad / Entregable</t>
        </is>
      </c>
      <c r="E4" s="68" t="inlineStr">
        <is>
          <t>Criterio de aceptación</t>
        </is>
      </c>
      <c r="F4" s="68" t="inlineStr">
        <is>
          <t>Responsable</t>
        </is>
      </c>
      <c r="G4" s="52" t="inlineStr">
        <is>
          <t>Estado</t>
        </is>
      </c>
      <c r="H4" s="68" t="inlineStr">
        <is>
          <t>Fecha real de cumplimiento</t>
        </is>
      </c>
      <c r="I4" s="68" t="inlineStr">
        <is>
          <t>Evidencia / Enlace</t>
        </is>
      </c>
      <c r="J4" s="68" t="inlineStr">
        <is>
          <t>Observaciones</t>
        </is>
      </c>
    </row>
    <row r="5" ht="45" customHeight="1">
      <c r="A5" s="53">
        <f>IF(NOT((COUNTA($B5)+COUNTA($D5:$F5)+COUNTA($H5:$J5))&gt;0),"",COUNTIF($G$5:$G5,"?*"))</f>
        <v/>
      </c>
      <c r="B5" s="62" t="inlineStr">
        <is>
          <t>Semana 1</t>
        </is>
      </c>
      <c r="C5" s="55">
        <f>IF(OR(InicioCiclo="",$B5=""),"",InicioCiclo+7*VALUE(RIGHT($B5,1))-3)</f>
        <v/>
      </c>
      <c r="D5" s="54" t="inlineStr">
        <is>
          <t>Plan de trabajo consolidado del área y estructura del repositorio de evidencias</t>
        </is>
      </c>
      <c r="E5" s="54" t="inlineStr">
        <is>
          <t>Actividades de los cuatro puestos registradas en el cronograma con pesos que suman 100% y repositorio con carpeta por puesto.</t>
        </is>
      </c>
      <c r="F5" s="54" t="inlineStr">
        <is>
          <t>Por asignar</t>
        </is>
      </c>
      <c r="G5" s="53">
        <f>IF(NOT((COUNTA($B5)+COUNTA($D5:$F5)+COUNTA($H5:$J5))&gt;0),"",IF(ISNUMBER($H5),"Completado",IF(AND(ISNUMBER($C5),$C5&lt;FechaRef),"Vencido",IF(IFERROR(VALUE(RIGHT($B5,1)),5)&lt;=SemanaActual,"En curso","Pendiente"))))</f>
        <v/>
      </c>
      <c r="H5" s="55" t="n"/>
      <c r="I5" s="54" t="n"/>
      <c r="J5" s="54" t="inlineStr">
        <is>
          <t>Propuesta editable – sujeta a validación del responsable.</t>
        </is>
      </c>
    </row>
    <row r="6" ht="45" customHeight="1">
      <c r="A6" s="53">
        <f>IF(NOT((COUNTA($B6)+COUNTA($D6:$F6)+COUNTA($H6:$J6))&gt;0),"",COUNTIF($G$5:$G6,"?*"))</f>
        <v/>
      </c>
      <c r="B6" s="62" t="inlineStr">
        <is>
          <t>Semana 2</t>
        </is>
      </c>
      <c r="C6" s="55">
        <f>IF(OR(InicioCiclo="",$B6=""),"",InicioCiclo+7*VALUE(RIGHT($B6,1))-3)</f>
        <v/>
      </c>
      <c r="D6" s="54" t="inlineStr">
        <is>
          <t>Organización de bases de datos y documentación de soporte; primer reporte de seguimiento</t>
        </is>
      </c>
      <c r="E6" s="54" t="inlineStr">
        <is>
          <t>Avances de la Semana 1 y 2 registrados en los cronogramas y reporte de avance semanal emitido.</t>
        </is>
      </c>
      <c r="F6" s="54" t="inlineStr">
        <is>
          <t>Por asignar</t>
        </is>
      </c>
      <c r="G6" s="53">
        <f>IF(NOT((COUNTA($B6)+COUNTA($D6:$F6)+COUNTA($H6:$J6))&gt;0),"",IF(ISNUMBER($H6),"Completado",IF(AND(ISNUMBER($C6),$C6&lt;FechaRef),"Vencido",IF(IFERROR(VALUE(RIGHT($B6,1)),5)&lt;=SemanaActual,"En curso","Pendiente"))))</f>
        <v/>
      </c>
      <c r="H6" s="55" t="n"/>
      <c r="I6" s="54" t="n"/>
      <c r="J6" s="54" t="inlineStr">
        <is>
          <t>Propuesta editable – sujeta a validación del responsable.</t>
        </is>
      </c>
    </row>
    <row r="7" ht="45" customHeight="1">
      <c r="A7" s="53">
        <f>IF(NOT((COUNTA($B7)+COUNTA($D7:$F7)+COUNTA($H7:$J7))&gt;0),"",COUNTIF($G$5:$G7,"?*"))</f>
        <v/>
      </c>
      <c r="B7" s="62" t="inlineStr">
        <is>
          <t>Semana 3</t>
        </is>
      </c>
      <c r="C7" s="55">
        <f>IF(OR(InicioCiclo="",$B7=""),"",InicioCiclo+7*VALUE(RIGHT($B7,1))-3)</f>
        <v/>
      </c>
      <c r="D7" s="54" t="inlineStr">
        <is>
          <t>Control de calidad de entregables y consolidación de la información de los tres puestos</t>
        </is>
      </c>
      <c r="E7" s="54" t="inlineStr">
        <is>
          <t>Lista de verificación de calidad aplicada a cada entregable; Dashboard sin alertas de datos pendientes de corrección.</t>
        </is>
      </c>
      <c r="F7" s="54" t="inlineStr">
        <is>
          <t>Por asignar</t>
        </is>
      </c>
      <c r="G7" s="53">
        <f>IF(NOT((COUNTA($B7)+COUNTA($D7:$F7)+COUNTA($H7:$J7))&gt;0),"",IF(ISNUMBER($H7),"Completado",IF(AND(ISNUMBER($C7),$C7&lt;FechaRef),"Vencido",IF(IFERROR(VALUE(RIGHT($B7,1)),5)&lt;=SemanaActual,"En curso","Pendiente"))))</f>
        <v/>
      </c>
      <c r="H7" s="55" t="n"/>
      <c r="I7" s="54" t="n"/>
      <c r="J7" s="54" t="inlineStr">
        <is>
          <t>Propuesta editable – sujeta a validación del responsable.</t>
        </is>
      </c>
    </row>
    <row r="8" ht="45" customHeight="1">
      <c r="A8" s="53">
        <f>IF(NOT((COUNTA($B8)+COUNTA($D8:$F8)+COUNTA($H8:$J8))&gt;0),"",COUNTIF($G$5:$G8,"?*"))</f>
        <v/>
      </c>
      <c r="B8" s="62" t="inlineStr">
        <is>
          <t>Semana 4</t>
        </is>
      </c>
      <c r="C8" s="55">
        <f>IF(OR(InicioCiclo="",$B8=""),"",InicioCiclo+7*VALUE(RIGHT($B8,1))-3)</f>
        <v/>
      </c>
      <c r="D8" s="54" t="inlineStr">
        <is>
          <t>Consolidación del informe final del área y soporte a la presentación ejecutiva</t>
        </is>
      </c>
      <c r="E8" s="54" t="inlineStr">
        <is>
          <t>Informe consolidado y anexos entregados; todas las actividades semanales con estado actualizado.</t>
        </is>
      </c>
      <c r="F8" s="54" t="inlineStr">
        <is>
          <t>Por asignar</t>
        </is>
      </c>
      <c r="G8" s="53">
        <f>IF(NOT((COUNTA($B8)+COUNTA($D8:$F8)+COUNTA($H8:$J8))&gt;0),"",IF(ISNUMBER($H8),"Completado",IF(AND(ISNUMBER($C8),$C8&lt;FechaRef),"Vencido",IF(IFERROR(VALUE(RIGHT($B8,1)),5)&lt;=SemanaActual,"En curso","Pendiente"))))</f>
        <v/>
      </c>
      <c r="H8" s="55" t="n"/>
      <c r="I8" s="54" t="n"/>
      <c r="J8" s="54" t="inlineStr">
        <is>
          <t>Propuesta editable – sujeta a validación del responsable.</t>
        </is>
      </c>
    </row>
    <row r="9">
      <c r="A9" s="53">
        <f>IF(NOT((COUNTA($B9)+COUNTA($D9:$F9)+COUNTA($H9:$J9))&gt;0),"",COUNTIF($G$5:$G9,"?*"))</f>
        <v/>
      </c>
      <c r="B9" s="62" t="n"/>
      <c r="C9" s="55">
        <f>IF(OR(InicioCiclo="",$B9=""),"",InicioCiclo+7*VALUE(RIGHT($B9,1))-3)</f>
        <v/>
      </c>
      <c r="D9" s="54" t="n"/>
      <c r="E9" s="54" t="n"/>
      <c r="F9" s="54" t="n"/>
      <c r="G9" s="53">
        <f>IF(NOT((COUNTA($B9)+COUNTA($D9:$F9)+COUNTA($H9:$J9))&gt;0),"",IF(ISNUMBER($H9),"Completado",IF(AND(ISNUMBER($C9),$C9&lt;FechaRef),"Vencido",IF(IFERROR(VALUE(RIGHT($B9,1)),5)&lt;=SemanaActual,"En curso","Pendiente"))))</f>
        <v/>
      </c>
      <c r="H9" s="55" t="n"/>
      <c r="I9" s="54" t="n"/>
      <c r="J9" s="54" t="n"/>
    </row>
    <row r="10">
      <c r="A10" s="53">
        <f>IF(NOT((COUNTA($B10)+COUNTA($D10:$F10)+COUNTA($H10:$J10))&gt;0),"",COUNTIF($G$5:$G10,"?*"))</f>
        <v/>
      </c>
      <c r="B10" s="62" t="n"/>
      <c r="C10" s="55">
        <f>IF(OR(InicioCiclo="",$B10=""),"",InicioCiclo+7*VALUE(RIGHT($B10,1))-3)</f>
        <v/>
      </c>
      <c r="D10" s="54" t="n"/>
      <c r="E10" s="54" t="n"/>
      <c r="F10" s="54" t="n"/>
      <c r="G10" s="53">
        <f>IF(NOT((COUNTA($B10)+COUNTA($D10:$F10)+COUNTA($H10:$J10))&gt;0),"",IF(ISNUMBER($H10),"Completado",IF(AND(ISNUMBER($C10),$C10&lt;FechaRef),"Vencido",IF(IFERROR(VALUE(RIGHT($B10,1)),5)&lt;=SemanaActual,"En curso","Pendiente"))))</f>
        <v/>
      </c>
      <c r="H10" s="55" t="n"/>
      <c r="I10" s="54" t="n"/>
      <c r="J10" s="54" t="n"/>
    </row>
    <row r="11">
      <c r="A11" s="53">
        <f>IF(NOT((COUNTA($B11)+COUNTA($D11:$F11)+COUNTA($H11:$J11))&gt;0),"",COUNTIF($G$5:$G11,"?*"))</f>
        <v/>
      </c>
      <c r="B11" s="62" t="n"/>
      <c r="C11" s="55">
        <f>IF(OR(InicioCiclo="",$B11=""),"",InicioCiclo+7*VALUE(RIGHT($B11,1))-3)</f>
        <v/>
      </c>
      <c r="D11" s="54" t="n"/>
      <c r="E11" s="54" t="n"/>
      <c r="F11" s="54" t="n"/>
      <c r="G11" s="53">
        <f>IF(NOT((COUNTA($B11)+COUNTA($D11:$F11)+COUNTA($H11:$J11))&gt;0),"",IF(ISNUMBER($H11),"Completado",IF(AND(ISNUMBER($C11),$C11&lt;FechaRef),"Vencido",IF(IFERROR(VALUE(RIGHT($B11,1)),5)&lt;=SemanaActual,"En curso","Pendiente"))))</f>
        <v/>
      </c>
      <c r="H11" s="55" t="n"/>
      <c r="I11" s="54" t="n"/>
      <c r="J11" s="54" t="n"/>
    </row>
    <row r="12">
      <c r="A12" s="53">
        <f>IF(NOT((COUNTA($B12)+COUNTA($D12:$F12)+COUNTA($H12:$J12))&gt;0),"",COUNTIF($G$5:$G12,"?*"))</f>
        <v/>
      </c>
      <c r="B12" s="62" t="n"/>
      <c r="C12" s="55">
        <f>IF(OR(InicioCiclo="",$B12=""),"",InicioCiclo+7*VALUE(RIGHT($B12,1))-3)</f>
        <v/>
      </c>
      <c r="D12" s="54" t="n"/>
      <c r="E12" s="54" t="n"/>
      <c r="F12" s="54" t="n"/>
      <c r="G12" s="53">
        <f>IF(NOT((COUNTA($B12)+COUNTA($D12:$F12)+COUNTA($H12:$J12))&gt;0),"",IF(ISNUMBER($H12),"Completado",IF(AND(ISNUMBER($C12),$C12&lt;FechaRef),"Vencido",IF(IFERROR(VALUE(RIGHT($B12,1)),5)&lt;=SemanaActual,"En curso","Pendiente"))))</f>
        <v/>
      </c>
      <c r="H12" s="55" t="n"/>
      <c r="I12" s="54" t="n"/>
      <c r="J12" s="54" t="n"/>
    </row>
    <row r="13">
      <c r="A13" s="53">
        <f>IF(NOT((COUNTA($B13)+COUNTA($D13:$F13)+COUNTA($H13:$J13))&gt;0),"",COUNTIF($G$5:$G13,"?*"))</f>
        <v/>
      </c>
      <c r="B13" s="62" t="n"/>
      <c r="C13" s="55">
        <f>IF(OR(InicioCiclo="",$B13=""),"",InicioCiclo+7*VALUE(RIGHT($B13,1))-3)</f>
        <v/>
      </c>
      <c r="D13" s="54" t="n"/>
      <c r="E13" s="54" t="n"/>
      <c r="F13" s="54" t="n"/>
      <c r="G13" s="53">
        <f>IF(NOT((COUNTA($B13)+COUNTA($D13:$F13)+COUNTA($H13:$J13))&gt;0),"",IF(ISNUMBER($H13),"Completado",IF(AND(ISNUMBER($C13),$C13&lt;FechaRef),"Vencido",IF(IFERROR(VALUE(RIGHT($B13,1)),5)&lt;=SemanaActual,"En curso","Pendiente"))))</f>
        <v/>
      </c>
      <c r="H13" s="55" t="n"/>
      <c r="I13" s="54" t="n"/>
      <c r="J13" s="54" t="n"/>
    </row>
    <row r="14">
      <c r="A14" s="53">
        <f>IF(NOT((COUNTA($B14)+COUNTA($D14:$F14)+COUNTA($H14:$J14))&gt;0),"",COUNTIF($G$5:$G14,"?*"))</f>
        <v/>
      </c>
      <c r="B14" s="62" t="n"/>
      <c r="C14" s="55">
        <f>IF(OR(InicioCiclo="",$B14=""),"",InicioCiclo+7*VALUE(RIGHT($B14,1))-3)</f>
        <v/>
      </c>
      <c r="D14" s="54" t="n"/>
      <c r="E14" s="54" t="n"/>
      <c r="F14" s="54" t="n"/>
      <c r="G14" s="53">
        <f>IF(NOT((COUNTA($B14)+COUNTA($D14:$F14)+COUNTA($H14:$J14))&gt;0),"",IF(ISNUMBER($H14),"Completado",IF(AND(ISNUMBER($C14),$C14&lt;FechaRef),"Vencido",IF(IFERROR(VALUE(RIGHT($B14,1)),5)&lt;=SemanaActual,"En curso","Pendiente"))))</f>
        <v/>
      </c>
      <c r="H14" s="55" t="n"/>
      <c r="I14" s="54" t="n"/>
      <c r="J14" s="54" t="n"/>
    </row>
    <row r="15">
      <c r="A15" s="53">
        <f>IF(NOT((COUNTA($B15)+COUNTA($D15:$F15)+COUNTA($H15:$J15))&gt;0),"",COUNTIF($G$5:$G15,"?*"))</f>
        <v/>
      </c>
      <c r="B15" s="62" t="n"/>
      <c r="C15" s="55">
        <f>IF(OR(InicioCiclo="",$B15=""),"",InicioCiclo+7*VALUE(RIGHT($B15,1))-3)</f>
        <v/>
      </c>
      <c r="D15" s="54" t="n"/>
      <c r="E15" s="54" t="n"/>
      <c r="F15" s="54" t="n"/>
      <c r="G15" s="53">
        <f>IF(NOT((COUNTA($B15)+COUNTA($D15:$F15)+COUNTA($H15:$J15))&gt;0),"",IF(ISNUMBER($H15),"Completado",IF(AND(ISNUMBER($C15),$C15&lt;FechaRef),"Vencido",IF(IFERROR(VALUE(RIGHT($B15,1)),5)&lt;=SemanaActual,"En curso","Pendiente"))))</f>
        <v/>
      </c>
      <c r="H15" s="55" t="n"/>
      <c r="I15" s="54" t="n"/>
      <c r="J15" s="54" t="n"/>
    </row>
    <row r="16">
      <c r="A16" s="53">
        <f>IF(NOT((COUNTA($B16)+COUNTA($D16:$F16)+COUNTA($H16:$J16))&gt;0),"",COUNTIF($G$5:$G16,"?*"))</f>
        <v/>
      </c>
      <c r="B16" s="62" t="n"/>
      <c r="C16" s="55">
        <f>IF(OR(InicioCiclo="",$B16=""),"",InicioCiclo+7*VALUE(RIGHT($B16,1))-3)</f>
        <v/>
      </c>
      <c r="D16" s="54" t="n"/>
      <c r="E16" s="54" t="n"/>
      <c r="F16" s="54" t="n"/>
      <c r="G16" s="53">
        <f>IF(NOT((COUNTA($B16)+COUNTA($D16:$F16)+COUNTA($H16:$J16))&gt;0),"",IF(ISNUMBER($H16),"Completado",IF(AND(ISNUMBER($C16),$C16&lt;FechaRef),"Vencido",IF(IFERROR(VALUE(RIGHT($B16,1)),5)&lt;=SemanaActual,"En curso","Pendiente"))))</f>
        <v/>
      </c>
      <c r="H16" s="55" t="n"/>
      <c r="I16" s="54" t="n"/>
      <c r="J16" s="54" t="n"/>
    </row>
    <row r="17">
      <c r="A17" s="53">
        <f>IF(NOT((COUNTA($B17)+COUNTA($D17:$F17)+COUNTA($H17:$J17))&gt;0),"",COUNTIF($G$5:$G17,"?*"))</f>
        <v/>
      </c>
      <c r="B17" s="62" t="n"/>
      <c r="C17" s="55">
        <f>IF(OR(InicioCiclo="",$B17=""),"",InicioCiclo+7*VALUE(RIGHT($B17,1))-3)</f>
        <v/>
      </c>
      <c r="D17" s="54" t="n"/>
      <c r="E17" s="54" t="n"/>
      <c r="F17" s="54" t="n"/>
      <c r="G17" s="53">
        <f>IF(NOT((COUNTA($B17)+COUNTA($D17:$F17)+COUNTA($H17:$J17))&gt;0),"",IF(ISNUMBER($H17),"Completado",IF(AND(ISNUMBER($C17),$C17&lt;FechaRef),"Vencido",IF(IFERROR(VALUE(RIGHT($B17,1)),5)&lt;=SemanaActual,"En curso","Pendiente"))))</f>
        <v/>
      </c>
      <c r="H17" s="55" t="n"/>
      <c r="I17" s="54" t="n"/>
      <c r="J17" s="54" t="n"/>
    </row>
    <row r="18">
      <c r="A18" s="53">
        <f>IF(NOT((COUNTA($B18)+COUNTA($D18:$F18)+COUNTA($H18:$J18))&gt;0),"",COUNTIF($G$5:$G18,"?*"))</f>
        <v/>
      </c>
      <c r="B18" s="62" t="n"/>
      <c r="C18" s="55">
        <f>IF(OR(InicioCiclo="",$B18=""),"",InicioCiclo+7*VALUE(RIGHT($B18,1))-3)</f>
        <v/>
      </c>
      <c r="D18" s="54" t="n"/>
      <c r="E18" s="54" t="n"/>
      <c r="F18" s="54" t="n"/>
      <c r="G18" s="53">
        <f>IF(NOT((COUNTA($B18)+COUNTA($D18:$F18)+COUNTA($H18:$J18))&gt;0),"",IF(ISNUMBER($H18),"Completado",IF(AND(ISNUMBER($C18),$C18&lt;FechaRef),"Vencido",IF(IFERROR(VALUE(RIGHT($B18,1)),5)&lt;=SemanaActual,"En curso","Pendiente"))))</f>
        <v/>
      </c>
      <c r="H18" s="55" t="n"/>
      <c r="I18" s="54" t="n"/>
      <c r="J18" s="54" t="n"/>
    </row>
    <row r="19">
      <c r="A19" s="53">
        <f>IF(NOT((COUNTA($B19)+COUNTA($D19:$F19)+COUNTA($H19:$J19))&gt;0),"",COUNTIF($G$5:$G19,"?*"))</f>
        <v/>
      </c>
      <c r="B19" s="62" t="n"/>
      <c r="C19" s="55">
        <f>IF(OR(InicioCiclo="",$B19=""),"",InicioCiclo+7*VALUE(RIGHT($B19,1))-3)</f>
        <v/>
      </c>
      <c r="D19" s="54" t="n"/>
      <c r="E19" s="54" t="n"/>
      <c r="F19" s="54" t="n"/>
      <c r="G19" s="53">
        <f>IF(NOT((COUNTA($B19)+COUNTA($D19:$F19)+COUNTA($H19:$J19))&gt;0),"",IF(ISNUMBER($H19),"Completado",IF(AND(ISNUMBER($C19),$C19&lt;FechaRef),"Vencido",IF(IFERROR(VALUE(RIGHT($B19,1)),5)&lt;=SemanaActual,"En curso","Pendiente"))))</f>
        <v/>
      </c>
      <c r="H19" s="55" t="n"/>
      <c r="I19" s="54" t="n"/>
      <c r="J19" s="54" t="n"/>
    </row>
    <row r="20">
      <c r="A20" s="53">
        <f>IF(NOT((COUNTA($B20)+COUNTA($D20:$F20)+COUNTA($H20:$J20))&gt;0),"",COUNTIF($G$5:$G20,"?*"))</f>
        <v/>
      </c>
      <c r="B20" s="62" t="n"/>
      <c r="C20" s="55">
        <f>IF(OR(InicioCiclo="",$B20=""),"",InicioCiclo+7*VALUE(RIGHT($B20,1))-3)</f>
        <v/>
      </c>
      <c r="D20" s="54" t="n"/>
      <c r="E20" s="54" t="n"/>
      <c r="F20" s="54" t="n"/>
      <c r="G20" s="53">
        <f>IF(NOT((COUNTA($B20)+COUNTA($D20:$F20)+COUNTA($H20:$J20))&gt;0),"",IF(ISNUMBER($H20),"Completado",IF(AND(ISNUMBER($C20),$C20&lt;FechaRef),"Vencido",IF(IFERROR(VALUE(RIGHT($B20,1)),5)&lt;=SemanaActual,"En curso","Pendiente"))))</f>
        <v/>
      </c>
      <c r="H20" s="55" t="n"/>
      <c r="I20" s="54" t="n"/>
      <c r="J20" s="54" t="n"/>
    </row>
    <row r="21">
      <c r="A21" s="53">
        <f>IF(NOT((COUNTA($B21)+COUNTA($D21:$F21)+COUNTA($H21:$J21))&gt;0),"",COUNTIF($G$5:$G21,"?*"))</f>
        <v/>
      </c>
      <c r="B21" s="62" t="n"/>
      <c r="C21" s="55">
        <f>IF(OR(InicioCiclo="",$B21=""),"",InicioCiclo+7*VALUE(RIGHT($B21,1))-3)</f>
        <v/>
      </c>
      <c r="D21" s="54" t="n"/>
      <c r="E21" s="54" t="n"/>
      <c r="F21" s="54" t="n"/>
      <c r="G21" s="53">
        <f>IF(NOT((COUNTA($B21)+COUNTA($D21:$F21)+COUNTA($H21:$J21))&gt;0),"",IF(ISNUMBER($H21),"Completado",IF(AND(ISNUMBER($C21),$C21&lt;FechaRef),"Vencido",IF(IFERROR(VALUE(RIGHT($B21,1)),5)&lt;=SemanaActual,"En curso","Pendiente"))))</f>
        <v/>
      </c>
      <c r="H21" s="55" t="n"/>
      <c r="I21" s="54" t="n"/>
      <c r="J21" s="54" t="n"/>
    </row>
    <row r="22">
      <c r="A22" s="53">
        <f>IF(NOT((COUNTA($B22)+COUNTA($D22:$F22)+COUNTA($H22:$J22))&gt;0),"",COUNTIF($G$5:$G22,"?*"))</f>
        <v/>
      </c>
      <c r="B22" s="62" t="n"/>
      <c r="C22" s="55">
        <f>IF(OR(InicioCiclo="",$B22=""),"",InicioCiclo+7*VALUE(RIGHT($B22,1))-3)</f>
        <v/>
      </c>
      <c r="D22" s="54" t="n"/>
      <c r="E22" s="54" t="n"/>
      <c r="F22" s="54" t="n"/>
      <c r="G22" s="53">
        <f>IF(NOT((COUNTA($B22)+COUNTA($D22:$F22)+COUNTA($H22:$J22))&gt;0),"",IF(ISNUMBER($H22),"Completado",IF(AND(ISNUMBER($C22),$C22&lt;FechaRef),"Vencido",IF(IFERROR(VALUE(RIGHT($B22,1)),5)&lt;=SemanaActual,"En curso","Pendiente"))))</f>
        <v/>
      </c>
      <c r="H22" s="55" t="n"/>
      <c r="I22" s="54" t="n"/>
      <c r="J22" s="54" t="n"/>
    </row>
    <row r="23">
      <c r="A23" s="53">
        <f>IF(NOT((COUNTA($B23)+COUNTA($D23:$F23)+COUNTA($H23:$J23))&gt;0),"",COUNTIF($G$5:$G23,"?*"))</f>
        <v/>
      </c>
      <c r="B23" s="62" t="n"/>
      <c r="C23" s="55">
        <f>IF(OR(InicioCiclo="",$B23=""),"",InicioCiclo+7*VALUE(RIGHT($B23,1))-3)</f>
        <v/>
      </c>
      <c r="D23" s="54" t="n"/>
      <c r="E23" s="54" t="n"/>
      <c r="F23" s="54" t="n"/>
      <c r="G23" s="53">
        <f>IF(NOT((COUNTA($B23)+COUNTA($D23:$F23)+COUNTA($H23:$J23))&gt;0),"",IF(ISNUMBER($H23),"Completado",IF(AND(ISNUMBER($C23),$C23&lt;FechaRef),"Vencido",IF(IFERROR(VALUE(RIGHT($B23,1)),5)&lt;=SemanaActual,"En curso","Pendiente"))))</f>
        <v/>
      </c>
      <c r="H23" s="55" t="n"/>
      <c r="I23" s="54" t="n"/>
      <c r="J23" s="54" t="n"/>
    </row>
    <row r="24">
      <c r="A24" s="53">
        <f>IF(NOT((COUNTA($B24)+COUNTA($D24:$F24)+COUNTA($H24:$J24))&gt;0),"",COUNTIF($G$5:$G24,"?*"))</f>
        <v/>
      </c>
      <c r="B24" s="62" t="n"/>
      <c r="C24" s="55">
        <f>IF(OR(InicioCiclo="",$B24=""),"",InicioCiclo+7*VALUE(RIGHT($B24,1))-3)</f>
        <v/>
      </c>
      <c r="D24" s="54" t="n"/>
      <c r="E24" s="54" t="n"/>
      <c r="F24" s="54" t="n"/>
      <c r="G24" s="53">
        <f>IF(NOT((COUNTA($B24)+COUNTA($D24:$F24)+COUNTA($H24:$J24))&gt;0),"",IF(ISNUMBER($H24),"Completado",IF(AND(ISNUMBER($C24),$C24&lt;FechaRef),"Vencido",IF(IFERROR(VALUE(RIGHT($B24,1)),5)&lt;=SemanaActual,"En curso","Pendiente"))))</f>
        <v/>
      </c>
      <c r="H24" s="55" t="n"/>
      <c r="I24" s="54" t="n"/>
      <c r="J24" s="54" t="n"/>
    </row>
  </sheetData>
  <sheetProtection selectLockedCells="0" selectUnlockedCells="0" sheet="1" objects="0" insertRows="1" insertHyperlinks="1" autoFilter="0" scenarios="0" formatColumns="0" deleteColumns="1" insertColumns="1" pivotTables="1" deleteRows="1" formatCells="1" formatRows="0" sort="0"/>
  <mergeCells count="2">
    <mergeCell ref="A1:J1"/>
    <mergeCell ref="A2:J2"/>
  </mergeCells>
  <conditionalFormatting sqref="G5:G500">
    <cfRule type="expression" priority="1" dxfId="0">
      <formula>$G5="Completado"</formula>
    </cfRule>
    <cfRule type="expression" priority="2" dxfId="6">
      <formula>$G5="Vencido"</formula>
    </cfRule>
    <cfRule type="expression" priority="3" dxfId="4">
      <formula>$G5="En curso"</formula>
    </cfRule>
    <cfRule type="expression" priority="4" dxfId="5">
      <formula>$G5="Pendiente"</formula>
    </cfRule>
  </conditionalFormatting>
  <conditionalFormatting sqref="C5:C500">
    <cfRule type="expression" priority="5" dxfId="6" stopIfTrue="1">
      <formula>$G5="Vencido"</formula>
    </cfRule>
    <cfRule type="expression" priority="6" dxfId="7">
      <formula>AND(ISNUMBER($C5),$C5&gt;=FechaRef,$C5-FechaRef&lt;=DiasAlerta,$G5&lt;&gt;"Completado")</formula>
    </cfRule>
  </conditionalFormatting>
  <conditionalFormatting sqref="H5:H500">
    <cfRule type="expression" priority="7" dxfId="7">
      <formula>AND(ISNUMBER($H5),ISNUMBER($C5),$H5&gt;$C5)</formula>
    </cfRule>
  </conditionalFormatting>
  <conditionalFormatting sqref="J5:J500">
    <cfRule type="expression" priority="8" dxfId="5">
      <formula>AND(ObsObligatoria="Sí",$G5="Vencido",$J5="")</formula>
    </cfRule>
  </conditionalFormatting>
  <dataValidations count="3">
    <dataValidation sqref="B5:B500" showDropDown="0" showInputMessage="0" showErrorMessage="1" allowBlank="1" error="Seleccione Semana 1, Semana 2, Semana 3 o Semana 4." type="list">
      <formula1>ListaSemanas</formula1>
    </dataValidation>
    <dataValidation sqref="H5:H500" showDropDown="0" showInputMessage="1" showErrorMessage="1" allowBlank="1" error="Ingrese una fecha válida (dd/mm/aaaa)." promptTitle="Fecha real" prompt="Escriba la fecha en que se cumplió. El estado cambiará a Completado." type="date" operator="greaterThan">
      <formula1>36526</formula1>
    </dataValidation>
    <dataValidation sqref="C5:C500" showDropDown="0" showInputMessage="0" showErrorMessage="1" allowBlank="1" error="Ingrese una fecha válida (dd/mm/aaaa)." type="date" operator="greaterThan">
      <formula1>36526</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B1:B6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9" t="inlineStr">
        <is>
          <t>Instrucciones – cómo usar este archivo</t>
        </is>
      </c>
    </row>
    <row r="3" ht="20" customHeight="1">
      <c r="B3" s="70" t="inlineStr">
        <is>
          <t>¿Para qué sirve este archivo?</t>
        </is>
      </c>
    </row>
    <row r="4" ht="45" customHeight="1">
      <c r="B4" s="71" t="inlineStr">
        <is>
          <t>Sirve para planificar y dar seguimiento, cada mes, al trabajo de los cuatro puestos del área: Riesgo Operacional, Riesgo Normativo, Riesgo Financiero y Asistente Técnico de Riesgo. Cada mes se divide en 4 semanas y la meta es llegar al 100% al terminar la Semana 4.</t>
        </is>
      </c>
    </row>
    <row r="6" ht="20" customHeight="1">
      <c r="B6" s="70" t="inlineStr">
        <is>
          <t>Las hojas del archivo</t>
        </is>
      </c>
    </row>
    <row r="7" ht="15" customHeight="1">
      <c r="B7" s="71" t="inlineStr">
        <is>
          <t>• Dashboard - Consolidado: el resumen de todo. NO se llena: se actualiza solo.</t>
        </is>
      </c>
    </row>
    <row r="8" ht="30" customHeight="1">
      <c r="B8" s="71" t="inlineStr">
        <is>
          <t>• Cronograma (una por puesto, con el color del puesto): aquí cada responsable anota sus actividades principales del mes, su peso y su avance de cada semana.</t>
        </is>
      </c>
    </row>
    <row r="9" ht="30" customHeight="1">
      <c r="B9" s="71" t="inlineStr">
        <is>
          <t>• Actividades (una por puesto, al lado de su cronograma): las actividades o entregables concretos de cada semana. Ya trae una propuesta de 4 (una por semana) que pueden cambiar.</t>
        </is>
      </c>
    </row>
    <row r="10" ht="30" customHeight="1">
      <c r="B10" s="71" t="inlineStr">
        <is>
          <t>• Configuración: el mes, la semana y la fecha de corte. Se calculan SOLOS con la fecha de hoy; normalmente no hay que tocar nada.</t>
        </is>
      </c>
    </row>
    <row r="11" ht="30" customHeight="1">
      <c r="B11" s="71" t="inlineStr">
        <is>
          <t>• Colores de las celdas: AMARILLO = usted escribe aquí. GRIS = se calcula solo (está protegido). Cada puesto tiene su propio color: azul (Operacional), morado (Normativo), verde (Financiero) y naranja (Asistente Técnico).</t>
        </is>
      </c>
    </row>
    <row r="13" ht="20" customHeight="1">
      <c r="B13" s="70" t="inlineStr">
        <is>
          <t>Cómo llenar su hoja «Cronograma» (paso a paso)</t>
        </is>
      </c>
    </row>
    <row r="14" ht="15" customHeight="1">
      <c r="B14" s="71" t="inlineStr">
        <is>
          <t>1) Abra la pestaña «Cronograma» de SU puesto.</t>
        </is>
      </c>
    </row>
    <row r="15" ht="30" customHeight="1">
      <c r="B15" s="71" t="inlineStr">
        <is>
          <t>2) En una fila nueva escriba: nombre de la actividad (Macro Actividad), Responsable, Fecha de inicio y Fecha límite. El N° (1, 2, 3…) se llena solo.</t>
        </is>
      </c>
    </row>
    <row r="16" ht="30" customHeight="1">
      <c r="B16" s="71" t="inlineStr">
        <is>
          <t>3) Peso (%): qué tanto vale esa actividad dentro de su puesto. Todas las actividades de su hoja deben sumar 100%. Ejemplo: Actividad 1 = 40%, Actividad 2 = 35%, Actividad 3 = 25%. Arriba de la tabla verá si ya suman 100%.</t>
        </is>
      </c>
    </row>
    <row r="17" ht="45" customHeight="1">
      <c r="B17" s="71" t="inlineStr">
        <is>
          <t>4) Cada viernes escriba en la columna de esa semana el avance TOTAL logrado hasta ese día (no lo que avanzó solo esa semana). Ejemplo: Semana 1 = 20%, Semana 2 = 45%, Semana 3 = 75%, Semana 4 = 100%. Deje en blanco las semanas que aún no llegan.</t>
        </is>
      </c>
    </row>
    <row r="18" ht="15" customHeight="1">
      <c r="B18" s="71" t="inlineStr">
        <is>
          <t>5) El «% de Avance Total Actual» y el «Estado» (Pendiente, En curso, Completado) se calculan solos.</t>
        </is>
      </c>
    </row>
    <row r="19" ht="30" customHeight="1">
      <c r="B19" s="71" t="inlineStr">
        <is>
          <t>6) Observaciones: si una actividad se atrasa o no se cumplió, escriba aquí el motivo y la nueva fecha. Si una actividad vence sin cumplirse y no tiene observación, el archivo se lo recordará.</t>
        </is>
      </c>
    </row>
    <row r="21" ht="20" customHeight="1">
      <c r="B21" s="70" t="inlineStr">
        <is>
          <t>¿Qué es la columna «Revisión automática (alertas)»?</t>
        </is>
      </c>
    </row>
    <row r="22" ht="60" customHeight="1">
      <c r="B22" s="71" t="inlineStr">
        <is>
          <t>Es un revisor automático: el archivo revisa cada fila y le avisa si algo falta o está mal. «✔ OK» significa que todo está bien. «⚠» significa que hay algo que corregir y le dice qué es, por ejemplo: «Sin responsable», «Sin fecha límite», «Pesos del puesto suman 90%», «Avance semanal decreciente» (escribió un % menor que la semana anterior) o «Vencida» (pasó la fecha límite y no llegó al 100%).</t>
        </is>
      </c>
    </row>
    <row r="23" ht="15" customHeight="1">
      <c r="B23" s="71" t="inlineStr">
        <is>
          <t>No hay que escribir nada en esa columna. Solo corrija lo que indica y el aviso desaparece.</t>
        </is>
      </c>
    </row>
    <row r="25" ht="20" customHeight="1">
      <c r="B25" s="70" t="inlineStr">
        <is>
          <t>Cómo llenar su hoja «Actividades» (semanales)</t>
        </is>
      </c>
    </row>
    <row r="26" ht="30" customHeight="1">
      <c r="B26" s="71" t="inlineStr">
        <is>
          <t>1) Revise las 4 actividades propuestas (una por semana): puede cambiar el texto, la semana, el responsable o agregar más en las filas vacías. El N° se numera solo.</t>
        </is>
      </c>
    </row>
    <row r="27" ht="15" customHeight="1">
      <c r="B27" s="71" t="inlineStr">
        <is>
          <t>2) La fecha objetivo se propone sola (el viernes de la semana elegida); puede escribir otra fecha encima.</t>
        </is>
      </c>
    </row>
    <row r="28" ht="15" customHeight="1">
      <c r="B28" s="71" t="inlineStr">
        <is>
          <t>3) Cuando cumpla la actividad, escriba la FECHA REAL de cumplimiento. El Estado cambia solo a «Completado».</t>
        </is>
      </c>
    </row>
    <row r="29" ht="30" customHeight="1">
      <c r="B29" s="71" t="inlineStr">
        <is>
          <t>4) Estado automático: «Completado» (tiene fecha real), «Vencido» (pasó la fecha objetivo sin fecha real), «En curso» (ya es su semana) o «Pendiente» (su semana aún no llega). Si queda vencida, explique el motivo en Observaciones.</t>
        </is>
      </c>
    </row>
    <row r="31" ht="20" customHeight="1">
      <c r="B31" s="70" t="inlineStr">
        <is>
          <t>El Dashboard (resumen automático)</t>
        </is>
      </c>
    </row>
    <row r="32" ht="30" customHeight="1">
      <c r="B32" s="71" t="inlineStr">
        <is>
          <t>• Muestra el avance de cada puesto y del área, cuántas actividades están completadas, en curso, pendientes o vencidas, y el avance de cada semana.</t>
        </is>
      </c>
    </row>
    <row r="33" ht="30" customHeight="1">
      <c r="B33" s="71" t="inlineStr">
        <is>
          <t>• Avance del puesto = suma de (peso × avance) de sus actividades. Avance del área = promedio de los 4 puestos (todos valen igual).</t>
        </is>
      </c>
    </row>
    <row r="34" ht="30" customHeight="1">
      <c r="B34" s="71" t="inlineStr">
        <is>
          <t>• Si un puesto llega al 100% antes de la Semana 4 aparece «¡Enhorabuena, completado anticipadamente!». Si llega en la Semana 4: «Completado».</t>
        </is>
      </c>
    </row>
    <row r="35" ht="30" customHeight="1">
      <c r="B35" s="71" t="inlineStr">
        <is>
          <t>• Si un puesto no tiene actividades o sus pesos no suman 100%, el avance del área aparece como «No definitivo» hasta que se corrija.</t>
        </is>
      </c>
    </row>
    <row r="36" ht="15" customHeight="1">
      <c r="B36" s="71" t="inlineStr">
        <is>
          <t>• Haga clic en el nombre de un puesto para ir a su hoja.</t>
        </is>
      </c>
    </row>
    <row r="38" ht="20" customHeight="1">
      <c r="B38" s="70" t="inlineStr">
        <is>
          <t>Cada mes: cómo empezar un mes nuevo</t>
        </is>
      </c>
    </row>
    <row r="39" ht="30" customHeight="1">
      <c r="B39" s="71" t="inlineStr">
        <is>
          <t>1) Al terminar el mes, guarde una copia del archivo con el nombre del mes (Archivo &gt; Guardar una copia, ej. «Cronograma Riesgos – Octubre 2026»). Esa copia queda como histórico.</t>
        </is>
      </c>
    </row>
    <row r="40" ht="30" customHeight="1">
      <c r="B40" s="71" t="inlineStr">
        <is>
          <t>2) En el archivo de trabajo borre lo de las celdas amarillas que no se repite: avances semanales, fechas y observaciones (puede dejar las actividades que se repiten cada mes). Seleccione las celdas y presione Suprimir.</t>
        </is>
      </c>
    </row>
    <row r="41" ht="30" customHeight="1">
      <c r="B41" s="71" t="inlineStr">
        <is>
          <t>3) Listo: el mes, la fecha de inicio (primer lunes del mes), la semana actual y las fechas objetivo se actualizan solos con la fecha de hoy.</t>
        </is>
      </c>
    </row>
    <row r="42" ht="30" customHeight="1">
      <c r="B42" s="71" t="inlineStr">
        <is>
          <t>4) Si necesita preparar o revisar otro mes, en Configuración escriba cualquier fecha de ese mes en «Mes del ciclo». Para volver al modo automático, borre lo escrito y vuelva a escribir =FECHA(AÑO(HOY());MES(HOY());1).</t>
        </is>
      </c>
    </row>
    <row r="44" ht="20" customHeight="1">
      <c r="B44" s="70" t="inlineStr">
        <is>
          <t>Compartir el archivo con el equipo</t>
        </is>
      </c>
    </row>
    <row r="45" ht="15" customHeight="1">
      <c r="B45" s="71" t="inlineStr">
        <is>
          <t>1) Suba el archivo a OneDrive o SharePoint del área.</t>
        </is>
      </c>
    </row>
    <row r="46" ht="30" customHeight="1">
      <c r="B46" s="71" t="inlineStr">
        <is>
          <t>2) Botón Compartir &gt; invite a los cuatro responsables con permiso de edición, y a la jefatura con permiso de solo lectura.</t>
        </is>
      </c>
    </row>
    <row r="47" ht="30" customHeight="1">
      <c r="B47" s="71" t="inlineStr">
        <is>
          <t>3) Todos pueden trabajar al mismo tiempo, cada quien en su hoja (Excel en la Web o Microsoft 365, con Autoguardado activado).</t>
        </is>
      </c>
    </row>
    <row r="48" ht="30" customHeight="1">
      <c r="B48" s="71" t="inlineStr">
        <is>
          <t>4) Si alguien borra algo por error: Archivo &gt; Información &gt; Historial de versiones permite recuperar una versión anterior y ver quién cambió qué.</t>
        </is>
      </c>
    </row>
    <row r="50" ht="20" customHeight="1">
      <c r="B50" s="70" t="inlineStr">
        <is>
          <t>Protección</t>
        </is>
      </c>
    </row>
    <row r="51" ht="30" customHeight="1">
      <c r="B51" s="71" t="inlineStr">
        <is>
          <t>Las celdas grises (fórmulas) están protegidas para que nadie las borre por accidente; las amarillas se pueden editar. Las hojas están protegidas sin contraseña.</t>
        </is>
      </c>
    </row>
    <row r="52" ht="30" customHeight="1">
      <c r="B52" s="71" t="inlineStr">
        <is>
          <t>Para poner contraseña: Revisar &gt; Desproteger hoja y luego Revisar &gt; Proteger hoja; marque «Seleccionar celdas desbloqueadas», «Usar Autofiltro» y «Ordenar», y escriba la contraseña.</t>
        </is>
      </c>
    </row>
    <row r="53" ht="60" customHeight="1">
      <c r="B53" s="71" t="inlineStr">
        <is>
          <t>Importante: separar por hojas ordena el trabajo, pero en un archivo compartido cualquier persona con permiso de edición podría escribir en la hoja de otro puesto. Si se necesita impedirlo por completo, se usan cuatro archivos (uno por puesto) y este archivo los une con Power Query (Datos &gt; Obtener datos &gt; Desde SharePoint/carpeta, una consulta por tabla tblAct_XX y tblSem_XX, con «Actualizar al abrir»).</t>
        </is>
      </c>
    </row>
    <row r="55" ht="20" customHeight="1">
      <c r="B55" s="70" t="inlineStr">
        <is>
          <t>Necesito más filas</t>
        </is>
      </c>
    </row>
    <row r="56" ht="30" customHeight="1">
      <c r="B56" s="71" t="inlineStr">
        <is>
          <t>Cada Cronograma trae 100 filas y cada hoja de Actividades 20. Si necesita más: Revisar &gt; Desproteger hoja, colóquese en la última celda de la tabla y presione Tab; las fórmulas se copian solas. Luego vuelva a proteger la hoja.</t>
        </is>
      </c>
    </row>
    <row r="58" ht="20" customHeight="1">
      <c r="B58" s="70" t="inlineStr">
        <is>
          <t>Notas técnicas</t>
        </is>
      </c>
    </row>
    <row r="59" ht="30" customHeight="1">
      <c r="B59" s="71" t="inlineStr">
        <is>
          <t>• Archivo .xlsx sin macros, para Microsoft 365 en español (escritorio y Web). Las fórmulas se ven en español (BUSCAR, SI.ERROR, SUMAPRODUCTO, HOY…).</t>
        </is>
      </c>
    </row>
    <row r="60" ht="15" customHeight="1">
      <c r="B60" s="71" t="inlineStr">
        <is>
          <t>• Fórmula del avance actual: =SI.ERROR(BUSCAR(2;1/(H5:K5&lt;&gt;"");H5:K5);0) → toma el último avance semanal escrito.</t>
        </is>
      </c>
    </row>
    <row r="61" ht="30" customHeight="1">
      <c r="B61" s="71" t="inlineStr">
        <is>
          <t>• Semana actual = ENTERO((fecha de corte − fecha de inicio) / 7) + 1, entre 1 y 4. Puede forzarse con «Semana manual» en Configuración.</t>
        </is>
      </c>
    </row>
    <row r="62" ht="15" customHeight="1">
      <c r="B62" s="71" t="inlineStr">
        <is>
          <t>• Las actividades semanales propuestas son sugerencias editables; no son obligaciones institucionales aprobadas.</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1.xml><?xml version="1.0" encoding="utf-8"?>
<worksheet xmlns="http://schemas.openxmlformats.org/spreadsheetml/2006/main">
  <sheetPr>
    <outlinePr summaryBelow="1" summaryRight="1"/>
    <pageSetUpPr fitToPage="1"/>
  </sheetPr>
  <dimension ref="B1:D52"/>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9" t="inlineStr">
        <is>
          <t>Configuración del ciclo mensual</t>
        </is>
      </c>
      <c r="C1" s="69" t="n"/>
      <c r="D1" s="69" t="n"/>
    </row>
    <row r="2">
      <c r="B2" s="72" t="inlineStr">
        <is>
          <t>Todo se calcula solo a partir de la fecha de hoy. Celdas amarillas = puede escribir encima si necesita fijar otro valor; celdas grises = automáticas.</t>
        </is>
      </c>
    </row>
    <row r="3">
      <c r="B3" s="7" t="inlineStr">
        <is>
          <t>Parámetro</t>
        </is>
      </c>
      <c r="C3" s="7" t="inlineStr">
        <is>
          <t>Valor</t>
        </is>
      </c>
      <c r="D3" s="7" t="inlineStr">
        <is>
          <t>Uso / nota</t>
        </is>
      </c>
    </row>
    <row r="4" ht="30" customHeight="1">
      <c r="B4" s="73" t="inlineStr">
        <is>
          <t>Mes del ciclo</t>
        </is>
      </c>
      <c r="C4" s="74">
        <f>DATE(YEAR(TODAY()),MONTH(TODAY()),1)</f>
        <v/>
      </c>
      <c r="D4" s="44" t="inlineStr">
        <is>
          <t>AUTOMÁTICO: mes actual. Para fijar un mes escriba cualquier fecha de ese mes (ej. 01/11/2026).</t>
        </is>
      </c>
    </row>
    <row r="5" ht="30" customHeight="1">
      <c r="B5" s="73" t="inlineStr">
        <is>
          <t>Fecha de inicio del ciclo (lunes de la Semana 1)</t>
        </is>
      </c>
      <c r="C5" s="75">
        <f>MesCiclo+MOD(2-WEEKDAY(MesCiclo),7)</f>
        <v/>
      </c>
      <c r="D5" s="44" t="inlineStr">
        <is>
          <t>AUTOMÁTICO: primer lunes del mes. Puede escribir otra fecha. Define las fechas objetivo de las actividades semanales (viernes de cada semana).</t>
        </is>
      </c>
    </row>
    <row r="6" ht="30" customHeight="1">
      <c r="B6" s="73" t="inlineStr">
        <is>
          <t>Fecha de corte</t>
        </is>
      </c>
      <c r="C6" s="75">
        <f>TODAY()</f>
        <v/>
      </c>
      <c r="D6" s="44" t="inlineStr">
        <is>
          <t>AUTOMÁTICO: hoy. Puede escribir una fecha fija para emitir un reporte de corte. Determina actividades vencidas.</t>
        </is>
      </c>
    </row>
    <row r="7" ht="30" customHeight="1">
      <c r="B7" s="73" t="inlineStr">
        <is>
          <t>Semana actual del ciclo (1 a 4)</t>
        </is>
      </c>
      <c r="C7" s="76">
        <f>IF(SemanaManual&lt;&gt;"",SemanaManual,MIN(4,MAX(1,INT((FechaRef-InicioCiclo)/7)+1)))</f>
        <v/>
      </c>
      <c r="D7" s="44" t="inlineStr">
        <is>
          <t>AUTOMÁTICA: se calcula con la fecha de inicio y la fecha de corte. Controla los mensajes de finalización anticipada.</t>
        </is>
      </c>
    </row>
    <row r="8" ht="30" customHeight="1">
      <c r="B8" s="73" t="inlineStr">
        <is>
          <t>Semana manual (opcional)</t>
        </is>
      </c>
      <c r="C8" s="77" t="n"/>
      <c r="D8" s="44" t="inlineStr">
        <is>
          <t>Déjela VACÍA para usar la semana automática. Escriba 1–4 solo si necesita forzar otra semana.</t>
        </is>
      </c>
    </row>
    <row r="9" ht="30" customHeight="1">
      <c r="B9" s="73" t="inlineStr">
        <is>
          <t>Días de anticipación para alerta «próxima a vencer»</t>
        </is>
      </c>
      <c r="C9" s="77" t="n">
        <v>3</v>
      </c>
      <c r="D9" s="44" t="inlineStr">
        <is>
          <t>Actividades no completadas cuya fecha límite cae dentro de este número de días se señalan en ámbar.</t>
        </is>
      </c>
    </row>
    <row r="10" ht="30" customHeight="1">
      <c r="B10" s="73" t="inlineStr">
        <is>
          <t>¿Observación obligatoria si una actividad vence sin cumplirse?</t>
        </is>
      </c>
      <c r="C10" s="78" t="inlineStr">
        <is>
          <t>Sí</t>
        </is>
      </c>
      <c r="D10" s="44" t="inlineStr">
        <is>
          <t>Si es «Sí», una actividad vencida sin texto en Observaciones genera alerta (explicar por qué no se cumplió).</t>
        </is>
      </c>
    </row>
    <row r="11" ht="30" customHeight="1">
      <c r="B11" s="73" t="inlineStr">
        <is>
          <t>Meta final del ciclo</t>
        </is>
      </c>
      <c r="C11" s="79" t="n">
        <v>1</v>
      </c>
      <c r="D11" s="44" t="inlineStr">
        <is>
          <t>Meta de cumplimiento al cierre de la Semana 4.</t>
        </is>
      </c>
    </row>
    <row r="13">
      <c r="B13" s="80" t="inlineStr">
        <is>
          <t>Plan de referencia (avance esperado acumulado por semana) – supuesto editable</t>
        </is>
      </c>
      <c r="C13" s="80" t="n"/>
      <c r="D13" s="80" t="n"/>
    </row>
    <row r="14">
      <c r="B14" s="81" t="inlineStr">
        <is>
          <t>Semana 1</t>
        </is>
      </c>
      <c r="C14" s="82" t="n">
        <v>0.25</v>
      </c>
      <c r="D14" s="83" t="inlineStr">
        <is>
          <t>Referencia lineal solo para comparación visual; no afecta el cálculo del avance real.</t>
        </is>
      </c>
    </row>
    <row r="15">
      <c r="B15" s="81" t="inlineStr">
        <is>
          <t>Semana 2</t>
        </is>
      </c>
      <c r="C15" s="82" t="n">
        <v>0.5</v>
      </c>
      <c r="D15" s="83" t="inlineStr">
        <is>
          <t>Referencia lineal solo para comparación visual; no afecta el cálculo del avance real.</t>
        </is>
      </c>
    </row>
    <row r="16">
      <c r="B16" s="81" t="inlineStr">
        <is>
          <t>Semana 3</t>
        </is>
      </c>
      <c r="C16" s="82" t="n">
        <v>0.75</v>
      </c>
      <c r="D16" s="83" t="inlineStr">
        <is>
          <t>Referencia lineal solo para comparación visual; no afecta el cálculo del avance real.</t>
        </is>
      </c>
    </row>
    <row r="17">
      <c r="B17" s="81" t="inlineStr">
        <is>
          <t>Semana 4</t>
        </is>
      </c>
      <c r="C17" s="82" t="n">
        <v>1</v>
      </c>
      <c r="D17" s="83" t="inlineStr">
        <is>
          <t>Referencia lineal solo para comparación visual; no afecta el cálculo del avance real.</t>
        </is>
      </c>
    </row>
    <row r="19">
      <c r="B19" s="84" t="inlineStr">
        <is>
          <t>Listas desplegables (no editar sin actualizar las fórmulas)</t>
        </is>
      </c>
      <c r="C19" s="84" t="n"/>
      <c r="D19" s="84" t="n"/>
    </row>
    <row r="20">
      <c r="B20" s="85" t="inlineStr">
        <is>
          <t>Áreas / Puestos</t>
        </is>
      </c>
    </row>
    <row r="21">
      <c r="B21" s="86" t="inlineStr">
        <is>
          <t>Riesgo Operacional</t>
        </is>
      </c>
    </row>
    <row r="22">
      <c r="B22" s="86" t="inlineStr">
        <is>
          <t>Riesgo Normativo</t>
        </is>
      </c>
    </row>
    <row r="23">
      <c r="B23" s="86" t="inlineStr">
        <is>
          <t>Riesgo Financiero</t>
        </is>
      </c>
    </row>
    <row r="24">
      <c r="B24" s="86" t="inlineStr">
        <is>
          <t>Asistente Técnico de Riesgo</t>
        </is>
      </c>
    </row>
    <row r="26">
      <c r="B26" s="85" t="inlineStr">
        <is>
          <t>Estados</t>
        </is>
      </c>
    </row>
    <row r="27">
      <c r="B27" s="86" t="inlineStr">
        <is>
          <t>Pendiente</t>
        </is>
      </c>
    </row>
    <row r="28">
      <c r="B28" s="86" t="inlineStr">
        <is>
          <t>En curso</t>
        </is>
      </c>
    </row>
    <row r="29">
      <c r="B29" s="86" t="inlineStr">
        <is>
          <t>Completado</t>
        </is>
      </c>
    </row>
    <row r="31">
      <c r="B31" s="85" t="inlineStr">
        <is>
          <t>Semanas</t>
        </is>
      </c>
    </row>
    <row r="32">
      <c r="B32" s="86" t="inlineStr">
        <is>
          <t>Semana 1</t>
        </is>
      </c>
    </row>
    <row r="33">
      <c r="B33" s="86" t="inlineStr">
        <is>
          <t>Semana 2</t>
        </is>
      </c>
    </row>
    <row r="34">
      <c r="B34" s="86" t="inlineStr">
        <is>
          <t>Semana 3</t>
        </is>
      </c>
    </row>
    <row r="35">
      <c r="B35" s="86" t="inlineStr">
        <is>
          <t>Semana 4</t>
        </is>
      </c>
    </row>
    <row r="37">
      <c r="B37" s="85" t="inlineStr">
        <is>
          <t>Sí / No</t>
        </is>
      </c>
    </row>
    <row r="38">
      <c r="B38" s="86" t="inlineStr">
        <is>
          <t>Sí</t>
        </is>
      </c>
    </row>
    <row r="39">
      <c r="B39" s="86" t="inlineStr">
        <is>
          <t>No</t>
        </is>
      </c>
    </row>
    <row r="42">
      <c r="B42" s="84" t="inlineStr">
        <is>
          <t>Metodología de cálculo (documentación)</t>
        </is>
      </c>
      <c r="C42" s="84" t="n"/>
      <c r="D42" s="84" t="n"/>
    </row>
    <row r="43" ht="30" customHeight="1">
      <c r="B43" s="87" t="inlineStr">
        <is>
          <t>1. Avance de una actividad = último avance semanal acumulado registrado (Semana 4 → 1), ignorando semanas vacías. Los avances semanales NO se suman.</t>
        </is>
      </c>
      <c r="C43" s="87" t="n"/>
      <c r="D43" s="87" t="n"/>
    </row>
    <row r="44" ht="30" customHeight="1">
      <c r="B44" s="87" t="inlineStr">
        <is>
          <t>2. Estado automático: 0% = Pendiente; &gt;0% y &lt;100% = En curso; 100% = Completado.</t>
        </is>
      </c>
      <c r="C44" s="87" t="n"/>
      <c r="D44" s="87" t="n"/>
    </row>
    <row r="45" ht="30" customHeight="1">
      <c r="B45" s="87" t="inlineStr">
        <is>
          <t>3. Avance ponderado del puesto = Σ (peso de la actividad × avance actual). Solo es válido si el puesto tiene ≥1 actividad, ningún peso vacío o fuera de 0–100% y los pesos suman 100% (tolerancia ±0,01%).</t>
        </is>
      </c>
      <c r="C45" s="87" t="n"/>
      <c r="D45" s="87" t="n"/>
    </row>
    <row r="46" ht="30" customHeight="1">
      <c r="B46" s="87" t="inlineStr">
        <is>
          <t>4. Avance general del proyecto = promedio simple de los 4 puestos (cada puesto pesa 25%, sin importar cuántas actividades tenga). Si algún puesto no es válido, el Dashboard muestra «No definitivo» y un valor provisional rotulado como tal.</t>
        </is>
      </c>
      <c r="C46" s="87" t="n"/>
      <c r="D46" s="87" t="n"/>
    </row>
    <row r="47" ht="30" customHeight="1">
      <c r="B47" s="87" t="inlineStr">
        <is>
          <t>5. Avance semanal acumulado (Semana n) = Σ peso × último avance registrado hasta la Semana n. Incremento semanal = acumulado Semana n − acumulado Semana n−1.</t>
        </is>
      </c>
      <c r="C47" s="87" t="n"/>
      <c r="D47" s="87" t="n"/>
    </row>
    <row r="48" ht="30" customHeight="1">
      <c r="B48" s="87" t="inlineStr">
        <is>
          <t>6. «¡Enhorabuena, completado anticipadamente!»: el puesto (o el proyecto) es válido, llega al 100% y la semana en que lo alcanzó (la menor entre la primera semana con 100% registrada y la Semana actual) es anterior a la Semana 4. Si lo alcanza en la Semana 4: «Completado». Si no: «En ejecución».</t>
        </is>
      </c>
      <c r="C48" s="87" t="n"/>
      <c r="D48" s="87" t="n"/>
    </row>
    <row r="49" ht="30" customHeight="1">
      <c r="B49" s="87" t="inlineStr">
        <is>
          <t>7. Una semana se muestra en el seguimiento si es ≤ Semana actual o si ya tiene algún avance registrado.</t>
        </is>
      </c>
      <c r="C49" s="87" t="n"/>
      <c r="D49" s="87" t="n"/>
    </row>
    <row r="50" ht="30" customHeight="1">
      <c r="B50" s="87" t="inlineStr">
        <is>
          <t>8. Cada puesto tiene su propia hoja «Cronograma» y su hoja «Actividades» semanales. El Dashboard consolida los cuatro cronogramas (filas 5 a 1000) y las cuatro hojas de actividades (filas 5 a 500).</t>
        </is>
      </c>
      <c r="C50" s="87" t="n"/>
      <c r="D50" s="87" t="n"/>
    </row>
    <row r="51" ht="30" customHeight="1">
      <c r="B51" s="87" t="inlineStr">
        <is>
          <t>9. Semana actual = ENTERO((fecha de corte − fecha de inicio) / 7) + 1, limitada entre 1 y 4, salvo que se escriba una semana manual.</t>
        </is>
      </c>
      <c r="C51" s="87" t="n"/>
      <c r="D51" s="87" t="n"/>
    </row>
    <row r="52" ht="30" customHeight="1">
      <c r="B52" s="87" t="inlineStr">
        <is>
          <t>10. Estado de una actividad semanal: Completado si tiene fecha real de cumplimiento; Vencido si pasó su fecha objetivo sin cumplirse; En curso si su semana ya llegó; si no, Pendiente.</t>
        </is>
      </c>
      <c r="C52" s="87" t="n"/>
      <c r="D52" s="87" t="n"/>
    </row>
  </sheetData>
  <sheetProtection selectLockedCells="0" selectUnlockedCells="0" sheet="1" objects="0" insertRows="1" insertHyperlinks="1" autoFilter="1" scenarios="0" formatColumns="0" deleteColumns="1" insertColumns="1" pivotTables="1" deleteRows="1" formatCells="1" formatRows="1" sort="1"/>
  <mergeCells count="14">
    <mergeCell ref="B42:D42"/>
    <mergeCell ref="B19:D19"/>
    <mergeCell ref="B45:D45"/>
    <mergeCell ref="B46:D46"/>
    <mergeCell ref="B1:D1"/>
    <mergeCell ref="B49:D49"/>
    <mergeCell ref="B50:D50"/>
    <mergeCell ref="B13:D13"/>
    <mergeCell ref="B52:D52"/>
    <mergeCell ref="B44:D44"/>
    <mergeCell ref="B43:D43"/>
    <mergeCell ref="B51:D51"/>
    <mergeCell ref="B47:D47"/>
    <mergeCell ref="B48:D48"/>
  </mergeCells>
  <dataValidations count="4">
    <dataValidation sqref="C4 C5 C6"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sheetPr>
  <dimension ref="A1:T13"/>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88" t="inlineStr">
        <is>
          <t>Hoja auxiliar OCULTA: cálculos intermedios por puesto (cada fila lee la hoja de cronograma de su puesto) que alimentan el Dashboard. No editar. Ver metodología en Configuración.</t>
        </is>
      </c>
    </row>
    <row r="3">
      <c r="A3" s="89" t="inlineStr">
        <is>
          <t>Puesto</t>
        </is>
      </c>
      <c r="B3" s="89" t="inlineStr">
        <is>
          <t>N° actividades</t>
        </is>
      </c>
      <c r="C3" s="89" t="inlineStr">
        <is>
          <t>Suma de pesos</t>
        </is>
      </c>
      <c r="D3" s="89" t="inlineStr">
        <is>
          <t>Pesos vacíos o inválidos</t>
        </is>
      </c>
      <c r="E3" s="89" t="inlineStr">
        <is>
          <t>Configuración válida</t>
        </is>
      </c>
      <c r="F3" s="89" t="inlineStr">
        <is>
          <t>Avance ponderado actual</t>
        </is>
      </c>
      <c r="G3" s="89" t="inlineStr">
        <is>
          <t>Acum. Semana 1</t>
        </is>
      </c>
      <c r="H3" s="89" t="inlineStr">
        <is>
          <t>Acum. Semana 2</t>
        </is>
      </c>
      <c r="I3" s="89" t="inlineStr">
        <is>
          <t>Acum. Semana 3</t>
        </is>
      </c>
      <c r="J3" s="89" t="inlineStr">
        <is>
          <t>Acum. Semana 4</t>
        </is>
      </c>
      <c r="K3" s="89" t="inlineStr">
        <is>
          <t>Primera semana con 100%</t>
        </is>
      </c>
      <c r="L3" s="89" t="inlineStr">
        <is>
          <t>Completado (100%)</t>
        </is>
      </c>
      <c r="M3" s="89" t="inlineStr">
        <is>
          <t>Completado anticipadamente</t>
        </is>
      </c>
      <c r="N3" s="89" t="inlineStr">
        <is>
          <t>Completadas</t>
        </is>
      </c>
      <c r="O3" s="89" t="inlineStr">
        <is>
          <t>En curso</t>
        </is>
      </c>
      <c r="P3" s="89" t="inlineStr">
        <is>
          <t>Pendientes</t>
        </is>
      </c>
      <c r="Q3" s="89" t="inlineStr">
        <is>
          <t>Vencidas</t>
        </is>
      </c>
      <c r="R3" s="89" t="inlineStr">
        <is>
          <t>Con alertas</t>
        </is>
      </c>
      <c r="S3" s="89" t="inlineStr">
        <is>
          <t>Próximas a vencer</t>
        </is>
      </c>
      <c r="T3" s="89" t="inlineStr">
        <is>
          <t>Hoja de cronograma</t>
        </is>
      </c>
    </row>
    <row r="4">
      <c r="A4">
        <f>INDEX(ListaPuestos,1)</f>
        <v/>
      </c>
      <c r="B4">
        <f>COUNTIF(rValid_RO,"?*")</f>
        <v/>
      </c>
      <c r="C4" s="90">
        <f>SUM(rPeso_RO)</f>
        <v/>
      </c>
      <c r="D4" s="90">
        <f>COUNTIFS(rValid_RO,"?*",rPeso_RO,"")+COUNTIF(rPeso_RO,"&lt;=0")+COUNTIF(rPeso_RO,"&gt;1")</f>
        <v/>
      </c>
      <c r="E4">
        <f>AND(B4&gt;0,D4=0,ABS(C4-1)&lt;=0.0001)</f>
        <v/>
      </c>
      <c r="F4" s="90">
        <f>IFERROR(SUMPRODUCT(rPeso_RO,rAvance_RO),0)</f>
        <v/>
      </c>
      <c r="G4" s="90">
        <f>IFERROR(SUMPRODUCT(rPeso_RO*rS1_RO),0)</f>
        <v/>
      </c>
      <c r="H4" s="90">
        <f>IFERROR(SUMPRODUCT(rPeso_RO*(rS2_RO+(rS2_RO="")*rS1_RO)),0)</f>
        <v/>
      </c>
      <c r="I4" s="90">
        <f>IFERROR(SUMPRODUCT(rPeso_RO*(rS3_RO+(rS3_RO="")*(rS2_RO+(rS2_RO="")*rS1_RO))),0)</f>
        <v/>
      </c>
      <c r="J4" s="90">
        <f>IFERROR(SUMPRODUCT(rPeso_RO*(rS4_RO+(rS4_RO="")*(rS3_RO+(rS3_RO="")*(rS2_RO+(rS2_RO="")*rS1_RO)))),0)</f>
        <v/>
      </c>
      <c r="K4">
        <f>IF(ROUND(G4,4)&gt;=1,1,IF(ROUND(H4,4)&gt;=1,2,IF(ROUND(I4,4)&gt;=1,3,IF(ROUND(J4,4)&gt;=1,4,""))))</f>
        <v/>
      </c>
      <c r="L4">
        <f>AND(E4,ROUND(F4,4)&gt;=1)</f>
        <v/>
      </c>
      <c r="M4">
        <f>AND(L4,MIN(IF(K4="",4,K4),SemanaActual)&lt;4)</f>
        <v/>
      </c>
      <c r="N4">
        <f>COUNTIF(rEstado_RO,"Completado")</f>
        <v/>
      </c>
      <c r="O4">
        <f>COUNTIF(rEstado_RO,"En curso")</f>
        <v/>
      </c>
      <c r="P4">
        <f>COUNTIF(rEstado_RO,"Pendiente")</f>
        <v/>
      </c>
      <c r="Q4">
        <f>SUMPRODUCT(--ISNUMBER(SEARCH("Vencida",rValid_RO)))</f>
        <v/>
      </c>
      <c r="R4">
        <f>SUMPRODUCT(--(LEFT(rValid_RO,1)="⚠"))</f>
        <v/>
      </c>
      <c r="S4">
        <f>COUNTIFS(rFLim_RO,"&gt;="&amp;FechaRef,rFLim_RO,"&lt;="&amp;(FechaRef+DiasAlerta),rAvance_RO,"&lt;1")</f>
        <v/>
      </c>
      <c r="T4" t="inlineStr">
        <is>
          <t>Cronograma R. Operacional</t>
        </is>
      </c>
    </row>
    <row r="5">
      <c r="A5">
        <f>INDEX(ListaPuestos,2)</f>
        <v/>
      </c>
      <c r="B5">
        <f>COUNTIF(rValid_RN,"?*")</f>
        <v/>
      </c>
      <c r="C5" s="90">
        <f>SUM(rPeso_RN)</f>
        <v/>
      </c>
      <c r="D5" s="90">
        <f>COUNTIFS(rValid_RN,"?*",rPeso_RN,"")+COUNTIF(rPeso_RN,"&lt;=0")+COUNTIF(rPeso_RN,"&gt;1")</f>
        <v/>
      </c>
      <c r="E5">
        <f>AND(B5&gt;0,D5=0,ABS(C5-1)&lt;=0.0001)</f>
        <v/>
      </c>
      <c r="F5" s="90">
        <f>IFERROR(SUMPRODUCT(rPeso_RN,rAvance_RN),0)</f>
        <v/>
      </c>
      <c r="G5" s="90">
        <f>IFERROR(SUMPRODUCT(rPeso_RN*rS1_RN),0)</f>
        <v/>
      </c>
      <c r="H5" s="90">
        <f>IFERROR(SUMPRODUCT(rPeso_RN*(rS2_RN+(rS2_RN="")*rS1_RN)),0)</f>
        <v/>
      </c>
      <c r="I5" s="90">
        <f>IFERROR(SUMPRODUCT(rPeso_RN*(rS3_RN+(rS3_RN="")*(rS2_RN+(rS2_RN="")*rS1_RN))),0)</f>
        <v/>
      </c>
      <c r="J5" s="90">
        <f>IFERROR(SUMPRODUCT(rPeso_RN*(rS4_RN+(rS4_RN="")*(rS3_RN+(rS3_RN="")*(rS2_RN+(rS2_RN="")*rS1_RN)))),0)</f>
        <v/>
      </c>
      <c r="K5">
        <f>IF(ROUND(G5,4)&gt;=1,1,IF(ROUND(H5,4)&gt;=1,2,IF(ROUND(I5,4)&gt;=1,3,IF(ROUND(J5,4)&gt;=1,4,""))))</f>
        <v/>
      </c>
      <c r="L5">
        <f>AND(E5,ROUND(F5,4)&gt;=1)</f>
        <v/>
      </c>
      <c r="M5">
        <f>AND(L5,MIN(IF(K5="",4,K5),SemanaActual)&lt;4)</f>
        <v/>
      </c>
      <c r="N5">
        <f>COUNTIF(rEstado_RN,"Completado")</f>
        <v/>
      </c>
      <c r="O5">
        <f>COUNTIF(rEstado_RN,"En curso")</f>
        <v/>
      </c>
      <c r="P5">
        <f>COUNTIF(rEstado_RN,"Pendiente")</f>
        <v/>
      </c>
      <c r="Q5">
        <f>SUMPRODUCT(--ISNUMBER(SEARCH("Vencida",rValid_RN)))</f>
        <v/>
      </c>
      <c r="R5">
        <f>SUMPRODUCT(--(LEFT(rValid_RN,1)="⚠"))</f>
        <v/>
      </c>
      <c r="S5">
        <f>COUNTIFS(rFLim_RN,"&gt;="&amp;FechaRef,rFLim_RN,"&lt;="&amp;(FechaRef+DiasAlerta),rAvance_RN,"&lt;1")</f>
        <v/>
      </c>
      <c r="T5" t="inlineStr">
        <is>
          <t>Cronograma R. Normativo</t>
        </is>
      </c>
    </row>
    <row r="6">
      <c r="A6">
        <f>INDEX(ListaPuestos,3)</f>
        <v/>
      </c>
      <c r="B6">
        <f>COUNTIF(rValid_RF,"?*")</f>
        <v/>
      </c>
      <c r="C6" s="90">
        <f>SUM(rPeso_RF)</f>
        <v/>
      </c>
      <c r="D6" s="90">
        <f>COUNTIFS(rValid_RF,"?*",rPeso_RF,"")+COUNTIF(rPeso_RF,"&lt;=0")+COUNTIF(rPeso_RF,"&gt;1")</f>
        <v/>
      </c>
      <c r="E6">
        <f>AND(B6&gt;0,D6=0,ABS(C6-1)&lt;=0.0001)</f>
        <v/>
      </c>
      <c r="F6" s="90">
        <f>IFERROR(SUMPRODUCT(rPeso_RF,rAvance_RF),0)</f>
        <v/>
      </c>
      <c r="G6" s="90">
        <f>IFERROR(SUMPRODUCT(rPeso_RF*rS1_RF),0)</f>
        <v/>
      </c>
      <c r="H6" s="90">
        <f>IFERROR(SUMPRODUCT(rPeso_RF*(rS2_RF+(rS2_RF="")*rS1_RF)),0)</f>
        <v/>
      </c>
      <c r="I6" s="90">
        <f>IFERROR(SUMPRODUCT(rPeso_RF*(rS3_RF+(rS3_RF="")*(rS2_RF+(rS2_RF="")*rS1_RF))),0)</f>
        <v/>
      </c>
      <c r="J6" s="90">
        <f>IFERROR(SUMPRODUCT(rPeso_RF*(rS4_RF+(rS4_RF="")*(rS3_RF+(rS3_RF="")*(rS2_RF+(rS2_RF="")*rS1_RF)))),0)</f>
        <v/>
      </c>
      <c r="K6">
        <f>IF(ROUND(G6,4)&gt;=1,1,IF(ROUND(H6,4)&gt;=1,2,IF(ROUND(I6,4)&gt;=1,3,IF(ROUND(J6,4)&gt;=1,4,""))))</f>
        <v/>
      </c>
      <c r="L6">
        <f>AND(E6,ROUND(F6,4)&gt;=1)</f>
        <v/>
      </c>
      <c r="M6">
        <f>AND(L6,MIN(IF(K6="",4,K6),SemanaActual)&lt;4)</f>
        <v/>
      </c>
      <c r="N6">
        <f>COUNTIF(rEstado_RF,"Completado")</f>
        <v/>
      </c>
      <c r="O6">
        <f>COUNTIF(rEstado_RF,"En curso")</f>
        <v/>
      </c>
      <c r="P6">
        <f>COUNTIF(rEstado_RF,"Pendiente")</f>
        <v/>
      </c>
      <c r="Q6">
        <f>SUMPRODUCT(--ISNUMBER(SEARCH("Vencida",rValid_RF)))</f>
        <v/>
      </c>
      <c r="R6">
        <f>SUMPRODUCT(--(LEFT(rValid_RF,1)="⚠"))</f>
        <v/>
      </c>
      <c r="S6">
        <f>COUNTIFS(rFLim_RF,"&gt;="&amp;FechaRef,rFLim_RF,"&lt;="&amp;(FechaRef+DiasAlerta),rAvance_RF,"&lt;1")</f>
        <v/>
      </c>
      <c r="T6" t="inlineStr">
        <is>
          <t>Cronograma R. Financiero</t>
        </is>
      </c>
    </row>
    <row r="7">
      <c r="A7">
        <f>INDEX(ListaPuestos,4)</f>
        <v/>
      </c>
      <c r="B7">
        <f>COUNTIF(rValid_ATR,"?*")</f>
        <v/>
      </c>
      <c r="C7" s="90">
        <f>SUM(rPeso_ATR)</f>
        <v/>
      </c>
      <c r="D7" s="90">
        <f>COUNTIFS(rValid_ATR,"?*",rPeso_ATR,"")+COUNTIF(rPeso_ATR,"&lt;=0")+COUNTIF(rPeso_ATR,"&gt;1")</f>
        <v/>
      </c>
      <c r="E7">
        <f>AND(B7&gt;0,D7=0,ABS(C7-1)&lt;=0.0001)</f>
        <v/>
      </c>
      <c r="F7" s="90">
        <f>IFERROR(SUMPRODUCT(rPeso_ATR,rAvance_ATR),0)</f>
        <v/>
      </c>
      <c r="G7" s="90">
        <f>IFERROR(SUMPRODUCT(rPeso_ATR*rS1_ATR),0)</f>
        <v/>
      </c>
      <c r="H7" s="90">
        <f>IFERROR(SUMPRODUCT(rPeso_ATR*(rS2_ATR+(rS2_ATR="")*rS1_ATR)),0)</f>
        <v/>
      </c>
      <c r="I7" s="90">
        <f>IFERROR(SUMPRODUCT(rPeso_ATR*(rS3_ATR+(rS3_ATR="")*(rS2_ATR+(rS2_ATR="")*rS1_ATR))),0)</f>
        <v/>
      </c>
      <c r="J7" s="90">
        <f>IFERROR(SUMPRODUCT(rPeso_ATR*(rS4_ATR+(rS4_ATR="")*(rS3_ATR+(rS3_ATR="")*(rS2_ATR+(rS2_ATR="")*rS1_ATR)))),0)</f>
        <v/>
      </c>
      <c r="K7">
        <f>IF(ROUND(G7,4)&gt;=1,1,IF(ROUND(H7,4)&gt;=1,2,IF(ROUND(I7,4)&gt;=1,3,IF(ROUND(J7,4)&gt;=1,4,""))))</f>
        <v/>
      </c>
      <c r="L7">
        <f>AND(E7,ROUND(F7,4)&gt;=1)</f>
        <v/>
      </c>
      <c r="M7">
        <f>AND(L7,MIN(IF(K7="",4,K7),SemanaActual)&lt;4)</f>
        <v/>
      </c>
      <c r="N7">
        <f>COUNTIF(rEstado_ATR,"Completado")</f>
        <v/>
      </c>
      <c r="O7">
        <f>COUNTIF(rEstado_ATR,"En curso")</f>
        <v/>
      </c>
      <c r="P7">
        <f>COUNTIF(rEstado_ATR,"Pendiente")</f>
        <v/>
      </c>
      <c r="Q7">
        <f>SUMPRODUCT(--ISNUMBER(SEARCH("Vencida",rValid_ATR)))</f>
        <v/>
      </c>
      <c r="R7">
        <f>SUMPRODUCT(--(LEFT(rValid_ATR,1)="⚠"))</f>
        <v/>
      </c>
      <c r="S7">
        <f>COUNTIFS(rFLim_ATR,"&gt;="&amp;FechaRef,rFLim_ATR,"&lt;="&amp;(FechaRef+DiasAlerta),rAvance_ATR,"&lt;1")</f>
        <v/>
      </c>
      <c r="T7" t="inlineStr">
        <is>
          <t>Cronograma Asistente Técnico</t>
        </is>
      </c>
    </row>
    <row r="8">
      <c r="A8" t="inlineStr">
        <is>
          <t>Proyecto (promedio de 4 puestos)</t>
        </is>
      </c>
      <c r="B8">
        <f>SUM(B4:B7)</f>
        <v/>
      </c>
      <c r="C8" s="91">
        <f>COUNTIF(E4:E7,TRUE)</f>
        <v/>
      </c>
      <c r="D8" s="90">
        <f>IF(C8&gt;0,SUMPRODUCT(F4:F7*(E4:E7=TRUE))/C8,"")</f>
        <v/>
      </c>
      <c r="E8">
        <f>AND(E4,E5,E6,E7)</f>
        <v/>
      </c>
      <c r="F8" s="90">
        <f>IF(E8,AVERAGE(F4:F7),"")</f>
        <v/>
      </c>
      <c r="G8" s="90">
        <f>IF($E$8,AVERAGE(G4:G7),"")</f>
        <v/>
      </c>
      <c r="H8" s="90">
        <f>IF($E$8,AVERAGE(H4:H7),"")</f>
        <v/>
      </c>
      <c r="I8" s="90">
        <f>IF($E$8,AVERAGE(I4:I7),"")</f>
        <v/>
      </c>
      <c r="J8" s="90">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row>
    <row r="9">
      <c r="A9" s="61" t="inlineStr">
        <is>
          <t>Fila 8: C = n° puestos válidos; D = avance provisional (promedio solo de puestos válidos).</t>
        </is>
      </c>
    </row>
    <row r="10">
      <c r="A10" t="inlineStr">
        <is>
          <t>Semana visible en seguimiento</t>
        </is>
      </c>
      <c r="G10">
        <f>OR(1&lt;=SemanaActual,(COUNT(rS1_RO)+COUNT(rS1_RN)+COUNT(rS1_RF)+COUNT(rS1_ATR))&gt;0)</f>
        <v/>
      </c>
      <c r="H10">
        <f>OR(2&lt;=SemanaActual,(COUNT(rS2_RO)+COUNT(rS2_RN)+COUNT(rS2_RF)+COUNT(rS2_ATR))&gt;0)</f>
        <v/>
      </c>
      <c r="I10">
        <f>OR(3&lt;=SemanaActual,(COUNT(rS3_RO)+COUNT(rS3_RN)+COUNT(rS3_RF)+COUNT(rS3_ATR))&gt;0)</f>
        <v/>
      </c>
      <c r="J10">
        <f>OR(4&lt;=SemanaActual,(COUNT(rS4_RO)+COUNT(rS4_RN)+COUNT(rS4_RF)+COUNT(rS4_ATR))&gt;0)</f>
        <v/>
      </c>
    </row>
    <row r="11">
      <c r="A11" t="inlineStr">
        <is>
          <t>Total registros</t>
        </is>
      </c>
      <c r="B11">
        <f>B8</f>
        <v/>
      </c>
    </row>
    <row r="12">
      <c r="A12" t="inlineStr">
        <is>
          <t>Puestos al 100%</t>
        </is>
      </c>
      <c r="B12">
        <f>COUNTIF(L4:L7,TRUE)</f>
        <v/>
      </c>
    </row>
    <row r="13">
      <c r="A13" t="inlineStr">
        <is>
          <t>Próximas a vencer</t>
        </is>
      </c>
      <c r="B13">
        <f>S8</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2026-10-09T16:29:50Z</dcterms:created>
  <dcterms:modified xmlns:dcterms="http://purl.org/dc/terms/" xmlns:xsi="http://www.w3.org/2001/XMLSchema-instance" xsi:type="dcterms:W3CDTF">2026-10-09T16:29:51Z</dcterms:modified>
</cp:coreProperties>
</file>